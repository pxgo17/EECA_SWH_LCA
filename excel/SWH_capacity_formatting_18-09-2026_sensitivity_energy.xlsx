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EECA_SWH_LCA\EECA_SWH_LCA\EECA_SWH_LCA\excel\"/>
    </mc:Choice>
  </mc:AlternateContent>
  <xr:revisionPtr revIDLastSave="0" documentId="8_{A8D000EA-3C4F-4A59-8016-1991DE222C68}" xr6:coauthVersionLast="47" xr6:coauthVersionMax="47" xr10:uidLastSave="{00000000-0000-0000-0000-000000000000}"/>
  <bookViews>
    <workbookView xWindow="-120" yWindow="-120" windowWidth="29040" windowHeight="15840" firstSheet="8" activeTab="17" xr2:uid="{6082697E-4C28-401D-8DB0-60DD22A0610C}"/>
  </bookViews>
  <sheets>
    <sheet name="Results" sheetId="1" r:id="rId1"/>
    <sheet name="Results_proc_ener" sheetId="20" r:id="rId2"/>
    <sheet name="Key" sheetId="4" r:id="rId3"/>
    <sheet name="Calculate_cap_emi" sheetId="2" r:id="rId4"/>
    <sheet name="Calculate_cap_emi_sens" sheetId="11" r:id="rId5"/>
    <sheet name="Calculate_cap_ener" sheetId="19" r:id="rId6"/>
    <sheet name="Manufacture" sheetId="3" r:id="rId7"/>
    <sheet name="Distribution" sheetId="5" r:id="rId8"/>
    <sheet name="Installation" sheetId="6" r:id="rId9"/>
    <sheet name="EOL" sheetId="7" r:id="rId10"/>
    <sheet name="Other" sheetId="8" r:id="rId11"/>
    <sheet name="Manufacture_MJ" sheetId="14" r:id="rId12"/>
    <sheet name="Distribution_MJ" sheetId="15" r:id="rId13"/>
    <sheet name="Installation_MJ" sheetId="16" r:id="rId14"/>
    <sheet name="EOL_MJ" sheetId="17" r:id="rId15"/>
    <sheet name="Other_MJ" sheetId="18" r:id="rId16"/>
    <sheet name="EOL_R" sheetId="9" r:id="rId17"/>
    <sheet name="Other_R" sheetId="10" r:id="rId18"/>
  </sheets>
  <definedNames>
    <definedName name="_xlnm._FilterDatabase" localSheetId="0" hidden="1">Results!$A$1:$F$81</definedName>
    <definedName name="_xlnm._FilterDatabase" localSheetId="1" hidden="1">Results_proc_ener!$A$1:$F$81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" i="20" l="1" a="1"/>
  <c r="L100" i="20" s="1"/>
  <c r="W100" i="1" s="1"/>
  <c r="W3" i="1"/>
  <c r="X3" i="1"/>
  <c r="Y3" i="1"/>
  <c r="Z3" i="1"/>
  <c r="AA3" i="1"/>
  <c r="AB3" i="1"/>
  <c r="AC3" i="1"/>
  <c r="AD3" i="1"/>
  <c r="W4" i="1"/>
  <c r="X4" i="1"/>
  <c r="Y4" i="1"/>
  <c r="Z4" i="1"/>
  <c r="AA4" i="1"/>
  <c r="AB4" i="1"/>
  <c r="AC4" i="1"/>
  <c r="AD4" i="1"/>
  <c r="W5" i="1"/>
  <c r="X5" i="1"/>
  <c r="Y5" i="1"/>
  <c r="Z5" i="1"/>
  <c r="AA5" i="1"/>
  <c r="AB5" i="1"/>
  <c r="AC5" i="1"/>
  <c r="AD5" i="1"/>
  <c r="W6" i="1"/>
  <c r="X6" i="1"/>
  <c r="Y6" i="1"/>
  <c r="Z6" i="1"/>
  <c r="AA6" i="1"/>
  <c r="AB6" i="1"/>
  <c r="AC6" i="1"/>
  <c r="AD6" i="1"/>
  <c r="W7" i="1"/>
  <c r="X7" i="1"/>
  <c r="Y7" i="1"/>
  <c r="Z7" i="1"/>
  <c r="AA7" i="1"/>
  <c r="AB7" i="1"/>
  <c r="AC7" i="1"/>
  <c r="AD7" i="1"/>
  <c r="W8" i="1"/>
  <c r="X8" i="1"/>
  <c r="Y8" i="1"/>
  <c r="Z8" i="1"/>
  <c r="AA8" i="1"/>
  <c r="AB8" i="1"/>
  <c r="AC8" i="1"/>
  <c r="AD8" i="1"/>
  <c r="W9" i="1"/>
  <c r="X9" i="1"/>
  <c r="Y9" i="1"/>
  <c r="Z9" i="1"/>
  <c r="AA9" i="1"/>
  <c r="AB9" i="1"/>
  <c r="AC9" i="1"/>
  <c r="AD9" i="1"/>
  <c r="W10" i="1"/>
  <c r="X10" i="1"/>
  <c r="Y10" i="1"/>
  <c r="Z10" i="1"/>
  <c r="AA10" i="1"/>
  <c r="AB10" i="1"/>
  <c r="AC10" i="1"/>
  <c r="AD10" i="1"/>
  <c r="W11" i="1"/>
  <c r="X11" i="1"/>
  <c r="Y11" i="1"/>
  <c r="Z11" i="1"/>
  <c r="AA11" i="1"/>
  <c r="AB11" i="1"/>
  <c r="AC11" i="1"/>
  <c r="AD11" i="1"/>
  <c r="W12" i="1"/>
  <c r="X12" i="1"/>
  <c r="Y12" i="1"/>
  <c r="Z12" i="1"/>
  <c r="AA12" i="1"/>
  <c r="AB12" i="1"/>
  <c r="AC12" i="1"/>
  <c r="AD12" i="1"/>
  <c r="W13" i="1"/>
  <c r="X13" i="1"/>
  <c r="Y13" i="1"/>
  <c r="Z13" i="1"/>
  <c r="AA13" i="1"/>
  <c r="AB13" i="1"/>
  <c r="AC13" i="1"/>
  <c r="AD13" i="1"/>
  <c r="W14" i="1"/>
  <c r="X14" i="1"/>
  <c r="Y14" i="1"/>
  <c r="Z14" i="1"/>
  <c r="AA14" i="1"/>
  <c r="AB14" i="1"/>
  <c r="AC14" i="1"/>
  <c r="AD14" i="1"/>
  <c r="W15" i="1"/>
  <c r="X15" i="1"/>
  <c r="Y15" i="1"/>
  <c r="Z15" i="1"/>
  <c r="AA15" i="1"/>
  <c r="AB15" i="1"/>
  <c r="AC15" i="1"/>
  <c r="AD15" i="1"/>
  <c r="W16" i="1"/>
  <c r="X16" i="1"/>
  <c r="Y16" i="1"/>
  <c r="Z16" i="1"/>
  <c r="AA16" i="1"/>
  <c r="AB16" i="1"/>
  <c r="AC16" i="1"/>
  <c r="AD16" i="1"/>
  <c r="W17" i="1"/>
  <c r="X17" i="1"/>
  <c r="Y17" i="1"/>
  <c r="Z17" i="1"/>
  <c r="AA17" i="1"/>
  <c r="AB17" i="1"/>
  <c r="AC17" i="1"/>
  <c r="AD17" i="1"/>
  <c r="W18" i="1"/>
  <c r="X18" i="1"/>
  <c r="Y18" i="1"/>
  <c r="Z18" i="1"/>
  <c r="AA18" i="1"/>
  <c r="AB18" i="1"/>
  <c r="AC18" i="1"/>
  <c r="AD18" i="1"/>
  <c r="W19" i="1"/>
  <c r="X19" i="1"/>
  <c r="Y19" i="1"/>
  <c r="Z19" i="1"/>
  <c r="AA19" i="1"/>
  <c r="AB19" i="1"/>
  <c r="AC19" i="1"/>
  <c r="AD19" i="1"/>
  <c r="W20" i="1"/>
  <c r="X20" i="1"/>
  <c r="Y20" i="1"/>
  <c r="Z20" i="1"/>
  <c r="AA20" i="1"/>
  <c r="AB20" i="1"/>
  <c r="AC20" i="1"/>
  <c r="AD20" i="1"/>
  <c r="W21" i="1"/>
  <c r="X21" i="1"/>
  <c r="Y21" i="1"/>
  <c r="Z21" i="1"/>
  <c r="AA21" i="1"/>
  <c r="AB21" i="1"/>
  <c r="AC21" i="1"/>
  <c r="AD21" i="1"/>
  <c r="W22" i="1"/>
  <c r="X22" i="1"/>
  <c r="Y22" i="1"/>
  <c r="Z22" i="1"/>
  <c r="AA22" i="1"/>
  <c r="AB22" i="1"/>
  <c r="AC22" i="1"/>
  <c r="AD22" i="1"/>
  <c r="W23" i="1"/>
  <c r="X23" i="1"/>
  <c r="Y23" i="1"/>
  <c r="Z23" i="1"/>
  <c r="AA23" i="1"/>
  <c r="AB23" i="1"/>
  <c r="AC23" i="1"/>
  <c r="AD23" i="1"/>
  <c r="W24" i="1"/>
  <c r="X24" i="1"/>
  <c r="Y24" i="1"/>
  <c r="Z24" i="1"/>
  <c r="AA24" i="1"/>
  <c r="AB24" i="1"/>
  <c r="AC24" i="1"/>
  <c r="AD24" i="1"/>
  <c r="W25" i="1"/>
  <c r="X25" i="1"/>
  <c r="Y25" i="1"/>
  <c r="Z25" i="1"/>
  <c r="AA25" i="1"/>
  <c r="AB25" i="1"/>
  <c r="AC25" i="1"/>
  <c r="AD25" i="1"/>
  <c r="W26" i="1"/>
  <c r="X26" i="1"/>
  <c r="Y26" i="1"/>
  <c r="Z26" i="1"/>
  <c r="AA26" i="1"/>
  <c r="AB26" i="1"/>
  <c r="AC26" i="1"/>
  <c r="AD26" i="1"/>
  <c r="W27" i="1"/>
  <c r="X27" i="1"/>
  <c r="Y27" i="1"/>
  <c r="Z27" i="1"/>
  <c r="AA27" i="1"/>
  <c r="AB27" i="1"/>
  <c r="AC27" i="1"/>
  <c r="AD27" i="1"/>
  <c r="W28" i="1"/>
  <c r="X28" i="1"/>
  <c r="Y28" i="1"/>
  <c r="Z28" i="1"/>
  <c r="AA28" i="1"/>
  <c r="AB28" i="1"/>
  <c r="AC28" i="1"/>
  <c r="AD28" i="1"/>
  <c r="W29" i="1"/>
  <c r="X29" i="1"/>
  <c r="Y29" i="1"/>
  <c r="Z29" i="1"/>
  <c r="AA29" i="1"/>
  <c r="AB29" i="1"/>
  <c r="AC29" i="1"/>
  <c r="AD29" i="1"/>
  <c r="W30" i="1"/>
  <c r="X30" i="1"/>
  <c r="Y30" i="1"/>
  <c r="Z30" i="1"/>
  <c r="AA30" i="1"/>
  <c r="AB30" i="1"/>
  <c r="AC30" i="1"/>
  <c r="AD30" i="1"/>
  <c r="W31" i="1"/>
  <c r="X31" i="1"/>
  <c r="Y31" i="1"/>
  <c r="Z31" i="1"/>
  <c r="AA31" i="1"/>
  <c r="AB31" i="1"/>
  <c r="AC31" i="1"/>
  <c r="AD31" i="1"/>
  <c r="AE31" i="1"/>
  <c r="W32" i="1"/>
  <c r="X32" i="1"/>
  <c r="Y32" i="1"/>
  <c r="Z32" i="1"/>
  <c r="AA32" i="1"/>
  <c r="AB32" i="1"/>
  <c r="AC32" i="1"/>
  <c r="AD32" i="1"/>
  <c r="W33" i="1"/>
  <c r="X33" i="1"/>
  <c r="Y33" i="1"/>
  <c r="Z33" i="1"/>
  <c r="AA33" i="1"/>
  <c r="AB33" i="1"/>
  <c r="AC33" i="1"/>
  <c r="AD33" i="1"/>
  <c r="W34" i="1"/>
  <c r="X34" i="1"/>
  <c r="Y34" i="1"/>
  <c r="Z34" i="1"/>
  <c r="AA34" i="1"/>
  <c r="AB34" i="1"/>
  <c r="AC34" i="1"/>
  <c r="AD34" i="1"/>
  <c r="W35" i="1"/>
  <c r="X35" i="1"/>
  <c r="Y35" i="1"/>
  <c r="Z35" i="1"/>
  <c r="AA35" i="1"/>
  <c r="AB35" i="1"/>
  <c r="AC35" i="1"/>
  <c r="AD35" i="1"/>
  <c r="W36" i="1"/>
  <c r="X36" i="1"/>
  <c r="Y36" i="1"/>
  <c r="Z36" i="1"/>
  <c r="AA36" i="1"/>
  <c r="AB36" i="1"/>
  <c r="AC36" i="1"/>
  <c r="AD36" i="1"/>
  <c r="W37" i="1"/>
  <c r="X37" i="1"/>
  <c r="Y37" i="1"/>
  <c r="Z37" i="1"/>
  <c r="AA37" i="1"/>
  <c r="AB37" i="1"/>
  <c r="AC37" i="1"/>
  <c r="AD37" i="1"/>
  <c r="W38" i="1"/>
  <c r="X38" i="1"/>
  <c r="Y38" i="1"/>
  <c r="Z38" i="1"/>
  <c r="AA38" i="1"/>
  <c r="AB38" i="1"/>
  <c r="AC38" i="1"/>
  <c r="AD38" i="1"/>
  <c r="W39" i="1"/>
  <c r="X39" i="1"/>
  <c r="Y39" i="1"/>
  <c r="Z39" i="1"/>
  <c r="AA39" i="1"/>
  <c r="AB39" i="1"/>
  <c r="AC39" i="1"/>
  <c r="AD39" i="1"/>
  <c r="W40" i="1"/>
  <c r="X40" i="1"/>
  <c r="Y40" i="1"/>
  <c r="Z40" i="1"/>
  <c r="AA40" i="1"/>
  <c r="AB40" i="1"/>
  <c r="AC40" i="1"/>
  <c r="AD40" i="1"/>
  <c r="W41" i="1"/>
  <c r="X41" i="1"/>
  <c r="Y41" i="1"/>
  <c r="Z41" i="1"/>
  <c r="AA41" i="1"/>
  <c r="AB41" i="1"/>
  <c r="AC41" i="1"/>
  <c r="AD41" i="1"/>
  <c r="W42" i="1"/>
  <c r="X42" i="1"/>
  <c r="Y42" i="1"/>
  <c r="Z42" i="1"/>
  <c r="AA42" i="1"/>
  <c r="AB42" i="1"/>
  <c r="AC42" i="1"/>
  <c r="AD42" i="1"/>
  <c r="W43" i="1"/>
  <c r="X43" i="1"/>
  <c r="Y43" i="1"/>
  <c r="Z43" i="1"/>
  <c r="AA43" i="1"/>
  <c r="AB43" i="1"/>
  <c r="AC43" i="1"/>
  <c r="AD43" i="1"/>
  <c r="W44" i="1"/>
  <c r="X44" i="1"/>
  <c r="Y44" i="1"/>
  <c r="Z44" i="1"/>
  <c r="AA44" i="1"/>
  <c r="AB44" i="1"/>
  <c r="AC44" i="1"/>
  <c r="AD44" i="1"/>
  <c r="W45" i="1"/>
  <c r="X45" i="1"/>
  <c r="Y45" i="1"/>
  <c r="Z45" i="1"/>
  <c r="AA45" i="1"/>
  <c r="AB45" i="1"/>
  <c r="AC45" i="1"/>
  <c r="AD45" i="1"/>
  <c r="W46" i="1"/>
  <c r="X46" i="1"/>
  <c r="Y46" i="1"/>
  <c r="Z46" i="1"/>
  <c r="AA46" i="1"/>
  <c r="AB46" i="1"/>
  <c r="AC46" i="1"/>
  <c r="AD46" i="1"/>
  <c r="W47" i="1"/>
  <c r="X47" i="1"/>
  <c r="Y47" i="1"/>
  <c r="Z47" i="1"/>
  <c r="AA47" i="1"/>
  <c r="AB47" i="1"/>
  <c r="AC47" i="1"/>
  <c r="AD47" i="1"/>
  <c r="W48" i="1"/>
  <c r="X48" i="1"/>
  <c r="Y48" i="1"/>
  <c r="Z48" i="1"/>
  <c r="AA48" i="1"/>
  <c r="AB48" i="1"/>
  <c r="AC48" i="1"/>
  <c r="AD48" i="1"/>
  <c r="W49" i="1"/>
  <c r="X49" i="1"/>
  <c r="Y49" i="1"/>
  <c r="Z49" i="1"/>
  <c r="AA49" i="1"/>
  <c r="AB49" i="1"/>
  <c r="AC49" i="1"/>
  <c r="AD49" i="1"/>
  <c r="W50" i="1"/>
  <c r="X50" i="1"/>
  <c r="Y50" i="1"/>
  <c r="Z50" i="1"/>
  <c r="AA50" i="1"/>
  <c r="AB50" i="1"/>
  <c r="AC50" i="1"/>
  <c r="AD50" i="1"/>
  <c r="W51" i="1"/>
  <c r="X51" i="1"/>
  <c r="Y51" i="1"/>
  <c r="Z51" i="1"/>
  <c r="AA51" i="1"/>
  <c r="AB51" i="1"/>
  <c r="AC51" i="1"/>
  <c r="AD51" i="1"/>
  <c r="W52" i="1"/>
  <c r="X52" i="1"/>
  <c r="Y52" i="1"/>
  <c r="Z52" i="1"/>
  <c r="AA52" i="1"/>
  <c r="AB52" i="1"/>
  <c r="AC52" i="1"/>
  <c r="AD52" i="1"/>
  <c r="W53" i="1"/>
  <c r="X53" i="1"/>
  <c r="Y53" i="1"/>
  <c r="Z53" i="1"/>
  <c r="AA53" i="1"/>
  <c r="AB53" i="1"/>
  <c r="AC53" i="1"/>
  <c r="AD53" i="1"/>
  <c r="W54" i="1"/>
  <c r="X54" i="1"/>
  <c r="Y54" i="1"/>
  <c r="Z54" i="1"/>
  <c r="AA54" i="1"/>
  <c r="AB54" i="1"/>
  <c r="AC54" i="1"/>
  <c r="AD54" i="1"/>
  <c r="W55" i="1"/>
  <c r="X55" i="1"/>
  <c r="Y55" i="1"/>
  <c r="Z55" i="1"/>
  <c r="AA55" i="1"/>
  <c r="AB55" i="1"/>
  <c r="AC55" i="1"/>
  <c r="AD55" i="1"/>
  <c r="W56" i="1"/>
  <c r="X56" i="1"/>
  <c r="Y56" i="1"/>
  <c r="Z56" i="1"/>
  <c r="AA56" i="1"/>
  <c r="AB56" i="1"/>
  <c r="AC56" i="1"/>
  <c r="AD56" i="1"/>
  <c r="W57" i="1"/>
  <c r="X57" i="1"/>
  <c r="Y57" i="1"/>
  <c r="Z57" i="1"/>
  <c r="AA57" i="1"/>
  <c r="AB57" i="1"/>
  <c r="AC57" i="1"/>
  <c r="AD57" i="1"/>
  <c r="W58" i="1"/>
  <c r="X58" i="1"/>
  <c r="Y58" i="1"/>
  <c r="Z58" i="1"/>
  <c r="AA58" i="1"/>
  <c r="AB58" i="1"/>
  <c r="AC58" i="1"/>
  <c r="AD58" i="1"/>
  <c r="W59" i="1"/>
  <c r="X59" i="1"/>
  <c r="Y59" i="1"/>
  <c r="Z59" i="1"/>
  <c r="AA59" i="1"/>
  <c r="AB59" i="1"/>
  <c r="AC59" i="1"/>
  <c r="AD59" i="1"/>
  <c r="W60" i="1"/>
  <c r="X60" i="1"/>
  <c r="Y60" i="1"/>
  <c r="Z60" i="1"/>
  <c r="AA60" i="1"/>
  <c r="AB60" i="1"/>
  <c r="AC60" i="1"/>
  <c r="AD60" i="1"/>
  <c r="W61" i="1"/>
  <c r="X61" i="1"/>
  <c r="Y61" i="1"/>
  <c r="Z61" i="1"/>
  <c r="AA61" i="1"/>
  <c r="AB61" i="1"/>
  <c r="AC61" i="1"/>
  <c r="AD61" i="1"/>
  <c r="W62" i="1"/>
  <c r="X62" i="1"/>
  <c r="Y62" i="1"/>
  <c r="Z62" i="1"/>
  <c r="AA62" i="1"/>
  <c r="AB62" i="1"/>
  <c r="AC62" i="1"/>
  <c r="AD62" i="1"/>
  <c r="W63" i="1"/>
  <c r="X63" i="1"/>
  <c r="Y63" i="1"/>
  <c r="Z63" i="1"/>
  <c r="AA63" i="1"/>
  <c r="AB63" i="1"/>
  <c r="AC63" i="1"/>
  <c r="AD63" i="1"/>
  <c r="W64" i="1"/>
  <c r="X64" i="1"/>
  <c r="Y64" i="1"/>
  <c r="Z64" i="1"/>
  <c r="AA64" i="1"/>
  <c r="AB64" i="1"/>
  <c r="AC64" i="1"/>
  <c r="AD64" i="1"/>
  <c r="W65" i="1"/>
  <c r="X65" i="1"/>
  <c r="Y65" i="1"/>
  <c r="Z65" i="1"/>
  <c r="AA65" i="1"/>
  <c r="AB65" i="1"/>
  <c r="AC65" i="1"/>
  <c r="AD65" i="1"/>
  <c r="W66" i="1"/>
  <c r="X66" i="1"/>
  <c r="Y66" i="1"/>
  <c r="Z66" i="1"/>
  <c r="AA66" i="1"/>
  <c r="AB66" i="1"/>
  <c r="AC66" i="1"/>
  <c r="AD66" i="1"/>
  <c r="W67" i="1"/>
  <c r="X67" i="1"/>
  <c r="Y67" i="1"/>
  <c r="Z67" i="1"/>
  <c r="AA67" i="1"/>
  <c r="AB67" i="1"/>
  <c r="AC67" i="1"/>
  <c r="AD67" i="1"/>
  <c r="W68" i="1"/>
  <c r="X68" i="1"/>
  <c r="Y68" i="1"/>
  <c r="Z68" i="1"/>
  <c r="AA68" i="1"/>
  <c r="AB68" i="1"/>
  <c r="AC68" i="1"/>
  <c r="AD68" i="1"/>
  <c r="W69" i="1"/>
  <c r="X69" i="1"/>
  <c r="Y69" i="1"/>
  <c r="Z69" i="1"/>
  <c r="AA69" i="1"/>
  <c r="AB69" i="1"/>
  <c r="AC69" i="1"/>
  <c r="AD69" i="1"/>
  <c r="W70" i="1"/>
  <c r="X70" i="1"/>
  <c r="Y70" i="1"/>
  <c r="Z70" i="1"/>
  <c r="AA70" i="1"/>
  <c r="AB70" i="1"/>
  <c r="AC70" i="1"/>
  <c r="AD70" i="1"/>
  <c r="W71" i="1"/>
  <c r="X71" i="1"/>
  <c r="Y71" i="1"/>
  <c r="Z71" i="1"/>
  <c r="AA71" i="1"/>
  <c r="AB71" i="1"/>
  <c r="AC71" i="1"/>
  <c r="AD71" i="1"/>
  <c r="AE71" i="1"/>
  <c r="W72" i="1"/>
  <c r="X72" i="1"/>
  <c r="Y72" i="1"/>
  <c r="Z72" i="1"/>
  <c r="AA72" i="1"/>
  <c r="AB72" i="1"/>
  <c r="AC72" i="1"/>
  <c r="AD72" i="1"/>
  <c r="W73" i="1"/>
  <c r="X73" i="1"/>
  <c r="Y73" i="1"/>
  <c r="Z73" i="1"/>
  <c r="AA73" i="1"/>
  <c r="AB73" i="1"/>
  <c r="AC73" i="1"/>
  <c r="AD73" i="1"/>
  <c r="W74" i="1"/>
  <c r="X74" i="1"/>
  <c r="Y74" i="1"/>
  <c r="Z74" i="1"/>
  <c r="AA74" i="1"/>
  <c r="AB74" i="1"/>
  <c r="AC74" i="1"/>
  <c r="AD74" i="1"/>
  <c r="W75" i="1"/>
  <c r="X75" i="1"/>
  <c r="Y75" i="1"/>
  <c r="Z75" i="1"/>
  <c r="AA75" i="1"/>
  <c r="AB75" i="1"/>
  <c r="AC75" i="1"/>
  <c r="AD75" i="1"/>
  <c r="W76" i="1"/>
  <c r="X76" i="1"/>
  <c r="Y76" i="1"/>
  <c r="Z76" i="1"/>
  <c r="AA76" i="1"/>
  <c r="AB76" i="1"/>
  <c r="AC76" i="1"/>
  <c r="AD76" i="1"/>
  <c r="W77" i="1"/>
  <c r="X77" i="1"/>
  <c r="Y77" i="1"/>
  <c r="Z77" i="1"/>
  <c r="AA77" i="1"/>
  <c r="AB77" i="1"/>
  <c r="AC77" i="1"/>
  <c r="AD77" i="1"/>
  <c r="W78" i="1"/>
  <c r="X78" i="1"/>
  <c r="Y78" i="1"/>
  <c r="Z78" i="1"/>
  <c r="AA78" i="1"/>
  <c r="AB78" i="1"/>
  <c r="AC78" i="1"/>
  <c r="AD78" i="1"/>
  <c r="W79" i="1"/>
  <c r="X79" i="1"/>
  <c r="Y79" i="1"/>
  <c r="Z79" i="1"/>
  <c r="AA79" i="1"/>
  <c r="AB79" i="1"/>
  <c r="AC79" i="1"/>
  <c r="AD79" i="1"/>
  <c r="W80" i="1"/>
  <c r="X80" i="1"/>
  <c r="Y80" i="1"/>
  <c r="Z80" i="1"/>
  <c r="AA80" i="1"/>
  <c r="AB80" i="1"/>
  <c r="AC80" i="1"/>
  <c r="AD80" i="1"/>
  <c r="W81" i="1"/>
  <c r="X81" i="1"/>
  <c r="Y81" i="1"/>
  <c r="Z81" i="1"/>
  <c r="AA81" i="1"/>
  <c r="AB81" i="1"/>
  <c r="AC81" i="1"/>
  <c r="AD81" i="1"/>
  <c r="W82" i="1"/>
  <c r="X82" i="1"/>
  <c r="Y82" i="1"/>
  <c r="Z82" i="1"/>
  <c r="AA82" i="1"/>
  <c r="AB82" i="1"/>
  <c r="AC82" i="1"/>
  <c r="AD82" i="1"/>
  <c r="AE82" i="1"/>
  <c r="W83" i="1"/>
  <c r="X83" i="1"/>
  <c r="Y83" i="1"/>
  <c r="Z83" i="1"/>
  <c r="AA83" i="1"/>
  <c r="AB83" i="1"/>
  <c r="AC83" i="1"/>
  <c r="AD83" i="1"/>
  <c r="AE83" i="1"/>
  <c r="W84" i="1"/>
  <c r="X84" i="1"/>
  <c r="Y84" i="1"/>
  <c r="Z84" i="1"/>
  <c r="AA84" i="1"/>
  <c r="AB84" i="1"/>
  <c r="AC84" i="1"/>
  <c r="AD84" i="1"/>
  <c r="AE84" i="1"/>
  <c r="W85" i="1"/>
  <c r="X85" i="1"/>
  <c r="Y85" i="1"/>
  <c r="Z85" i="1"/>
  <c r="AA85" i="1"/>
  <c r="AB85" i="1"/>
  <c r="AC85" i="1"/>
  <c r="AD85" i="1"/>
  <c r="AE85" i="1"/>
  <c r="W86" i="1"/>
  <c r="X86" i="1"/>
  <c r="Y86" i="1"/>
  <c r="Z86" i="1"/>
  <c r="AA86" i="1"/>
  <c r="AB86" i="1"/>
  <c r="AC86" i="1"/>
  <c r="AD86" i="1"/>
  <c r="AE86" i="1"/>
  <c r="W87" i="1"/>
  <c r="X87" i="1"/>
  <c r="Y87" i="1"/>
  <c r="Z87" i="1"/>
  <c r="AA87" i="1"/>
  <c r="AB87" i="1"/>
  <c r="AC87" i="1"/>
  <c r="AD87" i="1"/>
  <c r="AE87" i="1"/>
  <c r="W88" i="1"/>
  <c r="X88" i="1"/>
  <c r="Y88" i="1"/>
  <c r="Z88" i="1"/>
  <c r="AA88" i="1"/>
  <c r="AB88" i="1"/>
  <c r="AC88" i="1"/>
  <c r="AD88" i="1"/>
  <c r="AE88" i="1"/>
  <c r="W89" i="1"/>
  <c r="X89" i="1"/>
  <c r="Y89" i="1"/>
  <c r="Z89" i="1"/>
  <c r="AA89" i="1"/>
  <c r="AB89" i="1"/>
  <c r="AC89" i="1"/>
  <c r="AD89" i="1"/>
  <c r="AE89" i="1"/>
  <c r="W90" i="1"/>
  <c r="X90" i="1"/>
  <c r="Y90" i="1"/>
  <c r="Z90" i="1"/>
  <c r="AA90" i="1"/>
  <c r="AB90" i="1"/>
  <c r="AC90" i="1"/>
  <c r="AD90" i="1"/>
  <c r="AE90" i="1"/>
  <c r="W91" i="1"/>
  <c r="X91" i="1"/>
  <c r="Y91" i="1"/>
  <c r="Z91" i="1"/>
  <c r="AA91" i="1"/>
  <c r="AB91" i="1"/>
  <c r="AC91" i="1"/>
  <c r="AD91" i="1"/>
  <c r="AE91" i="1"/>
  <c r="W92" i="1"/>
  <c r="X92" i="1"/>
  <c r="Y92" i="1"/>
  <c r="Z92" i="1"/>
  <c r="AA92" i="1"/>
  <c r="AB92" i="1"/>
  <c r="AC92" i="1"/>
  <c r="AD92" i="1"/>
  <c r="AE92" i="1"/>
  <c r="W93" i="1"/>
  <c r="X93" i="1"/>
  <c r="Y93" i="1"/>
  <c r="Z93" i="1"/>
  <c r="AA93" i="1"/>
  <c r="AB93" i="1"/>
  <c r="AC93" i="1"/>
  <c r="AD93" i="1"/>
  <c r="AE93" i="1"/>
  <c r="W94" i="1"/>
  <c r="X94" i="1"/>
  <c r="Y94" i="1"/>
  <c r="Z94" i="1"/>
  <c r="AA94" i="1"/>
  <c r="AB94" i="1"/>
  <c r="AC94" i="1"/>
  <c r="AD94" i="1"/>
  <c r="AE94" i="1"/>
  <c r="W95" i="1"/>
  <c r="X95" i="1"/>
  <c r="Y95" i="1"/>
  <c r="Z95" i="1"/>
  <c r="AA95" i="1"/>
  <c r="AB95" i="1"/>
  <c r="AC95" i="1"/>
  <c r="AD95" i="1"/>
  <c r="AE95" i="1"/>
  <c r="W96" i="1"/>
  <c r="X96" i="1"/>
  <c r="Y96" i="1"/>
  <c r="Z96" i="1"/>
  <c r="AA96" i="1"/>
  <c r="AB96" i="1"/>
  <c r="AC96" i="1"/>
  <c r="AD96" i="1"/>
  <c r="AE96" i="1"/>
  <c r="W97" i="1"/>
  <c r="X97" i="1"/>
  <c r="Y97" i="1"/>
  <c r="Z97" i="1"/>
  <c r="AA97" i="1"/>
  <c r="AB97" i="1"/>
  <c r="AC97" i="1"/>
  <c r="AD97" i="1"/>
  <c r="AE97" i="1"/>
  <c r="W98" i="1"/>
  <c r="X98" i="1"/>
  <c r="Y98" i="1"/>
  <c r="Z98" i="1"/>
  <c r="AA98" i="1"/>
  <c r="AB98" i="1"/>
  <c r="AC98" i="1"/>
  <c r="AD98" i="1"/>
  <c r="AE98" i="1"/>
  <c r="W99" i="1"/>
  <c r="X99" i="1"/>
  <c r="Y99" i="1"/>
  <c r="Z99" i="1"/>
  <c r="AA99" i="1"/>
  <c r="AB99" i="1"/>
  <c r="AC99" i="1"/>
  <c r="AD99" i="1"/>
  <c r="AE99" i="1"/>
  <c r="X100" i="1"/>
  <c r="Y100" i="1"/>
  <c r="Z100" i="1"/>
  <c r="AA100" i="1"/>
  <c r="AB100" i="1"/>
  <c r="AC100" i="1"/>
  <c r="AD100" i="1"/>
  <c r="AE100" i="1"/>
  <c r="W101" i="1"/>
  <c r="X101" i="1"/>
  <c r="Y101" i="1"/>
  <c r="Z101" i="1"/>
  <c r="AA101" i="1"/>
  <c r="AB101" i="1"/>
  <c r="AC101" i="1"/>
  <c r="AD101" i="1"/>
  <c r="AE101" i="1"/>
  <c r="W102" i="1"/>
  <c r="X102" i="1"/>
  <c r="Y102" i="1"/>
  <c r="Z102" i="1"/>
  <c r="AA102" i="1"/>
  <c r="AB102" i="1"/>
  <c r="AC102" i="1"/>
  <c r="AD102" i="1"/>
  <c r="AE102" i="1"/>
  <c r="W103" i="1"/>
  <c r="X103" i="1"/>
  <c r="Y103" i="1"/>
  <c r="Z103" i="1"/>
  <c r="AA103" i="1"/>
  <c r="AB103" i="1"/>
  <c r="AC103" i="1"/>
  <c r="AD103" i="1"/>
  <c r="AE103" i="1"/>
  <c r="W104" i="1"/>
  <c r="X104" i="1"/>
  <c r="Y104" i="1"/>
  <c r="Z104" i="1"/>
  <c r="AA104" i="1"/>
  <c r="AB104" i="1"/>
  <c r="AC104" i="1"/>
  <c r="AD104" i="1"/>
  <c r="AE104" i="1"/>
  <c r="W105" i="1"/>
  <c r="X105" i="1"/>
  <c r="Y105" i="1"/>
  <c r="Z105" i="1"/>
  <c r="AA105" i="1"/>
  <c r="AB105" i="1"/>
  <c r="AC105" i="1"/>
  <c r="AD105" i="1"/>
  <c r="AE105" i="1"/>
  <c r="W106" i="1"/>
  <c r="X106" i="1"/>
  <c r="Y106" i="1"/>
  <c r="Z106" i="1"/>
  <c r="AA106" i="1"/>
  <c r="AB106" i="1"/>
  <c r="AC106" i="1"/>
  <c r="AD106" i="1"/>
  <c r="AE106" i="1"/>
  <c r="W107" i="1"/>
  <c r="X107" i="1"/>
  <c r="Y107" i="1"/>
  <c r="Z107" i="1"/>
  <c r="AA107" i="1"/>
  <c r="AB107" i="1"/>
  <c r="AC107" i="1"/>
  <c r="AD107" i="1"/>
  <c r="AE107" i="1"/>
  <c r="W108" i="1"/>
  <c r="X108" i="1"/>
  <c r="Y108" i="1"/>
  <c r="Z108" i="1"/>
  <c r="AA108" i="1"/>
  <c r="AB108" i="1"/>
  <c r="AC108" i="1"/>
  <c r="AD108" i="1"/>
  <c r="AE108" i="1"/>
  <c r="W109" i="1"/>
  <c r="X109" i="1"/>
  <c r="Y109" i="1"/>
  <c r="Z109" i="1"/>
  <c r="AA109" i="1"/>
  <c r="AB109" i="1"/>
  <c r="AC109" i="1"/>
  <c r="AD109" i="1"/>
  <c r="AE109" i="1"/>
  <c r="W110" i="1"/>
  <c r="X110" i="1"/>
  <c r="Y110" i="1"/>
  <c r="Z110" i="1"/>
  <c r="AA110" i="1"/>
  <c r="AB110" i="1"/>
  <c r="AC110" i="1"/>
  <c r="AD110" i="1"/>
  <c r="AE110" i="1"/>
  <c r="W111" i="1"/>
  <c r="X111" i="1"/>
  <c r="Y111" i="1"/>
  <c r="Z111" i="1"/>
  <c r="AA111" i="1"/>
  <c r="AB111" i="1"/>
  <c r="AC111" i="1"/>
  <c r="AD111" i="1"/>
  <c r="AE111" i="1"/>
  <c r="W112" i="1"/>
  <c r="X112" i="1"/>
  <c r="Y112" i="1"/>
  <c r="Z112" i="1"/>
  <c r="AA112" i="1"/>
  <c r="AB112" i="1"/>
  <c r="AC112" i="1"/>
  <c r="AD112" i="1"/>
  <c r="AE112" i="1"/>
  <c r="W113" i="1"/>
  <c r="X113" i="1"/>
  <c r="Y113" i="1"/>
  <c r="Z113" i="1"/>
  <c r="AA113" i="1"/>
  <c r="AB113" i="1"/>
  <c r="AC113" i="1"/>
  <c r="AD113" i="1"/>
  <c r="AE113" i="1"/>
  <c r="W114" i="1"/>
  <c r="X114" i="1"/>
  <c r="Y114" i="1"/>
  <c r="Z114" i="1"/>
  <c r="AA114" i="1"/>
  <c r="AB114" i="1"/>
  <c r="AC114" i="1"/>
  <c r="AD114" i="1"/>
  <c r="AE114" i="1"/>
  <c r="W115" i="1"/>
  <c r="X115" i="1"/>
  <c r="Y115" i="1"/>
  <c r="Z115" i="1"/>
  <c r="AA115" i="1"/>
  <c r="AB115" i="1"/>
  <c r="AC115" i="1"/>
  <c r="AD115" i="1"/>
  <c r="AE115" i="1"/>
  <c r="W116" i="1"/>
  <c r="X116" i="1"/>
  <c r="Y116" i="1"/>
  <c r="Z116" i="1"/>
  <c r="AA116" i="1"/>
  <c r="AB116" i="1"/>
  <c r="AC116" i="1"/>
  <c r="AD116" i="1"/>
  <c r="AE116" i="1"/>
  <c r="W117" i="1"/>
  <c r="X117" i="1"/>
  <c r="Y117" i="1"/>
  <c r="Z117" i="1"/>
  <c r="AA117" i="1"/>
  <c r="AB117" i="1"/>
  <c r="AC117" i="1"/>
  <c r="AD117" i="1"/>
  <c r="AE117" i="1"/>
  <c r="W118" i="1"/>
  <c r="X118" i="1"/>
  <c r="Y118" i="1"/>
  <c r="Z118" i="1"/>
  <c r="AA118" i="1"/>
  <c r="AB118" i="1"/>
  <c r="AC118" i="1"/>
  <c r="AD118" i="1"/>
  <c r="AE118" i="1"/>
  <c r="W119" i="1"/>
  <c r="X119" i="1"/>
  <c r="Y119" i="1"/>
  <c r="Z119" i="1"/>
  <c r="AA119" i="1"/>
  <c r="AB119" i="1"/>
  <c r="AC119" i="1"/>
  <c r="AD119" i="1"/>
  <c r="AE119" i="1"/>
  <c r="W120" i="1"/>
  <c r="X120" i="1"/>
  <c r="Y120" i="1"/>
  <c r="Z120" i="1"/>
  <c r="AA120" i="1"/>
  <c r="AB120" i="1"/>
  <c r="AC120" i="1"/>
  <c r="AD120" i="1"/>
  <c r="AE120" i="1"/>
  <c r="W121" i="1"/>
  <c r="X121" i="1"/>
  <c r="Y121" i="1"/>
  <c r="Z121" i="1"/>
  <c r="AA121" i="1"/>
  <c r="AB121" i="1"/>
  <c r="AC121" i="1"/>
  <c r="AD121" i="1"/>
  <c r="AE121" i="1"/>
  <c r="W122" i="1"/>
  <c r="X122" i="1"/>
  <c r="Y122" i="1"/>
  <c r="Z122" i="1"/>
  <c r="AA122" i="1"/>
  <c r="AB122" i="1"/>
  <c r="AC122" i="1"/>
  <c r="AD122" i="1"/>
  <c r="AE122" i="1"/>
  <c r="W123" i="1"/>
  <c r="X123" i="1"/>
  <c r="Y123" i="1"/>
  <c r="Z123" i="1"/>
  <c r="AA123" i="1"/>
  <c r="AB123" i="1"/>
  <c r="AC123" i="1"/>
  <c r="AD123" i="1"/>
  <c r="AE123" i="1"/>
  <c r="W124" i="1"/>
  <c r="X124" i="1"/>
  <c r="Y124" i="1"/>
  <c r="Z124" i="1"/>
  <c r="AA124" i="1"/>
  <c r="AB124" i="1"/>
  <c r="AC124" i="1"/>
  <c r="AD124" i="1"/>
  <c r="AE124" i="1"/>
  <c r="W125" i="1"/>
  <c r="X125" i="1"/>
  <c r="Y125" i="1"/>
  <c r="Z125" i="1"/>
  <c r="AA125" i="1"/>
  <c r="AB125" i="1"/>
  <c r="AC125" i="1"/>
  <c r="AD125" i="1"/>
  <c r="AE125" i="1"/>
  <c r="W126" i="1"/>
  <c r="X126" i="1"/>
  <c r="Y126" i="1"/>
  <c r="Z126" i="1"/>
  <c r="AA126" i="1"/>
  <c r="AB126" i="1"/>
  <c r="AC126" i="1"/>
  <c r="AD126" i="1"/>
  <c r="AE126" i="1"/>
  <c r="W127" i="1"/>
  <c r="X127" i="1"/>
  <c r="Y127" i="1"/>
  <c r="Z127" i="1"/>
  <c r="AA127" i="1"/>
  <c r="AB127" i="1"/>
  <c r="AC127" i="1"/>
  <c r="AD127" i="1"/>
  <c r="AE127" i="1"/>
  <c r="W128" i="1"/>
  <c r="X128" i="1"/>
  <c r="Y128" i="1"/>
  <c r="Z128" i="1"/>
  <c r="AA128" i="1"/>
  <c r="AB128" i="1"/>
  <c r="AC128" i="1"/>
  <c r="AD128" i="1"/>
  <c r="AE128" i="1"/>
  <c r="W129" i="1"/>
  <c r="X129" i="1"/>
  <c r="Y129" i="1"/>
  <c r="Z129" i="1"/>
  <c r="AA129" i="1"/>
  <c r="AB129" i="1"/>
  <c r="AC129" i="1"/>
  <c r="AD129" i="1"/>
  <c r="AE129" i="1"/>
  <c r="W130" i="1"/>
  <c r="X130" i="1"/>
  <c r="Y130" i="1"/>
  <c r="Z130" i="1"/>
  <c r="AA130" i="1"/>
  <c r="AB130" i="1"/>
  <c r="AC130" i="1"/>
  <c r="AD130" i="1"/>
  <c r="AE130" i="1"/>
  <c r="W131" i="1"/>
  <c r="X131" i="1"/>
  <c r="Y131" i="1"/>
  <c r="Z131" i="1"/>
  <c r="AA131" i="1"/>
  <c r="AB131" i="1"/>
  <c r="AC131" i="1"/>
  <c r="AD131" i="1"/>
  <c r="AE131" i="1"/>
  <c r="W132" i="1"/>
  <c r="X132" i="1"/>
  <c r="Y132" i="1"/>
  <c r="Z132" i="1"/>
  <c r="AA132" i="1"/>
  <c r="AB132" i="1"/>
  <c r="AC132" i="1"/>
  <c r="AD132" i="1"/>
  <c r="AE132" i="1"/>
  <c r="W133" i="1"/>
  <c r="X133" i="1"/>
  <c r="Y133" i="1"/>
  <c r="Z133" i="1"/>
  <c r="AA133" i="1"/>
  <c r="AB133" i="1"/>
  <c r="AC133" i="1"/>
  <c r="AD133" i="1"/>
  <c r="AE133" i="1"/>
  <c r="W134" i="1"/>
  <c r="X134" i="1"/>
  <c r="Y134" i="1"/>
  <c r="Z134" i="1"/>
  <c r="AA134" i="1"/>
  <c r="AB134" i="1"/>
  <c r="AC134" i="1"/>
  <c r="AD134" i="1"/>
  <c r="AE134" i="1"/>
  <c r="W135" i="1"/>
  <c r="X135" i="1"/>
  <c r="Y135" i="1"/>
  <c r="Z135" i="1"/>
  <c r="AA135" i="1"/>
  <c r="AB135" i="1"/>
  <c r="AC135" i="1"/>
  <c r="AD135" i="1"/>
  <c r="AE135" i="1"/>
  <c r="W136" i="1"/>
  <c r="X136" i="1"/>
  <c r="Y136" i="1"/>
  <c r="Z136" i="1"/>
  <c r="AA136" i="1"/>
  <c r="AB136" i="1"/>
  <c r="AC136" i="1"/>
  <c r="AD136" i="1"/>
  <c r="AE136" i="1"/>
  <c r="W137" i="1"/>
  <c r="X137" i="1"/>
  <c r="Y137" i="1"/>
  <c r="Z137" i="1"/>
  <c r="AA137" i="1"/>
  <c r="AB137" i="1"/>
  <c r="AC137" i="1"/>
  <c r="AD137" i="1"/>
  <c r="AE137" i="1"/>
  <c r="W138" i="1"/>
  <c r="X138" i="1"/>
  <c r="Y138" i="1"/>
  <c r="Z138" i="1"/>
  <c r="AA138" i="1"/>
  <c r="AB138" i="1"/>
  <c r="AC138" i="1"/>
  <c r="AD138" i="1"/>
  <c r="AE138" i="1"/>
  <c r="W139" i="1"/>
  <c r="X139" i="1"/>
  <c r="Y139" i="1"/>
  <c r="Z139" i="1"/>
  <c r="AA139" i="1"/>
  <c r="AB139" i="1"/>
  <c r="AC139" i="1"/>
  <c r="AD139" i="1"/>
  <c r="AE139" i="1"/>
  <c r="W140" i="1"/>
  <c r="X140" i="1"/>
  <c r="Y140" i="1"/>
  <c r="Z140" i="1"/>
  <c r="AA140" i="1"/>
  <c r="AB140" i="1"/>
  <c r="AC140" i="1"/>
  <c r="AD140" i="1"/>
  <c r="AE140" i="1"/>
  <c r="W141" i="1"/>
  <c r="X141" i="1"/>
  <c r="Y141" i="1"/>
  <c r="Z141" i="1"/>
  <c r="AA141" i="1"/>
  <c r="AB141" i="1"/>
  <c r="AC141" i="1"/>
  <c r="AD141" i="1"/>
  <c r="AE141" i="1"/>
  <c r="W142" i="1"/>
  <c r="X142" i="1"/>
  <c r="Y142" i="1"/>
  <c r="Z142" i="1"/>
  <c r="AA142" i="1"/>
  <c r="AB142" i="1"/>
  <c r="AC142" i="1"/>
  <c r="AD142" i="1"/>
  <c r="AE142" i="1"/>
  <c r="W143" i="1"/>
  <c r="X143" i="1"/>
  <c r="Y143" i="1"/>
  <c r="Z143" i="1"/>
  <c r="AA143" i="1"/>
  <c r="AB143" i="1"/>
  <c r="AC143" i="1"/>
  <c r="AD143" i="1"/>
  <c r="AE143" i="1"/>
  <c r="W144" i="1"/>
  <c r="X144" i="1"/>
  <c r="Y144" i="1"/>
  <c r="Z144" i="1"/>
  <c r="AA144" i="1"/>
  <c r="AB144" i="1"/>
  <c r="AC144" i="1"/>
  <c r="AD144" i="1"/>
  <c r="AE144" i="1"/>
  <c r="W145" i="1"/>
  <c r="X145" i="1"/>
  <c r="Y145" i="1"/>
  <c r="Z145" i="1"/>
  <c r="AA145" i="1"/>
  <c r="AB145" i="1"/>
  <c r="AC145" i="1"/>
  <c r="AD145" i="1"/>
  <c r="AE145" i="1"/>
  <c r="W146" i="1"/>
  <c r="X146" i="1"/>
  <c r="Y146" i="1"/>
  <c r="Z146" i="1"/>
  <c r="AA146" i="1"/>
  <c r="AB146" i="1"/>
  <c r="AC146" i="1"/>
  <c r="AD146" i="1"/>
  <c r="AE146" i="1"/>
  <c r="W147" i="1"/>
  <c r="X147" i="1"/>
  <c r="Y147" i="1"/>
  <c r="Z147" i="1"/>
  <c r="AA147" i="1"/>
  <c r="AB147" i="1"/>
  <c r="AC147" i="1"/>
  <c r="AD147" i="1"/>
  <c r="AE147" i="1"/>
  <c r="W148" i="1"/>
  <c r="X148" i="1"/>
  <c r="Y148" i="1"/>
  <c r="Z148" i="1"/>
  <c r="AA148" i="1"/>
  <c r="AB148" i="1"/>
  <c r="AC148" i="1"/>
  <c r="AD148" i="1"/>
  <c r="AE148" i="1"/>
  <c r="W149" i="1"/>
  <c r="X149" i="1"/>
  <c r="Y149" i="1"/>
  <c r="Z149" i="1"/>
  <c r="AA149" i="1"/>
  <c r="AB149" i="1"/>
  <c r="AC149" i="1"/>
  <c r="AD149" i="1"/>
  <c r="AE149" i="1"/>
  <c r="W150" i="1"/>
  <c r="X150" i="1"/>
  <c r="Y150" i="1"/>
  <c r="Z150" i="1"/>
  <c r="AA150" i="1"/>
  <c r="AB150" i="1"/>
  <c r="AC150" i="1"/>
  <c r="AD150" i="1"/>
  <c r="AE150" i="1"/>
  <c r="W151" i="1"/>
  <c r="X151" i="1"/>
  <c r="Y151" i="1"/>
  <c r="Z151" i="1"/>
  <c r="AA151" i="1"/>
  <c r="AB151" i="1"/>
  <c r="AC151" i="1"/>
  <c r="AD151" i="1"/>
  <c r="AE151" i="1"/>
  <c r="W152" i="1"/>
  <c r="X152" i="1"/>
  <c r="Y152" i="1"/>
  <c r="Z152" i="1"/>
  <c r="AA152" i="1"/>
  <c r="AB152" i="1"/>
  <c r="AC152" i="1"/>
  <c r="AD152" i="1"/>
  <c r="AE152" i="1"/>
  <c r="W153" i="1"/>
  <c r="X153" i="1"/>
  <c r="Y153" i="1"/>
  <c r="Z153" i="1"/>
  <c r="AA153" i="1"/>
  <c r="AB153" i="1"/>
  <c r="AC153" i="1"/>
  <c r="AD153" i="1"/>
  <c r="AE153" i="1"/>
  <c r="W154" i="1"/>
  <c r="X154" i="1"/>
  <c r="Y154" i="1"/>
  <c r="Z154" i="1"/>
  <c r="AA154" i="1"/>
  <c r="AB154" i="1"/>
  <c r="AC154" i="1"/>
  <c r="AD154" i="1"/>
  <c r="AE154" i="1"/>
  <c r="W155" i="1"/>
  <c r="X155" i="1"/>
  <c r="Y155" i="1"/>
  <c r="Z155" i="1"/>
  <c r="AA155" i="1"/>
  <c r="AB155" i="1"/>
  <c r="AC155" i="1"/>
  <c r="AD155" i="1"/>
  <c r="AE155" i="1"/>
  <c r="W156" i="1"/>
  <c r="X156" i="1"/>
  <c r="Y156" i="1"/>
  <c r="Z156" i="1"/>
  <c r="AA156" i="1"/>
  <c r="AB156" i="1"/>
  <c r="AC156" i="1"/>
  <c r="AD156" i="1"/>
  <c r="AE156" i="1"/>
  <c r="W157" i="1"/>
  <c r="X157" i="1"/>
  <c r="Y157" i="1"/>
  <c r="Z157" i="1"/>
  <c r="AA157" i="1"/>
  <c r="AB157" i="1"/>
  <c r="AC157" i="1"/>
  <c r="AD157" i="1"/>
  <c r="AE157" i="1"/>
  <c r="W158" i="1"/>
  <c r="X158" i="1"/>
  <c r="Y158" i="1"/>
  <c r="Z158" i="1"/>
  <c r="AA158" i="1"/>
  <c r="AB158" i="1"/>
  <c r="AC158" i="1"/>
  <c r="AD158" i="1"/>
  <c r="AE158" i="1"/>
  <c r="W159" i="1"/>
  <c r="X159" i="1"/>
  <c r="Y159" i="1"/>
  <c r="Z159" i="1"/>
  <c r="AA159" i="1"/>
  <c r="AB159" i="1"/>
  <c r="AC159" i="1"/>
  <c r="AD159" i="1"/>
  <c r="AE159" i="1"/>
  <c r="W160" i="1"/>
  <c r="X160" i="1"/>
  <c r="Y160" i="1"/>
  <c r="Z160" i="1"/>
  <c r="AA160" i="1"/>
  <c r="AB160" i="1"/>
  <c r="AC160" i="1"/>
  <c r="AD160" i="1"/>
  <c r="AE160" i="1"/>
  <c r="W161" i="1"/>
  <c r="X161" i="1"/>
  <c r="Y161" i="1"/>
  <c r="Z161" i="1"/>
  <c r="AA161" i="1"/>
  <c r="AB161" i="1"/>
  <c r="AC161" i="1"/>
  <c r="AD161" i="1"/>
  <c r="AE161" i="1"/>
  <c r="W162" i="1"/>
  <c r="X162" i="1"/>
  <c r="Y162" i="1"/>
  <c r="Z162" i="1"/>
  <c r="AA162" i="1"/>
  <c r="AB162" i="1"/>
  <c r="AC162" i="1"/>
  <c r="AD162" i="1"/>
  <c r="AE162" i="1"/>
  <c r="W163" i="1"/>
  <c r="X163" i="1"/>
  <c r="Y163" i="1"/>
  <c r="Z163" i="1"/>
  <c r="AA163" i="1"/>
  <c r="AB163" i="1"/>
  <c r="AC163" i="1"/>
  <c r="AD163" i="1"/>
  <c r="AE163" i="1"/>
  <c r="W164" i="1"/>
  <c r="X164" i="1"/>
  <c r="Y164" i="1"/>
  <c r="Z164" i="1"/>
  <c r="AA164" i="1"/>
  <c r="AB164" i="1"/>
  <c r="AC164" i="1"/>
  <c r="AD164" i="1"/>
  <c r="AE164" i="1"/>
  <c r="W165" i="1"/>
  <c r="X165" i="1"/>
  <c r="Y165" i="1"/>
  <c r="Z165" i="1"/>
  <c r="AA165" i="1"/>
  <c r="AB165" i="1"/>
  <c r="AC165" i="1"/>
  <c r="AD165" i="1"/>
  <c r="AE165" i="1"/>
  <c r="W166" i="1"/>
  <c r="X166" i="1"/>
  <c r="Y166" i="1"/>
  <c r="Z166" i="1"/>
  <c r="AA166" i="1"/>
  <c r="AB166" i="1"/>
  <c r="AC166" i="1"/>
  <c r="AD166" i="1"/>
  <c r="AE166" i="1"/>
  <c r="W167" i="1"/>
  <c r="X167" i="1"/>
  <c r="Y167" i="1"/>
  <c r="Z167" i="1"/>
  <c r="AA167" i="1"/>
  <c r="AB167" i="1"/>
  <c r="AC167" i="1"/>
  <c r="AD167" i="1"/>
  <c r="AE167" i="1"/>
  <c r="W168" i="1"/>
  <c r="X168" i="1"/>
  <c r="Y168" i="1"/>
  <c r="Z168" i="1"/>
  <c r="AA168" i="1"/>
  <c r="AB168" i="1"/>
  <c r="AC168" i="1"/>
  <c r="AD168" i="1"/>
  <c r="AE168" i="1"/>
  <c r="W169" i="1"/>
  <c r="X169" i="1"/>
  <c r="Y169" i="1"/>
  <c r="Z169" i="1"/>
  <c r="AA169" i="1"/>
  <c r="AB169" i="1"/>
  <c r="AC169" i="1"/>
  <c r="AD169" i="1"/>
  <c r="AE169" i="1"/>
  <c r="W170" i="1"/>
  <c r="X170" i="1"/>
  <c r="Y170" i="1"/>
  <c r="Z170" i="1"/>
  <c r="AA170" i="1"/>
  <c r="AB170" i="1"/>
  <c r="AC170" i="1"/>
  <c r="AD170" i="1"/>
  <c r="AE170" i="1"/>
  <c r="W171" i="1"/>
  <c r="X171" i="1"/>
  <c r="Y171" i="1"/>
  <c r="Z171" i="1"/>
  <c r="AA171" i="1"/>
  <c r="AB171" i="1"/>
  <c r="AC171" i="1"/>
  <c r="AD171" i="1"/>
  <c r="AE171" i="1"/>
  <c r="W172" i="1"/>
  <c r="X172" i="1"/>
  <c r="Y172" i="1"/>
  <c r="Z172" i="1"/>
  <c r="AA172" i="1"/>
  <c r="AB172" i="1"/>
  <c r="AC172" i="1"/>
  <c r="AD172" i="1"/>
  <c r="AE172" i="1"/>
  <c r="W173" i="1"/>
  <c r="X173" i="1"/>
  <c r="Y173" i="1"/>
  <c r="Z173" i="1"/>
  <c r="AA173" i="1"/>
  <c r="AB173" i="1"/>
  <c r="AC173" i="1"/>
  <c r="AD173" i="1"/>
  <c r="AE173" i="1"/>
  <c r="W174" i="1"/>
  <c r="X174" i="1"/>
  <c r="Y174" i="1"/>
  <c r="Z174" i="1"/>
  <c r="AA174" i="1"/>
  <c r="AB174" i="1"/>
  <c r="AC174" i="1"/>
  <c r="AD174" i="1"/>
  <c r="AE174" i="1"/>
  <c r="W175" i="1"/>
  <c r="X175" i="1"/>
  <c r="Y175" i="1"/>
  <c r="Z175" i="1"/>
  <c r="AA175" i="1"/>
  <c r="AB175" i="1"/>
  <c r="AC175" i="1"/>
  <c r="AD175" i="1"/>
  <c r="AE175" i="1"/>
  <c r="W176" i="1"/>
  <c r="X176" i="1"/>
  <c r="Y176" i="1"/>
  <c r="Z176" i="1"/>
  <c r="AA176" i="1"/>
  <c r="AB176" i="1"/>
  <c r="AC176" i="1"/>
  <c r="AD176" i="1"/>
  <c r="AE176" i="1"/>
  <c r="W177" i="1"/>
  <c r="X177" i="1"/>
  <c r="Y177" i="1"/>
  <c r="Z177" i="1"/>
  <c r="AA177" i="1"/>
  <c r="AB177" i="1"/>
  <c r="AC177" i="1"/>
  <c r="AD177" i="1"/>
  <c r="AE177" i="1"/>
  <c r="W178" i="1"/>
  <c r="X178" i="1"/>
  <c r="Y178" i="1"/>
  <c r="Z178" i="1"/>
  <c r="AA178" i="1"/>
  <c r="AB178" i="1"/>
  <c r="AC178" i="1"/>
  <c r="AD178" i="1"/>
  <c r="AE178" i="1"/>
  <c r="W179" i="1"/>
  <c r="X179" i="1"/>
  <c r="Y179" i="1"/>
  <c r="Z179" i="1"/>
  <c r="AA179" i="1"/>
  <c r="AB179" i="1"/>
  <c r="AC179" i="1"/>
  <c r="AD179" i="1"/>
  <c r="AE179" i="1"/>
  <c r="W180" i="1"/>
  <c r="X180" i="1"/>
  <c r="Y180" i="1"/>
  <c r="Z180" i="1"/>
  <c r="AA180" i="1"/>
  <c r="AB180" i="1"/>
  <c r="AC180" i="1"/>
  <c r="AD180" i="1"/>
  <c r="AE180" i="1"/>
  <c r="W181" i="1"/>
  <c r="X181" i="1"/>
  <c r="Y181" i="1"/>
  <c r="Z181" i="1"/>
  <c r="AA181" i="1"/>
  <c r="AB181" i="1"/>
  <c r="AC181" i="1"/>
  <c r="AD181" i="1"/>
  <c r="AE181" i="1"/>
  <c r="W182" i="1"/>
  <c r="X182" i="1"/>
  <c r="Y182" i="1"/>
  <c r="Z182" i="1"/>
  <c r="AA182" i="1"/>
  <c r="AB182" i="1"/>
  <c r="AC182" i="1"/>
  <c r="AD182" i="1"/>
  <c r="AE182" i="1"/>
  <c r="W183" i="1"/>
  <c r="X183" i="1"/>
  <c r="Y183" i="1"/>
  <c r="Z183" i="1"/>
  <c r="AA183" i="1"/>
  <c r="AB183" i="1"/>
  <c r="AC183" i="1"/>
  <c r="AD183" i="1"/>
  <c r="AE183" i="1"/>
  <c r="W184" i="1"/>
  <c r="X184" i="1"/>
  <c r="Y184" i="1"/>
  <c r="Z184" i="1"/>
  <c r="AA184" i="1"/>
  <c r="AB184" i="1"/>
  <c r="AC184" i="1"/>
  <c r="AD184" i="1"/>
  <c r="AE184" i="1"/>
  <c r="W185" i="1"/>
  <c r="X185" i="1"/>
  <c r="Y185" i="1"/>
  <c r="Z185" i="1"/>
  <c r="AA185" i="1"/>
  <c r="AB185" i="1"/>
  <c r="AC185" i="1"/>
  <c r="AD185" i="1"/>
  <c r="AE185" i="1"/>
  <c r="W186" i="1"/>
  <c r="X186" i="1"/>
  <c r="Y186" i="1"/>
  <c r="Z186" i="1"/>
  <c r="AA186" i="1"/>
  <c r="AB186" i="1"/>
  <c r="AC186" i="1"/>
  <c r="AD186" i="1"/>
  <c r="AE186" i="1"/>
  <c r="W187" i="1"/>
  <c r="X187" i="1"/>
  <c r="Y187" i="1"/>
  <c r="Z187" i="1"/>
  <c r="AA187" i="1"/>
  <c r="AB187" i="1"/>
  <c r="AC187" i="1"/>
  <c r="AD187" i="1"/>
  <c r="AE187" i="1"/>
  <c r="W188" i="1"/>
  <c r="X188" i="1"/>
  <c r="Y188" i="1"/>
  <c r="Z188" i="1"/>
  <c r="AA188" i="1"/>
  <c r="AB188" i="1"/>
  <c r="AC188" i="1"/>
  <c r="AD188" i="1"/>
  <c r="AE188" i="1"/>
  <c r="W189" i="1"/>
  <c r="X189" i="1"/>
  <c r="Y189" i="1"/>
  <c r="Z189" i="1"/>
  <c r="AA189" i="1"/>
  <c r="AB189" i="1"/>
  <c r="AC189" i="1"/>
  <c r="AD189" i="1"/>
  <c r="AE189" i="1"/>
  <c r="W190" i="1"/>
  <c r="X190" i="1"/>
  <c r="Y190" i="1"/>
  <c r="Z190" i="1"/>
  <c r="AA190" i="1"/>
  <c r="AB190" i="1"/>
  <c r="AC190" i="1"/>
  <c r="AD190" i="1"/>
  <c r="AE190" i="1"/>
  <c r="W191" i="1"/>
  <c r="X191" i="1"/>
  <c r="Y191" i="1"/>
  <c r="Z191" i="1"/>
  <c r="AA191" i="1"/>
  <c r="AB191" i="1"/>
  <c r="AC191" i="1"/>
  <c r="AD191" i="1"/>
  <c r="AE191" i="1"/>
  <c r="W192" i="1"/>
  <c r="X192" i="1"/>
  <c r="Y192" i="1"/>
  <c r="Z192" i="1"/>
  <c r="AA192" i="1"/>
  <c r="AB192" i="1"/>
  <c r="AC192" i="1"/>
  <c r="AD192" i="1"/>
  <c r="AE192" i="1"/>
  <c r="W193" i="1"/>
  <c r="X193" i="1"/>
  <c r="Y193" i="1"/>
  <c r="Z193" i="1"/>
  <c r="AA193" i="1"/>
  <c r="AB193" i="1"/>
  <c r="AC193" i="1"/>
  <c r="AD193" i="1"/>
  <c r="AE193" i="1"/>
  <c r="W194" i="1"/>
  <c r="X194" i="1"/>
  <c r="Y194" i="1"/>
  <c r="Z194" i="1"/>
  <c r="AA194" i="1"/>
  <c r="AB194" i="1"/>
  <c r="AC194" i="1"/>
  <c r="AD194" i="1"/>
  <c r="AE194" i="1"/>
  <c r="W195" i="1"/>
  <c r="X195" i="1"/>
  <c r="Y195" i="1"/>
  <c r="Z195" i="1"/>
  <c r="AA195" i="1"/>
  <c r="AB195" i="1"/>
  <c r="AC195" i="1"/>
  <c r="AD195" i="1"/>
  <c r="AE195" i="1"/>
  <c r="X2" i="1"/>
  <c r="Y2" i="1"/>
  <c r="Z2" i="1"/>
  <c r="AA2" i="1"/>
  <c r="AB2" i="1"/>
  <c r="AC2" i="1"/>
  <c r="AD2" i="1"/>
  <c r="W2" i="1"/>
  <c r="T195" i="20" a="1"/>
  <c r="T195" i="20" s="1"/>
  <c r="S195" i="20" a="1"/>
  <c r="S195" i="20" s="1"/>
  <c r="R195" i="20" a="1"/>
  <c r="R195" i="20" s="1"/>
  <c r="Q195" i="20" a="1"/>
  <c r="Q195" i="20" s="1"/>
  <c r="O195" i="20" a="1"/>
  <c r="O195" i="20" s="1"/>
  <c r="L195" i="20" a="1"/>
  <c r="L195" i="20" s="1"/>
  <c r="T194" i="20" a="1"/>
  <c r="T194" i="20" s="1"/>
  <c r="S194" i="20" a="1"/>
  <c r="S194" i="20" s="1"/>
  <c r="R194" i="20" a="1"/>
  <c r="R194" i="20" s="1"/>
  <c r="Q194" i="20" a="1"/>
  <c r="Q194" i="20" s="1"/>
  <c r="O194" i="20" a="1"/>
  <c r="O194" i="20" s="1"/>
  <c r="L194" i="20" a="1"/>
  <c r="L194" i="20" s="1"/>
  <c r="T193" i="20" a="1"/>
  <c r="T193" i="20" s="1"/>
  <c r="S193" i="20" a="1"/>
  <c r="S193" i="20" s="1"/>
  <c r="R193" i="20" a="1"/>
  <c r="R193" i="20" s="1"/>
  <c r="Q193" i="20" a="1"/>
  <c r="Q193" i="20" s="1"/>
  <c r="O193" i="20" a="1"/>
  <c r="O193" i="20" s="1"/>
  <c r="L193" i="20" a="1"/>
  <c r="L193" i="20" s="1"/>
  <c r="T192" i="20" a="1"/>
  <c r="T192" i="20" s="1"/>
  <c r="S192" i="20" a="1"/>
  <c r="S192" i="20" s="1"/>
  <c r="R192" i="20" a="1"/>
  <c r="R192" i="20" s="1"/>
  <c r="Q192" i="20" a="1"/>
  <c r="Q192" i="20" s="1"/>
  <c r="O192" i="20" a="1"/>
  <c r="O192" i="20" s="1"/>
  <c r="L192" i="20" a="1"/>
  <c r="L192" i="20" s="1"/>
  <c r="T191" i="20" a="1"/>
  <c r="T191" i="20" s="1"/>
  <c r="S191" i="20" a="1"/>
  <c r="S191" i="20" s="1"/>
  <c r="R191" i="20" a="1"/>
  <c r="R191" i="20" s="1"/>
  <c r="Q191" i="20" a="1"/>
  <c r="Q191" i="20" s="1"/>
  <c r="O191" i="20" a="1"/>
  <c r="O191" i="20" s="1"/>
  <c r="L191" i="20" a="1"/>
  <c r="L191" i="20" s="1"/>
  <c r="T190" i="20" a="1"/>
  <c r="T190" i="20" s="1"/>
  <c r="S190" i="20" a="1"/>
  <c r="S190" i="20" s="1"/>
  <c r="R190" i="20" a="1"/>
  <c r="R190" i="20" s="1"/>
  <c r="Q190" i="20" a="1"/>
  <c r="Q190" i="20" s="1"/>
  <c r="O190" i="20" a="1"/>
  <c r="O190" i="20" s="1"/>
  <c r="L190" i="20" a="1"/>
  <c r="L190" i="20" s="1"/>
  <c r="T189" i="20" a="1"/>
  <c r="T189" i="20" s="1"/>
  <c r="S189" i="20" a="1"/>
  <c r="S189" i="20" s="1"/>
  <c r="R189" i="20" a="1"/>
  <c r="R189" i="20" s="1"/>
  <c r="Q189" i="20" a="1"/>
  <c r="Q189" i="20" s="1"/>
  <c r="O189" i="20" a="1"/>
  <c r="O189" i="20" s="1"/>
  <c r="L189" i="20" a="1"/>
  <c r="L189" i="20" s="1"/>
  <c r="T188" i="20" a="1"/>
  <c r="T188" i="20" s="1"/>
  <c r="S188" i="20" a="1"/>
  <c r="S188" i="20" s="1"/>
  <c r="R188" i="20" a="1"/>
  <c r="R188" i="20" s="1"/>
  <c r="Q188" i="20" a="1"/>
  <c r="Q188" i="20" s="1"/>
  <c r="O188" i="20" a="1"/>
  <c r="O188" i="20" s="1"/>
  <c r="L188" i="20" a="1"/>
  <c r="L188" i="20" s="1"/>
  <c r="T187" i="20" a="1"/>
  <c r="T187" i="20" s="1"/>
  <c r="S187" i="20" a="1"/>
  <c r="S187" i="20" s="1"/>
  <c r="R187" i="20" a="1"/>
  <c r="R187" i="20" s="1"/>
  <c r="Q187" i="20" a="1"/>
  <c r="Q187" i="20" s="1"/>
  <c r="O187" i="20" a="1"/>
  <c r="O187" i="20" s="1"/>
  <c r="L187" i="20" a="1"/>
  <c r="L187" i="20" s="1"/>
  <c r="T186" i="20" a="1"/>
  <c r="T186" i="20" s="1"/>
  <c r="S186" i="20" a="1"/>
  <c r="S186" i="20" s="1"/>
  <c r="R186" i="20" a="1"/>
  <c r="R186" i="20" s="1"/>
  <c r="Q186" i="20" a="1"/>
  <c r="Q186" i="20" s="1"/>
  <c r="O186" i="20" a="1"/>
  <c r="O186" i="20" s="1"/>
  <c r="L186" i="20" a="1"/>
  <c r="L186" i="20" s="1"/>
  <c r="T185" i="20" a="1"/>
  <c r="T185" i="20" s="1"/>
  <c r="S185" i="20" a="1"/>
  <c r="S185" i="20" s="1"/>
  <c r="R185" i="20" a="1"/>
  <c r="R185" i="20" s="1"/>
  <c r="Q185" i="20" a="1"/>
  <c r="Q185" i="20" s="1"/>
  <c r="O185" i="20" a="1"/>
  <c r="O185" i="20" s="1"/>
  <c r="L185" i="20" a="1"/>
  <c r="L185" i="20" s="1"/>
  <c r="T184" i="20" a="1"/>
  <c r="T184" i="20" s="1"/>
  <c r="S184" i="20" a="1"/>
  <c r="S184" i="20" s="1"/>
  <c r="R184" i="20" a="1"/>
  <c r="R184" i="20" s="1"/>
  <c r="Q184" i="20" a="1"/>
  <c r="Q184" i="20" s="1"/>
  <c r="O184" i="20" a="1"/>
  <c r="O184" i="20" s="1"/>
  <c r="L184" i="20" a="1"/>
  <c r="L184" i="20" s="1"/>
  <c r="T183" i="20" a="1"/>
  <c r="T183" i="20" s="1"/>
  <c r="S183" i="20" a="1"/>
  <c r="S183" i="20" s="1"/>
  <c r="R183" i="20" a="1"/>
  <c r="R183" i="20" s="1"/>
  <c r="Q183" i="20" a="1"/>
  <c r="Q183" i="20" s="1"/>
  <c r="O183" i="20" a="1"/>
  <c r="O183" i="20" s="1"/>
  <c r="L183" i="20" a="1"/>
  <c r="L183" i="20" s="1"/>
  <c r="T182" i="20" a="1"/>
  <c r="T182" i="20" s="1"/>
  <c r="S182" i="20" a="1"/>
  <c r="S182" i="20" s="1"/>
  <c r="R182" i="20" a="1"/>
  <c r="R182" i="20" s="1"/>
  <c r="Q182" i="20" a="1"/>
  <c r="Q182" i="20" s="1"/>
  <c r="O182" i="20" a="1"/>
  <c r="O182" i="20" s="1"/>
  <c r="L182" i="20" a="1"/>
  <c r="L182" i="20" s="1"/>
  <c r="T181" i="20" a="1"/>
  <c r="T181" i="20" s="1"/>
  <c r="S181" i="20" a="1"/>
  <c r="S181" i="20" s="1"/>
  <c r="R181" i="20" a="1"/>
  <c r="R181" i="20" s="1"/>
  <c r="Q181" i="20" a="1"/>
  <c r="Q181" i="20" s="1"/>
  <c r="O181" i="20" a="1"/>
  <c r="O181" i="20" s="1"/>
  <c r="L181" i="20" a="1"/>
  <c r="L181" i="20" s="1"/>
  <c r="T180" i="20" a="1"/>
  <c r="T180" i="20" s="1"/>
  <c r="S180" i="20" a="1"/>
  <c r="S180" i="20" s="1"/>
  <c r="R180" i="20" a="1"/>
  <c r="R180" i="20" s="1"/>
  <c r="Q180" i="20" a="1"/>
  <c r="Q180" i="20" s="1"/>
  <c r="O180" i="20" a="1"/>
  <c r="O180" i="20" s="1"/>
  <c r="L180" i="20" a="1"/>
  <c r="L180" i="20" s="1"/>
  <c r="T179" i="20" a="1"/>
  <c r="T179" i="20" s="1"/>
  <c r="S179" i="20" a="1"/>
  <c r="S179" i="20" s="1"/>
  <c r="R179" i="20" a="1"/>
  <c r="R179" i="20" s="1"/>
  <c r="Q179" i="20" a="1"/>
  <c r="Q179" i="20" s="1"/>
  <c r="O179" i="20" a="1"/>
  <c r="O179" i="20" s="1"/>
  <c r="L179" i="20" a="1"/>
  <c r="L179" i="20" s="1"/>
  <c r="T178" i="20" a="1"/>
  <c r="T178" i="20" s="1"/>
  <c r="S178" i="20" a="1"/>
  <c r="S178" i="20" s="1"/>
  <c r="R178" i="20" a="1"/>
  <c r="R178" i="20" s="1"/>
  <c r="Q178" i="20" a="1"/>
  <c r="Q178" i="20" s="1"/>
  <c r="O178" i="20" a="1"/>
  <c r="O178" i="20" s="1"/>
  <c r="L178" i="20" a="1"/>
  <c r="L178" i="20" s="1"/>
  <c r="T177" i="20" a="1"/>
  <c r="T177" i="20" s="1"/>
  <c r="S177" i="20" a="1"/>
  <c r="S177" i="20" s="1"/>
  <c r="R177" i="20" a="1"/>
  <c r="R177" i="20" s="1"/>
  <c r="Q177" i="20" a="1"/>
  <c r="Q177" i="20" s="1"/>
  <c r="O177" i="20" a="1"/>
  <c r="O177" i="20" s="1"/>
  <c r="L177" i="20" a="1"/>
  <c r="L177" i="20" s="1"/>
  <c r="T176" i="20" a="1"/>
  <c r="T176" i="20" s="1"/>
  <c r="S176" i="20" a="1"/>
  <c r="S176" i="20" s="1"/>
  <c r="R176" i="20" a="1"/>
  <c r="R176" i="20" s="1"/>
  <c r="Q176" i="20" a="1"/>
  <c r="Q176" i="20" s="1"/>
  <c r="O176" i="20" a="1"/>
  <c r="O176" i="20" s="1"/>
  <c r="L176" i="20" a="1"/>
  <c r="L176" i="20" s="1"/>
  <c r="T175" i="20" a="1"/>
  <c r="T175" i="20" s="1"/>
  <c r="S175" i="20" a="1"/>
  <c r="S175" i="20" s="1"/>
  <c r="R175" i="20" a="1"/>
  <c r="R175" i="20" s="1"/>
  <c r="Q175" i="20" a="1"/>
  <c r="Q175" i="20" s="1"/>
  <c r="O175" i="20" a="1"/>
  <c r="O175" i="20" s="1"/>
  <c r="L175" i="20" a="1"/>
  <c r="L175" i="20" s="1"/>
  <c r="T174" i="20" a="1"/>
  <c r="T174" i="20" s="1"/>
  <c r="S174" i="20" a="1"/>
  <c r="S174" i="20" s="1"/>
  <c r="R174" i="20" a="1"/>
  <c r="R174" i="20" s="1"/>
  <c r="Q174" i="20" a="1"/>
  <c r="Q174" i="20" s="1"/>
  <c r="O174" i="20" a="1"/>
  <c r="O174" i="20" s="1"/>
  <c r="L174" i="20" a="1"/>
  <c r="L174" i="20" s="1"/>
  <c r="T173" i="20" a="1"/>
  <c r="T173" i="20" s="1"/>
  <c r="S173" i="20" a="1"/>
  <c r="S173" i="20" s="1"/>
  <c r="R173" i="20" a="1"/>
  <c r="R173" i="20" s="1"/>
  <c r="Q173" i="20" a="1"/>
  <c r="Q173" i="20" s="1"/>
  <c r="O173" i="20" a="1"/>
  <c r="O173" i="20" s="1"/>
  <c r="L173" i="20" a="1"/>
  <c r="L173" i="20" s="1"/>
  <c r="T172" i="20" a="1"/>
  <c r="T172" i="20" s="1"/>
  <c r="S172" i="20" a="1"/>
  <c r="S172" i="20" s="1"/>
  <c r="R172" i="20" a="1"/>
  <c r="R172" i="20" s="1"/>
  <c r="Q172" i="20" a="1"/>
  <c r="Q172" i="20" s="1"/>
  <c r="O172" i="20" a="1"/>
  <c r="O172" i="20" s="1"/>
  <c r="L172" i="20" a="1"/>
  <c r="L172" i="20" s="1"/>
  <c r="T171" i="20" a="1"/>
  <c r="T171" i="20" s="1"/>
  <c r="S171" i="20" a="1"/>
  <c r="S171" i="20" s="1"/>
  <c r="R171" i="20" a="1"/>
  <c r="R171" i="20" s="1"/>
  <c r="Q171" i="20" a="1"/>
  <c r="Q171" i="20" s="1"/>
  <c r="O171" i="20" a="1"/>
  <c r="O171" i="20" s="1"/>
  <c r="L171" i="20" a="1"/>
  <c r="L171" i="20" s="1"/>
  <c r="T170" i="20" a="1"/>
  <c r="T170" i="20" s="1"/>
  <c r="S170" i="20" a="1"/>
  <c r="S170" i="20" s="1"/>
  <c r="R170" i="20" a="1"/>
  <c r="R170" i="20" s="1"/>
  <c r="Q170" i="20" a="1"/>
  <c r="Q170" i="20" s="1"/>
  <c r="O170" i="20" a="1"/>
  <c r="O170" i="20" s="1"/>
  <c r="L170" i="20" a="1"/>
  <c r="L170" i="20" s="1"/>
  <c r="T169" i="20" a="1"/>
  <c r="T169" i="20" s="1"/>
  <c r="S169" i="20" a="1"/>
  <c r="S169" i="20" s="1"/>
  <c r="R169" i="20" a="1"/>
  <c r="R169" i="20" s="1"/>
  <c r="Q169" i="20" a="1"/>
  <c r="Q169" i="20" s="1"/>
  <c r="O169" i="20" a="1"/>
  <c r="O169" i="20" s="1"/>
  <c r="L169" i="20" a="1"/>
  <c r="L169" i="20" s="1"/>
  <c r="T168" i="20" a="1"/>
  <c r="T168" i="20" s="1"/>
  <c r="S168" i="20" a="1"/>
  <c r="S168" i="20" s="1"/>
  <c r="R168" i="20" a="1"/>
  <c r="R168" i="20" s="1"/>
  <c r="Q168" i="20" a="1"/>
  <c r="Q168" i="20" s="1"/>
  <c r="O168" i="20" a="1"/>
  <c r="O168" i="20" s="1"/>
  <c r="L168" i="20" a="1"/>
  <c r="L168" i="20" s="1"/>
  <c r="T167" i="20" a="1"/>
  <c r="T167" i="20" s="1"/>
  <c r="S167" i="20" a="1"/>
  <c r="S167" i="20" s="1"/>
  <c r="R167" i="20" a="1"/>
  <c r="R167" i="20" s="1"/>
  <c r="Q167" i="20" a="1"/>
  <c r="Q167" i="20" s="1"/>
  <c r="O167" i="20" a="1"/>
  <c r="O167" i="20" s="1"/>
  <c r="L167" i="20" a="1"/>
  <c r="L167" i="20" s="1"/>
  <c r="T166" i="20" a="1"/>
  <c r="T166" i="20" s="1"/>
  <c r="S166" i="20" a="1"/>
  <c r="S166" i="20" s="1"/>
  <c r="R166" i="20" a="1"/>
  <c r="R166" i="20" s="1"/>
  <c r="Q166" i="20" a="1"/>
  <c r="Q166" i="20" s="1"/>
  <c r="O166" i="20" a="1"/>
  <c r="O166" i="20" s="1"/>
  <c r="L166" i="20" a="1"/>
  <c r="L166" i="20" s="1"/>
  <c r="T165" i="20" a="1"/>
  <c r="T165" i="20" s="1"/>
  <c r="S165" i="20" a="1"/>
  <c r="S165" i="20" s="1"/>
  <c r="R165" i="20" a="1"/>
  <c r="R165" i="20" s="1"/>
  <c r="Q165" i="20" a="1"/>
  <c r="Q165" i="20" s="1"/>
  <c r="O165" i="20" a="1"/>
  <c r="O165" i="20" s="1"/>
  <c r="L165" i="20" a="1"/>
  <c r="L165" i="20" s="1"/>
  <c r="T164" i="20" a="1"/>
  <c r="T164" i="20" s="1"/>
  <c r="S164" i="20" a="1"/>
  <c r="S164" i="20" s="1"/>
  <c r="R164" i="20" a="1"/>
  <c r="R164" i="20" s="1"/>
  <c r="Q164" i="20" a="1"/>
  <c r="Q164" i="20" s="1"/>
  <c r="O164" i="20" a="1"/>
  <c r="O164" i="20" s="1"/>
  <c r="L164" i="20" a="1"/>
  <c r="L164" i="20" s="1"/>
  <c r="T163" i="20" a="1"/>
  <c r="T163" i="20" s="1"/>
  <c r="S163" i="20" a="1"/>
  <c r="S163" i="20" s="1"/>
  <c r="R163" i="20" a="1"/>
  <c r="R163" i="20" s="1"/>
  <c r="Q163" i="20" a="1"/>
  <c r="Q163" i="20" s="1"/>
  <c r="O163" i="20" a="1"/>
  <c r="O163" i="20" s="1"/>
  <c r="L163" i="20" a="1"/>
  <c r="L163" i="20" s="1"/>
  <c r="T162" i="20" a="1"/>
  <c r="T162" i="20" s="1"/>
  <c r="S162" i="20" a="1"/>
  <c r="S162" i="20" s="1"/>
  <c r="R162" i="20" a="1"/>
  <c r="R162" i="20" s="1"/>
  <c r="Q162" i="20" a="1"/>
  <c r="Q162" i="20" s="1"/>
  <c r="O162" i="20" a="1"/>
  <c r="O162" i="20" s="1"/>
  <c r="L162" i="20" a="1"/>
  <c r="L162" i="20" s="1"/>
  <c r="T161" i="20" a="1"/>
  <c r="T161" i="20" s="1"/>
  <c r="S161" i="20" a="1"/>
  <c r="S161" i="20" s="1"/>
  <c r="R161" i="20" a="1"/>
  <c r="R161" i="20" s="1"/>
  <c r="Q161" i="20" a="1"/>
  <c r="Q161" i="20" s="1"/>
  <c r="O161" i="20" a="1"/>
  <c r="O161" i="20" s="1"/>
  <c r="L161" i="20" a="1"/>
  <c r="L161" i="20" s="1"/>
  <c r="T160" i="20" a="1"/>
  <c r="T160" i="20" s="1"/>
  <c r="S160" i="20" a="1"/>
  <c r="S160" i="20" s="1"/>
  <c r="R160" i="20" a="1"/>
  <c r="R160" i="20" s="1"/>
  <c r="Q160" i="20" a="1"/>
  <c r="Q160" i="20" s="1"/>
  <c r="O160" i="20" a="1"/>
  <c r="O160" i="20" s="1"/>
  <c r="L160" i="20" a="1"/>
  <c r="L160" i="20" s="1"/>
  <c r="T159" i="20" a="1"/>
  <c r="T159" i="20" s="1"/>
  <c r="S159" i="20" a="1"/>
  <c r="S159" i="20" s="1"/>
  <c r="R159" i="20" a="1"/>
  <c r="R159" i="20" s="1"/>
  <c r="Q159" i="20" a="1"/>
  <c r="Q159" i="20" s="1"/>
  <c r="O159" i="20" a="1"/>
  <c r="O159" i="20" s="1"/>
  <c r="L159" i="20" a="1"/>
  <c r="L159" i="20" s="1"/>
  <c r="T158" i="20" a="1"/>
  <c r="T158" i="20" s="1"/>
  <c r="S158" i="20" a="1"/>
  <c r="S158" i="20" s="1"/>
  <c r="R158" i="20" a="1"/>
  <c r="R158" i="20" s="1"/>
  <c r="Q158" i="20" a="1"/>
  <c r="Q158" i="20" s="1"/>
  <c r="O158" i="20" a="1"/>
  <c r="O158" i="20" s="1"/>
  <c r="L158" i="20" a="1"/>
  <c r="L158" i="20" s="1"/>
  <c r="T157" i="20" a="1"/>
  <c r="T157" i="20" s="1"/>
  <c r="S157" i="20" a="1"/>
  <c r="S157" i="20" s="1"/>
  <c r="R157" i="20" a="1"/>
  <c r="R157" i="20" s="1"/>
  <c r="Q157" i="20" a="1"/>
  <c r="Q157" i="20" s="1"/>
  <c r="O157" i="20" a="1"/>
  <c r="O157" i="20" s="1"/>
  <c r="L157" i="20" a="1"/>
  <c r="L157" i="20" s="1"/>
  <c r="T156" i="20" a="1"/>
  <c r="T156" i="20" s="1"/>
  <c r="S156" i="20" a="1"/>
  <c r="S156" i="20" s="1"/>
  <c r="R156" i="20" a="1"/>
  <c r="R156" i="20" s="1"/>
  <c r="Q156" i="20" a="1"/>
  <c r="Q156" i="20" s="1"/>
  <c r="O156" i="20" a="1"/>
  <c r="O156" i="20" s="1"/>
  <c r="L156" i="20" a="1"/>
  <c r="L156" i="20" s="1"/>
  <c r="T155" i="20" a="1"/>
  <c r="T155" i="20" s="1"/>
  <c r="S155" i="20" a="1"/>
  <c r="S155" i="20" s="1"/>
  <c r="R155" i="20" a="1"/>
  <c r="R155" i="20" s="1"/>
  <c r="Q155" i="20" a="1"/>
  <c r="Q155" i="20" s="1"/>
  <c r="O155" i="20" a="1"/>
  <c r="O155" i="20" s="1"/>
  <c r="L155" i="20" a="1"/>
  <c r="L155" i="20" s="1"/>
  <c r="T154" i="20" a="1"/>
  <c r="T154" i="20" s="1"/>
  <c r="S154" i="20" a="1"/>
  <c r="S154" i="20" s="1"/>
  <c r="R154" i="20" a="1"/>
  <c r="R154" i="20" s="1"/>
  <c r="Q154" i="20" a="1"/>
  <c r="Q154" i="20" s="1"/>
  <c r="O154" i="20" a="1"/>
  <c r="O154" i="20" s="1"/>
  <c r="L154" i="20" a="1"/>
  <c r="L154" i="20" s="1"/>
  <c r="T153" i="20" a="1"/>
  <c r="T153" i="20" s="1"/>
  <c r="S153" i="20" a="1"/>
  <c r="S153" i="20" s="1"/>
  <c r="R153" i="20" a="1"/>
  <c r="R153" i="20" s="1"/>
  <c r="Q153" i="20" a="1"/>
  <c r="Q153" i="20" s="1"/>
  <c r="O153" i="20" a="1"/>
  <c r="O153" i="20" s="1"/>
  <c r="L153" i="20" a="1"/>
  <c r="L153" i="20" s="1"/>
  <c r="T152" i="20" a="1"/>
  <c r="T152" i="20" s="1"/>
  <c r="S152" i="20" a="1"/>
  <c r="S152" i="20" s="1"/>
  <c r="R152" i="20" a="1"/>
  <c r="R152" i="20" s="1"/>
  <c r="Q152" i="20" a="1"/>
  <c r="Q152" i="20" s="1"/>
  <c r="O152" i="20" a="1"/>
  <c r="O152" i="20" s="1"/>
  <c r="L152" i="20" a="1"/>
  <c r="L152" i="20" s="1"/>
  <c r="T151" i="20" a="1"/>
  <c r="T151" i="20" s="1"/>
  <c r="S151" i="20" a="1"/>
  <c r="S151" i="20" s="1"/>
  <c r="R151" i="20" a="1"/>
  <c r="R151" i="20" s="1"/>
  <c r="Q151" i="20" a="1"/>
  <c r="Q151" i="20" s="1"/>
  <c r="O151" i="20" a="1"/>
  <c r="O151" i="20" s="1"/>
  <c r="L151" i="20" a="1"/>
  <c r="L151" i="20" s="1"/>
  <c r="T150" i="20" a="1"/>
  <c r="T150" i="20" s="1"/>
  <c r="S150" i="20" a="1"/>
  <c r="S150" i="20" s="1"/>
  <c r="R150" i="20" a="1"/>
  <c r="R150" i="20" s="1"/>
  <c r="Q150" i="20" a="1"/>
  <c r="Q150" i="20" s="1"/>
  <c r="O150" i="20" a="1"/>
  <c r="O150" i="20" s="1"/>
  <c r="L150" i="20" a="1"/>
  <c r="L150" i="20" s="1"/>
  <c r="T149" i="20" a="1"/>
  <c r="T149" i="20" s="1"/>
  <c r="S149" i="20" a="1"/>
  <c r="S149" i="20" s="1"/>
  <c r="R149" i="20" a="1"/>
  <c r="R149" i="20" s="1"/>
  <c r="Q149" i="20" a="1"/>
  <c r="Q149" i="20" s="1"/>
  <c r="O149" i="20" a="1"/>
  <c r="O149" i="20" s="1"/>
  <c r="L149" i="20" a="1"/>
  <c r="L149" i="20" s="1"/>
  <c r="T148" i="20" a="1"/>
  <c r="T148" i="20" s="1"/>
  <c r="S148" i="20" a="1"/>
  <c r="S148" i="20" s="1"/>
  <c r="R148" i="20" a="1"/>
  <c r="R148" i="20" s="1"/>
  <c r="Q148" i="20" a="1"/>
  <c r="Q148" i="20" s="1"/>
  <c r="O148" i="20" a="1"/>
  <c r="O148" i="20" s="1"/>
  <c r="L148" i="20" a="1"/>
  <c r="L148" i="20" s="1"/>
  <c r="T147" i="20" a="1"/>
  <c r="T147" i="20" s="1"/>
  <c r="S147" i="20" a="1"/>
  <c r="S147" i="20" s="1"/>
  <c r="R147" i="20" a="1"/>
  <c r="R147" i="20" s="1"/>
  <c r="Q147" i="20" a="1"/>
  <c r="Q147" i="20" s="1"/>
  <c r="O147" i="20" a="1"/>
  <c r="O147" i="20" s="1"/>
  <c r="L147" i="20" a="1"/>
  <c r="L147" i="20" s="1"/>
  <c r="T146" i="20" a="1"/>
  <c r="T146" i="20" s="1"/>
  <c r="S146" i="20" a="1"/>
  <c r="S146" i="20" s="1"/>
  <c r="R146" i="20" a="1"/>
  <c r="R146" i="20" s="1"/>
  <c r="Q146" i="20" a="1"/>
  <c r="Q146" i="20" s="1"/>
  <c r="O146" i="20" a="1"/>
  <c r="O146" i="20" s="1"/>
  <c r="L146" i="20" a="1"/>
  <c r="L146" i="20" s="1"/>
  <c r="T145" i="20" a="1"/>
  <c r="T145" i="20" s="1"/>
  <c r="S145" i="20" a="1"/>
  <c r="S145" i="20" s="1"/>
  <c r="R145" i="20" a="1"/>
  <c r="R145" i="20" s="1"/>
  <c r="Q145" i="20" a="1"/>
  <c r="Q145" i="20" s="1"/>
  <c r="O145" i="20" a="1"/>
  <c r="O145" i="20" s="1"/>
  <c r="L145" i="20" a="1"/>
  <c r="L145" i="20" s="1"/>
  <c r="T144" i="20" a="1"/>
  <c r="T144" i="20" s="1"/>
  <c r="S144" i="20" a="1"/>
  <c r="S144" i="20" s="1"/>
  <c r="R144" i="20" a="1"/>
  <c r="R144" i="20" s="1"/>
  <c r="Q144" i="20" a="1"/>
  <c r="Q144" i="20" s="1"/>
  <c r="O144" i="20" a="1"/>
  <c r="O144" i="20" s="1"/>
  <c r="L144" i="20" a="1"/>
  <c r="L144" i="20" s="1"/>
  <c r="T143" i="20" a="1"/>
  <c r="T143" i="20" s="1"/>
  <c r="S143" i="20" a="1"/>
  <c r="S143" i="20" s="1"/>
  <c r="R143" i="20" a="1"/>
  <c r="R143" i="20" s="1"/>
  <c r="Q143" i="20" a="1"/>
  <c r="Q143" i="20" s="1"/>
  <c r="O143" i="20" a="1"/>
  <c r="O143" i="20" s="1"/>
  <c r="L143" i="20" a="1"/>
  <c r="L143" i="20" s="1"/>
  <c r="T142" i="20" a="1"/>
  <c r="T142" i="20" s="1"/>
  <c r="S142" i="20" a="1"/>
  <c r="S142" i="20" s="1"/>
  <c r="R142" i="20" a="1"/>
  <c r="R142" i="20" s="1"/>
  <c r="Q142" i="20" a="1"/>
  <c r="Q142" i="20" s="1"/>
  <c r="O142" i="20" a="1"/>
  <c r="O142" i="20" s="1"/>
  <c r="L142" i="20" a="1"/>
  <c r="L142" i="20" s="1"/>
  <c r="T141" i="20" a="1"/>
  <c r="T141" i="20" s="1"/>
  <c r="S141" i="20" a="1"/>
  <c r="S141" i="20" s="1"/>
  <c r="R141" i="20" a="1"/>
  <c r="R141" i="20" s="1"/>
  <c r="Q141" i="20" a="1"/>
  <c r="Q141" i="20" s="1"/>
  <c r="O141" i="20" a="1"/>
  <c r="O141" i="20" s="1"/>
  <c r="L141" i="20" a="1"/>
  <c r="L141" i="20" s="1"/>
  <c r="T140" i="20" a="1"/>
  <c r="T140" i="20" s="1"/>
  <c r="S140" i="20" a="1"/>
  <c r="S140" i="20" s="1"/>
  <c r="R140" i="20" a="1"/>
  <c r="R140" i="20" s="1"/>
  <c r="Q140" i="20" a="1"/>
  <c r="Q140" i="20" s="1"/>
  <c r="O140" i="20" a="1"/>
  <c r="O140" i="20" s="1"/>
  <c r="L140" i="20" a="1"/>
  <c r="L140" i="20" s="1"/>
  <c r="T139" i="20" a="1"/>
  <c r="T139" i="20" s="1"/>
  <c r="S139" i="20" a="1"/>
  <c r="S139" i="20" s="1"/>
  <c r="R139" i="20" a="1"/>
  <c r="R139" i="20" s="1"/>
  <c r="Q139" i="20" a="1"/>
  <c r="Q139" i="20" s="1"/>
  <c r="O139" i="20" a="1"/>
  <c r="O139" i="20" s="1"/>
  <c r="L139" i="20" a="1"/>
  <c r="L139" i="20" s="1"/>
  <c r="T138" i="20" a="1"/>
  <c r="T138" i="20" s="1"/>
  <c r="S138" i="20" a="1"/>
  <c r="S138" i="20" s="1"/>
  <c r="R138" i="20" a="1"/>
  <c r="R138" i="20" s="1"/>
  <c r="Q138" i="20" a="1"/>
  <c r="Q138" i="20" s="1"/>
  <c r="O138" i="20" a="1"/>
  <c r="O138" i="20" s="1"/>
  <c r="L138" i="20" a="1"/>
  <c r="L138" i="20" s="1"/>
  <c r="T137" i="20" a="1"/>
  <c r="T137" i="20" s="1"/>
  <c r="S137" i="20"/>
  <c r="S137" i="20" a="1"/>
  <c r="R137" i="20" a="1"/>
  <c r="R137" i="20" s="1"/>
  <c r="Q137" i="20" a="1"/>
  <c r="Q137" i="20" s="1"/>
  <c r="O137" i="20" a="1"/>
  <c r="O137" i="20" s="1"/>
  <c r="L137" i="20" a="1"/>
  <c r="L137" i="20" s="1"/>
  <c r="T136" i="20" a="1"/>
  <c r="T136" i="20" s="1"/>
  <c r="S136" i="20" a="1"/>
  <c r="S136" i="20" s="1"/>
  <c r="R136" i="20" a="1"/>
  <c r="R136" i="20" s="1"/>
  <c r="Q136" i="20"/>
  <c r="Q136" i="20" a="1"/>
  <c r="O136" i="20" a="1"/>
  <c r="O136" i="20" s="1"/>
  <c r="L136" i="20" a="1"/>
  <c r="L136" i="20" s="1"/>
  <c r="T135" i="20" a="1"/>
  <c r="T135" i="20" s="1"/>
  <c r="S135" i="20"/>
  <c r="S135" i="20" a="1"/>
  <c r="R135" i="20" a="1"/>
  <c r="R135" i="20" s="1"/>
  <c r="Q135" i="20" a="1"/>
  <c r="Q135" i="20" s="1"/>
  <c r="O135" i="20" a="1"/>
  <c r="O135" i="20" s="1"/>
  <c r="L135" i="20"/>
  <c r="L135" i="20" a="1"/>
  <c r="T134" i="20" a="1"/>
  <c r="T134" i="20" s="1"/>
  <c r="S134" i="20" a="1"/>
  <c r="S134" i="20" s="1"/>
  <c r="R134" i="20" a="1"/>
  <c r="R134" i="20" s="1"/>
  <c r="Q134" i="20" a="1"/>
  <c r="Q134" i="20" s="1"/>
  <c r="O134" i="20" a="1"/>
  <c r="O134" i="20" s="1"/>
  <c r="L134" i="20" a="1"/>
  <c r="L134" i="20" s="1"/>
  <c r="T133" i="20" a="1"/>
  <c r="T133" i="20" s="1"/>
  <c r="S133" i="20" a="1"/>
  <c r="S133" i="20" s="1"/>
  <c r="R133" i="20" a="1"/>
  <c r="R133" i="20" s="1"/>
  <c r="Q133" i="20" a="1"/>
  <c r="Q133" i="20" s="1"/>
  <c r="O133" i="20" a="1"/>
  <c r="O133" i="20" s="1"/>
  <c r="L133" i="20" a="1"/>
  <c r="L133" i="20" s="1"/>
  <c r="T132" i="20" a="1"/>
  <c r="T132" i="20" s="1"/>
  <c r="S132" i="20" a="1"/>
  <c r="S132" i="20" s="1"/>
  <c r="R132" i="20" a="1"/>
  <c r="R132" i="20" s="1"/>
  <c r="Q132" i="20"/>
  <c r="Q132" i="20" a="1"/>
  <c r="O132" i="20" a="1"/>
  <c r="O132" i="20" s="1"/>
  <c r="L132" i="20" a="1"/>
  <c r="L132" i="20" s="1"/>
  <c r="T131" i="20" a="1"/>
  <c r="T131" i="20" s="1"/>
  <c r="S131" i="20" a="1"/>
  <c r="S131" i="20" s="1"/>
  <c r="R131" i="20" a="1"/>
  <c r="R131" i="20" s="1"/>
  <c r="Q131" i="20" a="1"/>
  <c r="Q131" i="20" s="1"/>
  <c r="O131" i="20" a="1"/>
  <c r="O131" i="20" s="1"/>
  <c r="L131" i="20"/>
  <c r="L131" i="20" a="1"/>
  <c r="T130" i="20" a="1"/>
  <c r="T130" i="20" s="1"/>
  <c r="S130" i="20" a="1"/>
  <c r="S130" i="20" s="1"/>
  <c r="R130" i="20" a="1"/>
  <c r="R130" i="20" s="1"/>
  <c r="Q130" i="20"/>
  <c r="Q130" i="20" a="1"/>
  <c r="O130" i="20" a="1"/>
  <c r="O130" i="20" s="1"/>
  <c r="L130" i="20" a="1"/>
  <c r="L130" i="20" s="1"/>
  <c r="T129" i="20" a="1"/>
  <c r="T129" i="20" s="1"/>
  <c r="S129" i="20"/>
  <c r="S129" i="20" a="1"/>
  <c r="R129" i="20" a="1"/>
  <c r="R129" i="20" s="1"/>
  <c r="Q129" i="20" a="1"/>
  <c r="Q129" i="20" s="1"/>
  <c r="O129" i="20" a="1"/>
  <c r="O129" i="20" s="1"/>
  <c r="L129" i="20" a="1"/>
  <c r="L129" i="20" s="1"/>
  <c r="T128" i="20" a="1"/>
  <c r="T128" i="20" s="1"/>
  <c r="S128" i="20" a="1"/>
  <c r="S128" i="20" s="1"/>
  <c r="R128" i="20" a="1"/>
  <c r="R128" i="20" s="1"/>
  <c r="Q128" i="20" a="1"/>
  <c r="Q128" i="20" s="1"/>
  <c r="O128" i="20" a="1"/>
  <c r="O128" i="20" s="1"/>
  <c r="L128" i="20" a="1"/>
  <c r="L128" i="20" s="1"/>
  <c r="T127" i="20" a="1"/>
  <c r="T127" i="20" s="1"/>
  <c r="S127" i="20" a="1"/>
  <c r="S127" i="20" s="1"/>
  <c r="R127" i="20" a="1"/>
  <c r="R127" i="20" s="1"/>
  <c r="Q127" i="20" a="1"/>
  <c r="Q127" i="20" s="1"/>
  <c r="O127" i="20" a="1"/>
  <c r="O127" i="20" s="1"/>
  <c r="L127" i="20"/>
  <c r="L127" i="20" a="1"/>
  <c r="T126" i="20" a="1"/>
  <c r="T126" i="20" s="1"/>
  <c r="S126" i="20" a="1"/>
  <c r="S126" i="20" s="1"/>
  <c r="R126" i="20" a="1"/>
  <c r="R126" i="20" s="1"/>
  <c r="Q126" i="20" a="1"/>
  <c r="Q126" i="20" s="1"/>
  <c r="O126" i="20" a="1"/>
  <c r="O126" i="20" s="1"/>
  <c r="L126" i="20" a="1"/>
  <c r="L126" i="20" s="1"/>
  <c r="T125" i="20" a="1"/>
  <c r="T125" i="20" s="1"/>
  <c r="S125" i="20"/>
  <c r="S125" i="20" a="1"/>
  <c r="R125" i="20" a="1"/>
  <c r="R125" i="20" s="1"/>
  <c r="Q125" i="20" a="1"/>
  <c r="Q125" i="20" s="1"/>
  <c r="O125" i="20" a="1"/>
  <c r="O125" i="20" s="1"/>
  <c r="L125" i="20"/>
  <c r="L125" i="20" a="1"/>
  <c r="T124" i="20" a="1"/>
  <c r="T124" i="20" s="1"/>
  <c r="S124" i="20" a="1"/>
  <c r="S124" i="20" s="1"/>
  <c r="R124" i="20" a="1"/>
  <c r="R124" i="20" s="1"/>
  <c r="Q124" i="20"/>
  <c r="Q124" i="20" a="1"/>
  <c r="O124" i="20" a="1"/>
  <c r="O124" i="20" s="1"/>
  <c r="L124" i="20" a="1"/>
  <c r="L124" i="20" s="1"/>
  <c r="T123" i="20" a="1"/>
  <c r="T123" i="20" s="1"/>
  <c r="S123" i="20" a="1"/>
  <c r="S123" i="20" s="1"/>
  <c r="R123" i="20" a="1"/>
  <c r="R123" i="20" s="1"/>
  <c r="Q123" i="20" a="1"/>
  <c r="Q123" i="20" s="1"/>
  <c r="O123" i="20" a="1"/>
  <c r="O123" i="20" s="1"/>
  <c r="L123" i="20" a="1"/>
  <c r="L123" i="20" s="1"/>
  <c r="T122" i="20" a="1"/>
  <c r="T122" i="20" s="1"/>
  <c r="S122" i="20" a="1"/>
  <c r="S122" i="20" s="1"/>
  <c r="R122" i="20" a="1"/>
  <c r="R122" i="20" s="1"/>
  <c r="Q122" i="20" a="1"/>
  <c r="Q122" i="20" s="1"/>
  <c r="O122" i="20" a="1"/>
  <c r="O122" i="20" s="1"/>
  <c r="L122" i="20" a="1"/>
  <c r="L122" i="20" s="1"/>
  <c r="T121" i="20" a="1"/>
  <c r="T121" i="20" s="1"/>
  <c r="S121" i="20"/>
  <c r="S121" i="20" a="1"/>
  <c r="R121" i="20" a="1"/>
  <c r="R121" i="20" s="1"/>
  <c r="Q121" i="20" a="1"/>
  <c r="Q121" i="20" s="1"/>
  <c r="O121" i="20" a="1"/>
  <c r="O121" i="20" s="1"/>
  <c r="L121" i="20" a="1"/>
  <c r="L121" i="20" s="1"/>
  <c r="T120" i="20" a="1"/>
  <c r="T120" i="20" s="1"/>
  <c r="S120" i="20" a="1"/>
  <c r="S120" i="20" s="1"/>
  <c r="R120" i="20" a="1"/>
  <c r="R120" i="20" s="1"/>
  <c r="Q120" i="20"/>
  <c r="Q120" i="20" a="1"/>
  <c r="O120" i="20" a="1"/>
  <c r="O120" i="20" s="1"/>
  <c r="L120" i="20" a="1"/>
  <c r="L120" i="20" s="1"/>
  <c r="T119" i="20" a="1"/>
  <c r="T119" i="20" s="1"/>
  <c r="S119" i="20"/>
  <c r="S119" i="20" a="1"/>
  <c r="R119" i="20" a="1"/>
  <c r="R119" i="20" s="1"/>
  <c r="Q119" i="20" a="1"/>
  <c r="Q119" i="20" s="1"/>
  <c r="O119" i="20" a="1"/>
  <c r="O119" i="20" s="1"/>
  <c r="L119" i="20"/>
  <c r="L119" i="20" a="1"/>
  <c r="T118" i="20" a="1"/>
  <c r="T118" i="20" s="1"/>
  <c r="S118" i="20" a="1"/>
  <c r="S118" i="20" s="1"/>
  <c r="R118" i="20" a="1"/>
  <c r="R118" i="20" s="1"/>
  <c r="Q118" i="20" a="1"/>
  <c r="Q118" i="20" s="1"/>
  <c r="O118" i="20" a="1"/>
  <c r="O118" i="20" s="1"/>
  <c r="L118" i="20" a="1"/>
  <c r="L118" i="20" s="1"/>
  <c r="T117" i="20" a="1"/>
  <c r="T117" i="20" s="1"/>
  <c r="S117" i="20" a="1"/>
  <c r="S117" i="20" s="1"/>
  <c r="R117" i="20" a="1"/>
  <c r="R117" i="20" s="1"/>
  <c r="Q117" i="20" a="1"/>
  <c r="Q117" i="20" s="1"/>
  <c r="O117" i="20" a="1"/>
  <c r="O117" i="20" s="1"/>
  <c r="L117" i="20" a="1"/>
  <c r="L117" i="20" s="1"/>
  <c r="T116" i="20" a="1"/>
  <c r="T116" i="20" s="1"/>
  <c r="S116" i="20" a="1"/>
  <c r="S116" i="20" s="1"/>
  <c r="R116" i="20" a="1"/>
  <c r="R116" i="20" s="1"/>
  <c r="Q116" i="20"/>
  <c r="Q116" i="20" a="1"/>
  <c r="O116" i="20" a="1"/>
  <c r="O116" i="20" s="1"/>
  <c r="L116" i="20" a="1"/>
  <c r="L116" i="20" s="1"/>
  <c r="T115" i="20" a="1"/>
  <c r="T115" i="20" s="1"/>
  <c r="S115" i="20" a="1"/>
  <c r="S115" i="20" s="1"/>
  <c r="R115" i="20" a="1"/>
  <c r="R115" i="20" s="1"/>
  <c r="Q115" i="20" a="1"/>
  <c r="Q115" i="20" s="1"/>
  <c r="O115" i="20" a="1"/>
  <c r="O115" i="20" s="1"/>
  <c r="L115" i="20"/>
  <c r="L115" i="20" a="1"/>
  <c r="T114" i="20" a="1"/>
  <c r="T114" i="20" s="1"/>
  <c r="S114" i="20" a="1"/>
  <c r="S114" i="20" s="1"/>
  <c r="R114" i="20" a="1"/>
  <c r="R114" i="20" s="1"/>
  <c r="Q114" i="20"/>
  <c r="Q114" i="20" a="1"/>
  <c r="O114" i="20" a="1"/>
  <c r="O114" i="20" s="1"/>
  <c r="L114" i="20" a="1"/>
  <c r="L114" i="20" s="1"/>
  <c r="T113" i="20" a="1"/>
  <c r="T113" i="20" s="1"/>
  <c r="S113" i="20"/>
  <c r="S113" i="20" a="1"/>
  <c r="R113" i="20" a="1"/>
  <c r="R113" i="20" s="1"/>
  <c r="Q113" i="20" a="1"/>
  <c r="Q113" i="20" s="1"/>
  <c r="O113" i="20" a="1"/>
  <c r="O113" i="20" s="1"/>
  <c r="L113" i="20" a="1"/>
  <c r="L113" i="20" s="1"/>
  <c r="T112" i="20" a="1"/>
  <c r="T112" i="20" s="1"/>
  <c r="S112" i="20" a="1"/>
  <c r="S112" i="20" s="1"/>
  <c r="R112" i="20" a="1"/>
  <c r="R112" i="20" s="1"/>
  <c r="Q112" i="20" a="1"/>
  <c r="Q112" i="20" s="1"/>
  <c r="O112" i="20" a="1"/>
  <c r="O112" i="20" s="1"/>
  <c r="L112" i="20" a="1"/>
  <c r="L112" i="20" s="1"/>
  <c r="T111" i="20" a="1"/>
  <c r="T111" i="20" s="1"/>
  <c r="S111" i="20" a="1"/>
  <c r="S111" i="20" s="1"/>
  <c r="R111" i="20" a="1"/>
  <c r="R111" i="20" s="1"/>
  <c r="Q111" i="20" a="1"/>
  <c r="Q111" i="20" s="1"/>
  <c r="O111" i="20" a="1"/>
  <c r="O111" i="20" s="1"/>
  <c r="L111" i="20"/>
  <c r="L111" i="20" a="1"/>
  <c r="T110" i="20" a="1"/>
  <c r="T110" i="20" s="1"/>
  <c r="S110" i="20" a="1"/>
  <c r="S110" i="20" s="1"/>
  <c r="R110" i="20" a="1"/>
  <c r="R110" i="20" s="1"/>
  <c r="Q110" i="20" a="1"/>
  <c r="Q110" i="20" s="1"/>
  <c r="O110" i="20" a="1"/>
  <c r="O110" i="20" s="1"/>
  <c r="L110" i="20" a="1"/>
  <c r="L110" i="20" s="1"/>
  <c r="T109" i="20" a="1"/>
  <c r="T109" i="20" s="1"/>
  <c r="S109" i="20"/>
  <c r="S109" i="20" a="1"/>
  <c r="R109" i="20" a="1"/>
  <c r="R109" i="20" s="1"/>
  <c r="Q109" i="20" a="1"/>
  <c r="Q109" i="20" s="1"/>
  <c r="O109" i="20" a="1"/>
  <c r="O109" i="20" s="1"/>
  <c r="L109" i="20"/>
  <c r="L109" i="20" a="1"/>
  <c r="T108" i="20" a="1"/>
  <c r="T108" i="20" s="1"/>
  <c r="S108" i="20" a="1"/>
  <c r="S108" i="20" s="1"/>
  <c r="R108" i="20" a="1"/>
  <c r="R108" i="20" s="1"/>
  <c r="Q108" i="20"/>
  <c r="Q108" i="20" a="1"/>
  <c r="O108" i="20" a="1"/>
  <c r="O108" i="20" s="1"/>
  <c r="L108" i="20" a="1"/>
  <c r="L108" i="20" s="1"/>
  <c r="T107" i="20" a="1"/>
  <c r="T107" i="20" s="1"/>
  <c r="S107" i="20" a="1"/>
  <c r="S107" i="20" s="1"/>
  <c r="R107" i="20" a="1"/>
  <c r="R107" i="20" s="1"/>
  <c r="Q107" i="20" a="1"/>
  <c r="Q107" i="20" s="1"/>
  <c r="O107" i="20" a="1"/>
  <c r="O107" i="20" s="1"/>
  <c r="L107" i="20" a="1"/>
  <c r="L107" i="20" s="1"/>
  <c r="T106" i="20" a="1"/>
  <c r="T106" i="20" s="1"/>
  <c r="S106" i="20" a="1"/>
  <c r="S106" i="20" s="1"/>
  <c r="R106" i="20" a="1"/>
  <c r="R106" i="20" s="1"/>
  <c r="Q106" i="20" a="1"/>
  <c r="Q106" i="20" s="1"/>
  <c r="O106" i="20" a="1"/>
  <c r="O106" i="20" s="1"/>
  <c r="L106" i="20" a="1"/>
  <c r="L106" i="20" s="1"/>
  <c r="T105" i="20" a="1"/>
  <c r="T105" i="20" s="1"/>
  <c r="S105" i="20"/>
  <c r="S105" i="20" a="1"/>
  <c r="R105" i="20" a="1"/>
  <c r="R105" i="20" s="1"/>
  <c r="Q105" i="20" a="1"/>
  <c r="Q105" i="20" s="1"/>
  <c r="O105" i="20" a="1"/>
  <c r="O105" i="20" s="1"/>
  <c r="L105" i="20" a="1"/>
  <c r="L105" i="20" s="1"/>
  <c r="T104" i="20" a="1"/>
  <c r="T104" i="20" s="1"/>
  <c r="S104" i="20" a="1"/>
  <c r="S104" i="20" s="1"/>
  <c r="R104" i="20" a="1"/>
  <c r="R104" i="20" s="1"/>
  <c r="Q104" i="20"/>
  <c r="Q104" i="20" a="1"/>
  <c r="O104" i="20" a="1"/>
  <c r="O104" i="20" s="1"/>
  <c r="L104" i="20" a="1"/>
  <c r="L104" i="20" s="1"/>
  <c r="T103" i="20" a="1"/>
  <c r="T103" i="20" s="1"/>
  <c r="S103" i="20"/>
  <c r="S103" i="20" a="1"/>
  <c r="R103" i="20" a="1"/>
  <c r="R103" i="20" s="1"/>
  <c r="Q103" i="20" a="1"/>
  <c r="Q103" i="20" s="1"/>
  <c r="O103" i="20" a="1"/>
  <c r="O103" i="20" s="1"/>
  <c r="L103" i="20"/>
  <c r="L103" i="20" a="1"/>
  <c r="T102" i="20" a="1"/>
  <c r="T102" i="20" s="1"/>
  <c r="S102" i="20" a="1"/>
  <c r="S102" i="20" s="1"/>
  <c r="R102" i="20" a="1"/>
  <c r="R102" i="20" s="1"/>
  <c r="Q102" i="20" a="1"/>
  <c r="Q102" i="20" s="1"/>
  <c r="O102" i="20" a="1"/>
  <c r="O102" i="20" s="1"/>
  <c r="L102" i="20" a="1"/>
  <c r="L102" i="20" s="1"/>
  <c r="T101" i="20" a="1"/>
  <c r="T101" i="20" s="1"/>
  <c r="S101" i="20" a="1"/>
  <c r="S101" i="20" s="1"/>
  <c r="R101" i="20" a="1"/>
  <c r="R101" i="20" s="1"/>
  <c r="Q101" i="20" a="1"/>
  <c r="Q101" i="20" s="1"/>
  <c r="O101" i="20" a="1"/>
  <c r="O101" i="20" s="1"/>
  <c r="L101" i="20" a="1"/>
  <c r="L101" i="20" s="1"/>
  <c r="T100" i="20" a="1"/>
  <c r="T100" i="20" s="1"/>
  <c r="S100" i="20" a="1"/>
  <c r="S100" i="20" s="1"/>
  <c r="R100" i="20" a="1"/>
  <c r="R100" i="20" s="1"/>
  <c r="Q100" i="20"/>
  <c r="Q100" i="20" a="1"/>
  <c r="O100" i="20" a="1"/>
  <c r="O100" i="20" s="1"/>
  <c r="T81" i="20" a="1"/>
  <c r="T81" i="20" s="1"/>
  <c r="AE81" i="1" s="1"/>
  <c r="S81" i="20" a="1"/>
  <c r="S81" i="20" s="1"/>
  <c r="R81" i="20" a="1"/>
  <c r="R81" i="20" s="1"/>
  <c r="Q81" i="20" a="1"/>
  <c r="Q81" i="20" s="1"/>
  <c r="L81" i="20" a="1"/>
  <c r="L81" i="20" s="1"/>
  <c r="H81" i="20"/>
  <c r="H81" i="20" a="1"/>
  <c r="T80" i="20" a="1"/>
  <c r="T80" i="20" s="1"/>
  <c r="AE80" i="1" s="1"/>
  <c r="S80" i="20" a="1"/>
  <c r="S80" i="20" s="1"/>
  <c r="R80" i="20" a="1"/>
  <c r="R80" i="20" s="1"/>
  <c r="Q80" i="20"/>
  <c r="Q80" i="20" a="1"/>
  <c r="L80" i="20" a="1"/>
  <c r="L80" i="20" s="1"/>
  <c r="H80" i="20" a="1"/>
  <c r="H80" i="20" s="1"/>
  <c r="T79" i="20" a="1"/>
  <c r="T79" i="20" s="1"/>
  <c r="AE79" i="1" s="1"/>
  <c r="S79" i="20"/>
  <c r="S79" i="20" a="1"/>
  <c r="R79" i="20" a="1"/>
  <c r="R79" i="20" s="1"/>
  <c r="Q79" i="20" a="1"/>
  <c r="Q79" i="20" s="1"/>
  <c r="L79" i="20" a="1"/>
  <c r="L79" i="20" s="1"/>
  <c r="H79" i="20"/>
  <c r="H79" i="20" a="1"/>
  <c r="T78" i="20" a="1"/>
  <c r="T78" i="20" s="1"/>
  <c r="AE78" i="1" s="1"/>
  <c r="S78" i="20" a="1"/>
  <c r="S78" i="20" s="1"/>
  <c r="R78" i="20" a="1"/>
  <c r="R78" i="20" s="1"/>
  <c r="Q78" i="20" a="1"/>
  <c r="Q78" i="20" s="1"/>
  <c r="L78" i="20" a="1"/>
  <c r="L78" i="20" s="1"/>
  <c r="H78" i="20" a="1"/>
  <c r="H78" i="20" s="1"/>
  <c r="T77" i="20" a="1"/>
  <c r="T77" i="20" s="1"/>
  <c r="AE77" i="1" s="1"/>
  <c r="S77" i="20" a="1"/>
  <c r="S77" i="20" s="1"/>
  <c r="R77" i="20" a="1"/>
  <c r="R77" i="20" s="1"/>
  <c r="Q77" i="20" a="1"/>
  <c r="Q77" i="20" s="1"/>
  <c r="L77" i="20" a="1"/>
  <c r="L77" i="20" s="1"/>
  <c r="H77" i="20"/>
  <c r="H77" i="20" a="1"/>
  <c r="T76" i="20" a="1"/>
  <c r="T76" i="20" s="1"/>
  <c r="AE76" i="1" s="1"/>
  <c r="S76" i="20" a="1"/>
  <c r="S76" i="20" s="1"/>
  <c r="R76" i="20" a="1"/>
  <c r="R76" i="20" s="1"/>
  <c r="Q76" i="20" a="1"/>
  <c r="Q76" i="20" s="1"/>
  <c r="L76" i="20" a="1"/>
  <c r="L76" i="20" s="1"/>
  <c r="H76" i="20" a="1"/>
  <c r="H76" i="20" s="1"/>
  <c r="T75" i="20" a="1"/>
  <c r="T75" i="20" s="1"/>
  <c r="AE75" i="1" s="1"/>
  <c r="S75" i="20"/>
  <c r="S75" i="20" a="1"/>
  <c r="R75" i="20" a="1"/>
  <c r="R75" i="20" s="1"/>
  <c r="Q75" i="20" a="1"/>
  <c r="Q75" i="20" s="1"/>
  <c r="L75" i="20" a="1"/>
  <c r="L75" i="20" s="1"/>
  <c r="H75" i="20"/>
  <c r="H75" i="20" a="1"/>
  <c r="T74" i="20" a="1"/>
  <c r="T74" i="20" s="1"/>
  <c r="AE74" i="1" s="1"/>
  <c r="S74" i="20" a="1"/>
  <c r="S74" i="20" s="1"/>
  <c r="R74" i="20" a="1"/>
  <c r="R74" i="20" s="1"/>
  <c r="Q74" i="20"/>
  <c r="Q74" i="20" a="1"/>
  <c r="L74" i="20" a="1"/>
  <c r="L74" i="20" s="1"/>
  <c r="H74" i="20" a="1"/>
  <c r="H74" i="20" s="1"/>
  <c r="T73" i="20" a="1"/>
  <c r="T73" i="20" s="1"/>
  <c r="AE73" i="1" s="1"/>
  <c r="S73" i="20" a="1"/>
  <c r="S73" i="20" s="1"/>
  <c r="R73" i="20" a="1"/>
  <c r="R73" i="20" s="1"/>
  <c r="Q73" i="20" a="1"/>
  <c r="Q73" i="20" s="1"/>
  <c r="L73" i="20" a="1"/>
  <c r="L73" i="20" s="1"/>
  <c r="H73" i="20" a="1"/>
  <c r="H73" i="20" s="1"/>
  <c r="T72" i="20" a="1"/>
  <c r="T72" i="20" s="1"/>
  <c r="AE72" i="1" s="1"/>
  <c r="S72" i="20" a="1"/>
  <c r="S72" i="20" s="1"/>
  <c r="R72" i="20" a="1"/>
  <c r="R72" i="20" s="1"/>
  <c r="Q72" i="20" a="1"/>
  <c r="Q72" i="20" s="1"/>
  <c r="L72" i="20" a="1"/>
  <c r="L72" i="20" s="1"/>
  <c r="H72" i="20" a="1"/>
  <c r="H72" i="20" s="1"/>
  <c r="T71" i="20" a="1"/>
  <c r="T71" i="20" s="1"/>
  <c r="S71" i="20"/>
  <c r="S71" i="20" a="1"/>
  <c r="R71" i="20" a="1"/>
  <c r="R71" i="20" s="1"/>
  <c r="Q71" i="20" a="1"/>
  <c r="Q71" i="20" s="1"/>
  <c r="L71" i="20" a="1"/>
  <c r="L71" i="20" s="1"/>
  <c r="H71" i="20" a="1"/>
  <c r="H71" i="20" s="1"/>
  <c r="T70" i="20" a="1"/>
  <c r="T70" i="20" s="1"/>
  <c r="AE70" i="1" s="1"/>
  <c r="S70" i="20" a="1"/>
  <c r="S70" i="20" s="1"/>
  <c r="R70" i="20" a="1"/>
  <c r="R70" i="20" s="1"/>
  <c r="Q70" i="20"/>
  <c r="Q70" i="20" a="1"/>
  <c r="L70" i="20" a="1"/>
  <c r="L70" i="20" s="1"/>
  <c r="H70" i="20" a="1"/>
  <c r="H70" i="20" s="1"/>
  <c r="T69" i="20" a="1"/>
  <c r="T69" i="20" s="1"/>
  <c r="AE69" i="1" s="1"/>
  <c r="S69" i="20"/>
  <c r="S69" i="20" a="1"/>
  <c r="R69" i="20" a="1"/>
  <c r="R69" i="20" s="1"/>
  <c r="Q69" i="20" a="1"/>
  <c r="Q69" i="20" s="1"/>
  <c r="L69" i="20" a="1"/>
  <c r="L69" i="20" s="1"/>
  <c r="H69" i="20"/>
  <c r="H69" i="20" a="1"/>
  <c r="T68" i="20" a="1"/>
  <c r="T68" i="20" s="1"/>
  <c r="AE68" i="1" s="1"/>
  <c r="S68" i="20" a="1"/>
  <c r="S68" i="20" s="1"/>
  <c r="R68" i="20" a="1"/>
  <c r="R68" i="20" s="1"/>
  <c r="Q68" i="20" a="1"/>
  <c r="Q68" i="20" s="1"/>
  <c r="L68" i="20" a="1"/>
  <c r="L68" i="20" s="1"/>
  <c r="H68" i="20" a="1"/>
  <c r="H68" i="20" s="1"/>
  <c r="T67" i="20" a="1"/>
  <c r="T67" i="20" s="1"/>
  <c r="AE67" i="1" s="1"/>
  <c r="S67" i="20" a="1"/>
  <c r="S67" i="20" s="1"/>
  <c r="R67" i="20" a="1"/>
  <c r="R67" i="20" s="1"/>
  <c r="Q67" i="20" a="1"/>
  <c r="Q67" i="20" s="1"/>
  <c r="L67" i="20" a="1"/>
  <c r="L67" i="20" s="1"/>
  <c r="H67" i="20" a="1"/>
  <c r="H67" i="20" s="1"/>
  <c r="T66" i="20" a="1"/>
  <c r="T66" i="20" s="1"/>
  <c r="AE66" i="1" s="1"/>
  <c r="S66" i="20" a="1"/>
  <c r="S66" i="20" s="1"/>
  <c r="R66" i="20" a="1"/>
  <c r="R66" i="20" s="1"/>
  <c r="Q66" i="20"/>
  <c r="Q66" i="20" a="1"/>
  <c r="L66" i="20" a="1"/>
  <c r="L66" i="20" s="1"/>
  <c r="H66" i="20" a="1"/>
  <c r="H66" i="20" s="1"/>
  <c r="S65" i="20" a="1"/>
  <c r="S65" i="20" s="1"/>
  <c r="R65" i="20" a="1"/>
  <c r="R65" i="20" s="1"/>
  <c r="Q65" i="20" a="1"/>
  <c r="Q65" i="20" s="1"/>
  <c r="L65" i="20" a="1"/>
  <c r="L65" i="20" s="1"/>
  <c r="H65" i="20"/>
  <c r="H65" i="20" a="1"/>
  <c r="S64" i="20" a="1"/>
  <c r="S64" i="20" s="1"/>
  <c r="R64" i="20" a="1"/>
  <c r="R64" i="20" s="1"/>
  <c r="Q64" i="20"/>
  <c r="Q64" i="20" a="1"/>
  <c r="L64" i="20" a="1"/>
  <c r="L64" i="20" s="1"/>
  <c r="H64" i="20" a="1"/>
  <c r="H64" i="20" s="1"/>
  <c r="S63" i="20"/>
  <c r="S63" i="20" a="1"/>
  <c r="R63" i="20" a="1"/>
  <c r="R63" i="20" s="1"/>
  <c r="Q63" i="20" a="1"/>
  <c r="Q63" i="20" s="1"/>
  <c r="L63" i="20" a="1"/>
  <c r="L63" i="20" s="1"/>
  <c r="H63" i="20" a="1"/>
  <c r="H63" i="20" s="1"/>
  <c r="S62" i="20" a="1"/>
  <c r="S62" i="20" s="1"/>
  <c r="R62" i="20" a="1"/>
  <c r="R62" i="20" s="1"/>
  <c r="Q62" i="20" a="1"/>
  <c r="Q62" i="20" s="1"/>
  <c r="L62" i="20" a="1"/>
  <c r="L62" i="20" s="1"/>
  <c r="H62" i="20" a="1"/>
  <c r="H62" i="20" s="1"/>
  <c r="S61" i="20" a="1"/>
  <c r="S61" i="20" s="1"/>
  <c r="R61" i="20" a="1"/>
  <c r="R61" i="20" s="1"/>
  <c r="Q61" i="20" a="1"/>
  <c r="Q61" i="20" s="1"/>
  <c r="L61" i="20" a="1"/>
  <c r="L61" i="20" s="1"/>
  <c r="H61" i="20"/>
  <c r="H61" i="20" a="1"/>
  <c r="S60" i="20" a="1"/>
  <c r="S60" i="20" s="1"/>
  <c r="R60" i="20" a="1"/>
  <c r="R60" i="20" s="1"/>
  <c r="Q60" i="20" a="1"/>
  <c r="Q60" i="20" s="1"/>
  <c r="L60" i="20" a="1"/>
  <c r="L60" i="20" s="1"/>
  <c r="H60" i="20" a="1"/>
  <c r="H60" i="20" s="1"/>
  <c r="S59" i="20"/>
  <c r="S59" i="20" a="1"/>
  <c r="R59" i="20" a="1"/>
  <c r="R59" i="20" s="1"/>
  <c r="Q59" i="20" a="1"/>
  <c r="Q59" i="20" s="1"/>
  <c r="L59" i="20" a="1"/>
  <c r="L59" i="20" s="1"/>
  <c r="H59" i="20"/>
  <c r="H59" i="20" a="1"/>
  <c r="S58" i="20" a="1"/>
  <c r="S58" i="20" s="1"/>
  <c r="R58" i="20" a="1"/>
  <c r="R58" i="20" s="1"/>
  <c r="Q58" i="20"/>
  <c r="Q58" i="20" a="1"/>
  <c r="L58" i="20" a="1"/>
  <c r="L58" i="20" s="1"/>
  <c r="H58" i="20" a="1"/>
  <c r="H58" i="20" s="1"/>
  <c r="S57" i="20" a="1"/>
  <c r="S57" i="20" s="1"/>
  <c r="R57" i="20" a="1"/>
  <c r="R57" i="20" s="1"/>
  <c r="Q57" i="20" a="1"/>
  <c r="Q57" i="20" s="1"/>
  <c r="L57" i="20" a="1"/>
  <c r="L57" i="20" s="1"/>
  <c r="H57" i="20" a="1"/>
  <c r="H57" i="20" s="1"/>
  <c r="S56" i="20" a="1"/>
  <c r="S56" i="20" s="1"/>
  <c r="R56" i="20" a="1"/>
  <c r="R56" i="20" s="1"/>
  <c r="Q56" i="20" a="1"/>
  <c r="Q56" i="20" s="1"/>
  <c r="L56" i="20" a="1"/>
  <c r="L56" i="20" s="1"/>
  <c r="H56" i="20" a="1"/>
  <c r="H56" i="20" s="1"/>
  <c r="S55" i="20"/>
  <c r="S55" i="20" a="1"/>
  <c r="R55" i="20" a="1"/>
  <c r="R55" i="20" s="1"/>
  <c r="Q55" i="20" a="1"/>
  <c r="Q55" i="20" s="1"/>
  <c r="L55" i="20" a="1"/>
  <c r="L55" i="20" s="1"/>
  <c r="H55" i="20" a="1"/>
  <c r="H55" i="20" s="1"/>
  <c r="S54" i="20" a="1"/>
  <c r="S54" i="20" s="1"/>
  <c r="R54" i="20" a="1"/>
  <c r="R54" i="20" s="1"/>
  <c r="Q54" i="20"/>
  <c r="Q54" i="20" a="1"/>
  <c r="L54" i="20" a="1"/>
  <c r="L54" i="20" s="1"/>
  <c r="H54" i="20" a="1"/>
  <c r="H54" i="20" s="1"/>
  <c r="S53" i="20"/>
  <c r="S53" i="20" a="1"/>
  <c r="R53" i="20" a="1"/>
  <c r="R53" i="20" s="1"/>
  <c r="Q53" i="20" a="1"/>
  <c r="Q53" i="20" s="1"/>
  <c r="L53" i="20" a="1"/>
  <c r="L53" i="20" s="1"/>
  <c r="H53" i="20"/>
  <c r="H53" i="20" a="1"/>
  <c r="S52" i="20" a="1"/>
  <c r="S52" i="20" s="1"/>
  <c r="R52" i="20" a="1"/>
  <c r="R52" i="20" s="1"/>
  <c r="Q52" i="20" a="1"/>
  <c r="Q52" i="20" s="1"/>
  <c r="L52" i="20" a="1"/>
  <c r="L52" i="20" s="1"/>
  <c r="H52" i="20" a="1"/>
  <c r="H52" i="20" s="1"/>
  <c r="S51" i="20" a="1"/>
  <c r="S51" i="20" s="1"/>
  <c r="R51" i="20" a="1"/>
  <c r="R51" i="20" s="1"/>
  <c r="Q51" i="20" a="1"/>
  <c r="Q51" i="20" s="1"/>
  <c r="L51" i="20" a="1"/>
  <c r="L51" i="20" s="1"/>
  <c r="H51" i="20" a="1"/>
  <c r="H51" i="20" s="1"/>
  <c r="S50" i="20" a="1"/>
  <c r="S50" i="20" s="1"/>
  <c r="R50" i="20" a="1"/>
  <c r="R50" i="20" s="1"/>
  <c r="Q50" i="20"/>
  <c r="Q50" i="20" a="1"/>
  <c r="L50" i="20" a="1"/>
  <c r="L50" i="20" s="1"/>
  <c r="H50" i="20" a="1"/>
  <c r="H50" i="20" s="1"/>
  <c r="T49" i="20" a="1"/>
  <c r="T49" i="20" s="1"/>
  <c r="AE49" i="1" s="1"/>
  <c r="S49" i="20" a="1"/>
  <c r="S49" i="20" s="1"/>
  <c r="R49" i="20" a="1"/>
  <c r="R49" i="20" s="1"/>
  <c r="Q49" i="20" a="1"/>
  <c r="Q49" i="20" s="1"/>
  <c r="L49" i="20" a="1"/>
  <c r="L49" i="20" s="1"/>
  <c r="I49" i="20"/>
  <c r="I49" i="20" a="1"/>
  <c r="T48" i="20" a="1"/>
  <c r="T48" i="20" s="1"/>
  <c r="AE48" i="1" s="1"/>
  <c r="S48" i="20" a="1"/>
  <c r="S48" i="20" s="1"/>
  <c r="R48" i="20" a="1"/>
  <c r="R48" i="20" s="1"/>
  <c r="Q48" i="20"/>
  <c r="Q48" i="20" a="1"/>
  <c r="L48" i="20" a="1"/>
  <c r="L48" i="20" s="1"/>
  <c r="I48" i="20" a="1"/>
  <c r="I48" i="20" s="1"/>
  <c r="T47" i="20" a="1"/>
  <c r="T47" i="20" s="1"/>
  <c r="AE47" i="1" s="1"/>
  <c r="S47" i="20"/>
  <c r="S47" i="20" a="1"/>
  <c r="R47" i="20" a="1"/>
  <c r="R47" i="20" s="1"/>
  <c r="Q47" i="20" a="1"/>
  <c r="Q47" i="20" s="1"/>
  <c r="L47" i="20" a="1"/>
  <c r="L47" i="20" s="1"/>
  <c r="I47" i="20" a="1"/>
  <c r="I47" i="20" s="1"/>
  <c r="T46" i="20" a="1"/>
  <c r="T46" i="20" s="1"/>
  <c r="AE46" i="1" s="1"/>
  <c r="S46" i="20" a="1"/>
  <c r="S46" i="20" s="1"/>
  <c r="R46" i="20" a="1"/>
  <c r="R46" i="20" s="1"/>
  <c r="Q46" i="20" a="1"/>
  <c r="Q46" i="20" s="1"/>
  <c r="L46" i="20" a="1"/>
  <c r="L46" i="20" s="1"/>
  <c r="I46" i="20" a="1"/>
  <c r="I46" i="20" s="1"/>
  <c r="T45" i="20" a="1"/>
  <c r="T45" i="20" s="1"/>
  <c r="AE45" i="1" s="1"/>
  <c r="S45" i="20" a="1"/>
  <c r="S45" i="20" s="1"/>
  <c r="R45" i="20" a="1"/>
  <c r="R45" i="20" s="1"/>
  <c r="Q45" i="20" a="1"/>
  <c r="Q45" i="20" s="1"/>
  <c r="L45" i="20" a="1"/>
  <c r="L45" i="20" s="1"/>
  <c r="I45" i="20"/>
  <c r="I45" i="20" a="1"/>
  <c r="T44" i="20" a="1"/>
  <c r="T44" i="20" s="1"/>
  <c r="AE44" i="1" s="1"/>
  <c r="S44" i="20" a="1"/>
  <c r="S44" i="20" s="1"/>
  <c r="R44" i="20" a="1"/>
  <c r="R44" i="20" s="1"/>
  <c r="Q44" i="20" a="1"/>
  <c r="Q44" i="20" s="1"/>
  <c r="L44" i="20" a="1"/>
  <c r="L44" i="20" s="1"/>
  <c r="I44" i="20" a="1"/>
  <c r="I44" i="20" s="1"/>
  <c r="T43" i="20" a="1"/>
  <c r="T43" i="20" s="1"/>
  <c r="AE43" i="1" s="1"/>
  <c r="S43" i="20"/>
  <c r="S43" i="20" a="1"/>
  <c r="R43" i="20" a="1"/>
  <c r="R43" i="20" s="1"/>
  <c r="Q43" i="20" a="1"/>
  <c r="Q43" i="20" s="1"/>
  <c r="L43" i="20" a="1"/>
  <c r="L43" i="20" s="1"/>
  <c r="I43" i="20"/>
  <c r="I43" i="20" a="1"/>
  <c r="T42" i="20" a="1"/>
  <c r="T42" i="20" s="1"/>
  <c r="AE42" i="1" s="1"/>
  <c r="S42" i="20" a="1"/>
  <c r="S42" i="20" s="1"/>
  <c r="R42" i="20" a="1"/>
  <c r="R42" i="20" s="1"/>
  <c r="Q42" i="20"/>
  <c r="Q42" i="20" a="1"/>
  <c r="L42" i="20" a="1"/>
  <c r="L42" i="20" s="1"/>
  <c r="I42" i="20" a="1"/>
  <c r="I42" i="20" s="1"/>
  <c r="T41" i="20" a="1"/>
  <c r="T41" i="20" s="1"/>
  <c r="AE41" i="1" s="1"/>
  <c r="S41" i="20" a="1"/>
  <c r="S41" i="20" s="1"/>
  <c r="R41" i="20" a="1"/>
  <c r="R41" i="20" s="1"/>
  <c r="Q41" i="20" a="1"/>
  <c r="Q41" i="20" s="1"/>
  <c r="L41" i="20" a="1"/>
  <c r="L41" i="20" s="1"/>
  <c r="I41" i="20" a="1"/>
  <c r="I41" i="20" s="1"/>
  <c r="T40" i="20" a="1"/>
  <c r="T40" i="20" s="1"/>
  <c r="AE40" i="1" s="1"/>
  <c r="S40" i="20" a="1"/>
  <c r="S40" i="20" s="1"/>
  <c r="R40" i="20" a="1"/>
  <c r="R40" i="20" s="1"/>
  <c r="Q40" i="20" a="1"/>
  <c r="Q40" i="20" s="1"/>
  <c r="L40" i="20" a="1"/>
  <c r="L40" i="20" s="1"/>
  <c r="I40" i="20" a="1"/>
  <c r="I40" i="20" s="1"/>
  <c r="T39" i="20" a="1"/>
  <c r="T39" i="20" s="1"/>
  <c r="AE39" i="1" s="1"/>
  <c r="S39" i="20"/>
  <c r="S39" i="20" a="1"/>
  <c r="R39" i="20" a="1"/>
  <c r="R39" i="20" s="1"/>
  <c r="Q39" i="20" a="1"/>
  <c r="Q39" i="20" s="1"/>
  <c r="L39" i="20" a="1"/>
  <c r="L39" i="20" s="1"/>
  <c r="I39" i="20" a="1"/>
  <c r="I39" i="20" s="1"/>
  <c r="T38" i="20" a="1"/>
  <c r="T38" i="20" s="1"/>
  <c r="AE38" i="1" s="1"/>
  <c r="S38" i="20" a="1"/>
  <c r="S38" i="20" s="1"/>
  <c r="R38" i="20" a="1"/>
  <c r="R38" i="20" s="1"/>
  <c r="Q38" i="20"/>
  <c r="Q38" i="20" a="1"/>
  <c r="L38" i="20" a="1"/>
  <c r="L38" i="20" s="1"/>
  <c r="I38" i="20" a="1"/>
  <c r="I38" i="20" s="1"/>
  <c r="T37" i="20" a="1"/>
  <c r="T37" i="20" s="1"/>
  <c r="AE37" i="1" s="1"/>
  <c r="S37" i="20"/>
  <c r="S37" i="20" a="1"/>
  <c r="R37" i="20" a="1"/>
  <c r="R37" i="20" s="1"/>
  <c r="Q37" i="20" a="1"/>
  <c r="Q37" i="20" s="1"/>
  <c r="L37" i="20" a="1"/>
  <c r="L37" i="20" s="1"/>
  <c r="I37" i="20"/>
  <c r="I37" i="20" a="1"/>
  <c r="T36" i="20" a="1"/>
  <c r="T36" i="20" s="1"/>
  <c r="AE36" i="1" s="1"/>
  <c r="S36" i="20" a="1"/>
  <c r="S36" i="20" s="1"/>
  <c r="R36" i="20" a="1"/>
  <c r="R36" i="20" s="1"/>
  <c r="Q36" i="20" a="1"/>
  <c r="Q36" i="20" s="1"/>
  <c r="L36" i="20" a="1"/>
  <c r="L36" i="20" s="1"/>
  <c r="I36" i="20" a="1"/>
  <c r="I36" i="20" s="1"/>
  <c r="T35" i="20" a="1"/>
  <c r="T35" i="20" s="1"/>
  <c r="AE35" i="1" s="1"/>
  <c r="S35" i="20" a="1"/>
  <c r="S35" i="20" s="1"/>
  <c r="R35" i="20" a="1"/>
  <c r="R35" i="20" s="1"/>
  <c r="Q35" i="20" a="1"/>
  <c r="Q35" i="20" s="1"/>
  <c r="L35" i="20" a="1"/>
  <c r="L35" i="20" s="1"/>
  <c r="I35" i="20" a="1"/>
  <c r="I35" i="20" s="1"/>
  <c r="T34" i="20" a="1"/>
  <c r="T34" i="20" s="1"/>
  <c r="AE34" i="1" s="1"/>
  <c r="S34" i="20" a="1"/>
  <c r="S34" i="20" s="1"/>
  <c r="R34" i="20" a="1"/>
  <c r="R34" i="20" s="1"/>
  <c r="Q34" i="20"/>
  <c r="Q34" i="20" a="1"/>
  <c r="L34" i="20" a="1"/>
  <c r="L34" i="20" s="1"/>
  <c r="I34" i="20" a="1"/>
  <c r="I34" i="20" s="1"/>
  <c r="T33" i="20" a="1"/>
  <c r="T33" i="20" s="1"/>
  <c r="AE33" i="1" s="1"/>
  <c r="S33" i="20" a="1"/>
  <c r="S33" i="20" s="1"/>
  <c r="R33" i="20" a="1"/>
  <c r="R33" i="20" s="1"/>
  <c r="Q33" i="20" a="1"/>
  <c r="Q33" i="20" s="1"/>
  <c r="L33" i="20" a="1"/>
  <c r="L33" i="20" s="1"/>
  <c r="I33" i="20"/>
  <c r="I33" i="20" a="1"/>
  <c r="T32" i="20" a="1"/>
  <c r="T32" i="20" s="1"/>
  <c r="AE32" i="1" s="1"/>
  <c r="S32" i="20" a="1"/>
  <c r="S32" i="20" s="1"/>
  <c r="R32" i="20" a="1"/>
  <c r="R32" i="20" s="1"/>
  <c r="Q32" i="20"/>
  <c r="Q32" i="20" a="1"/>
  <c r="L32" i="20" a="1"/>
  <c r="L32" i="20" s="1"/>
  <c r="I32" i="20" a="1"/>
  <c r="I32" i="20" s="1"/>
  <c r="T31" i="20" a="1"/>
  <c r="T31" i="20" s="1"/>
  <c r="S31" i="20"/>
  <c r="S31" i="20" a="1"/>
  <c r="R31" i="20" a="1"/>
  <c r="R31" i="20" s="1"/>
  <c r="Q31" i="20" a="1"/>
  <c r="Q31" i="20" s="1"/>
  <c r="L31" i="20" a="1"/>
  <c r="L31" i="20" s="1"/>
  <c r="I31" i="20" a="1"/>
  <c r="I31" i="20" s="1"/>
  <c r="T30" i="20" a="1"/>
  <c r="T30" i="20" s="1"/>
  <c r="AE30" i="1" s="1"/>
  <c r="S30" i="20" a="1"/>
  <c r="S30" i="20" s="1"/>
  <c r="R30" i="20" a="1"/>
  <c r="R30" i="20" s="1"/>
  <c r="Q30" i="20" a="1"/>
  <c r="Q30" i="20" s="1"/>
  <c r="L30" i="20" a="1"/>
  <c r="L30" i="20" s="1"/>
  <c r="I30" i="20" a="1"/>
  <c r="I30" i="20" s="1"/>
  <c r="T29" i="20" a="1"/>
  <c r="T29" i="20" s="1"/>
  <c r="AE29" i="1" s="1"/>
  <c r="S29" i="20" a="1"/>
  <c r="S29" i="20" s="1"/>
  <c r="R29" i="20" a="1"/>
  <c r="R29" i="20" s="1"/>
  <c r="Q29" i="20" a="1"/>
  <c r="Q29" i="20" s="1"/>
  <c r="L29" i="20" a="1"/>
  <c r="L29" i="20" s="1"/>
  <c r="I29" i="20"/>
  <c r="I29" i="20" a="1"/>
  <c r="T28" i="20" a="1"/>
  <c r="T28" i="20" s="1"/>
  <c r="AE28" i="1" s="1"/>
  <c r="S28" i="20" a="1"/>
  <c r="S28" i="20" s="1"/>
  <c r="R28" i="20" a="1"/>
  <c r="R28" i="20" s="1"/>
  <c r="Q28" i="20" a="1"/>
  <c r="Q28" i="20" s="1"/>
  <c r="L28" i="20" a="1"/>
  <c r="L28" i="20" s="1"/>
  <c r="I28" i="20" a="1"/>
  <c r="I28" i="20" s="1"/>
  <c r="T27" i="20" a="1"/>
  <c r="T27" i="20" s="1"/>
  <c r="AE27" i="1" s="1"/>
  <c r="S27" i="20"/>
  <c r="S27" i="20" a="1"/>
  <c r="R27" i="20" a="1"/>
  <c r="R27" i="20" s="1"/>
  <c r="Q27" i="20" a="1"/>
  <c r="Q27" i="20" s="1"/>
  <c r="L27" i="20" a="1"/>
  <c r="L27" i="20" s="1"/>
  <c r="I27" i="20"/>
  <c r="I27" i="20" a="1"/>
  <c r="T26" i="20" a="1"/>
  <c r="T26" i="20" s="1"/>
  <c r="AE26" i="1" s="1"/>
  <c r="S26" i="20" a="1"/>
  <c r="S26" i="20" s="1"/>
  <c r="R26" i="20" a="1"/>
  <c r="R26" i="20" s="1"/>
  <c r="Q26" i="20"/>
  <c r="Q26" i="20" a="1"/>
  <c r="L26" i="20" a="1"/>
  <c r="L26" i="20" s="1"/>
  <c r="I26" i="20" a="1"/>
  <c r="I26" i="20" s="1"/>
  <c r="T25" i="20" a="1"/>
  <c r="T25" i="20" s="1"/>
  <c r="AE25" i="1" s="1"/>
  <c r="S25" i="20" a="1"/>
  <c r="S25" i="20" s="1"/>
  <c r="R25" i="20" a="1"/>
  <c r="R25" i="20" s="1"/>
  <c r="Q25" i="20" a="1"/>
  <c r="Q25" i="20" s="1"/>
  <c r="L25" i="20" a="1"/>
  <c r="L25" i="20" s="1"/>
  <c r="I25" i="20" a="1"/>
  <c r="I25" i="20" s="1"/>
  <c r="T24" i="20" a="1"/>
  <c r="T24" i="20" s="1"/>
  <c r="AE24" i="1" s="1"/>
  <c r="S24" i="20" a="1"/>
  <c r="S24" i="20" s="1"/>
  <c r="R24" i="20" a="1"/>
  <c r="R24" i="20" s="1"/>
  <c r="Q24" i="20" a="1"/>
  <c r="Q24" i="20" s="1"/>
  <c r="L24" i="20" a="1"/>
  <c r="L24" i="20" s="1"/>
  <c r="I24" i="20" a="1"/>
  <c r="I24" i="20" s="1"/>
  <c r="T23" i="20" a="1"/>
  <c r="T23" i="20" s="1"/>
  <c r="AE23" i="1" s="1"/>
  <c r="S23" i="20"/>
  <c r="S23" i="20" a="1"/>
  <c r="R23" i="20" a="1"/>
  <c r="R23" i="20" s="1"/>
  <c r="Q23" i="20" a="1"/>
  <c r="Q23" i="20" s="1"/>
  <c r="L23" i="20" a="1"/>
  <c r="L23" i="20" s="1"/>
  <c r="I23" i="20" a="1"/>
  <c r="I23" i="20" s="1"/>
  <c r="T22" i="20" a="1"/>
  <c r="T22" i="20" s="1"/>
  <c r="AE22" i="1" s="1"/>
  <c r="S22" i="20" a="1"/>
  <c r="S22" i="20" s="1"/>
  <c r="R22" i="20" a="1"/>
  <c r="R22" i="20" s="1"/>
  <c r="Q22" i="20"/>
  <c r="Q22" i="20" a="1"/>
  <c r="L22" i="20" a="1"/>
  <c r="L22" i="20" s="1"/>
  <c r="I22" i="20" a="1"/>
  <c r="I22" i="20" s="1"/>
  <c r="T21" i="20" a="1"/>
  <c r="T21" i="20" s="1"/>
  <c r="AE21" i="1" s="1"/>
  <c r="S21" i="20"/>
  <c r="S21" i="20" a="1"/>
  <c r="R21" i="20" a="1"/>
  <c r="R21" i="20" s="1"/>
  <c r="Q21" i="20" a="1"/>
  <c r="Q21" i="20" s="1"/>
  <c r="L21" i="20" a="1"/>
  <c r="L21" i="20" s="1"/>
  <c r="I21" i="20"/>
  <c r="I21" i="20" a="1"/>
  <c r="T20" i="20" a="1"/>
  <c r="T20" i="20" s="1"/>
  <c r="AE20" i="1" s="1"/>
  <c r="S20" i="20" a="1"/>
  <c r="S20" i="20" s="1"/>
  <c r="R20" i="20" a="1"/>
  <c r="R20" i="20" s="1"/>
  <c r="Q20" i="20" a="1"/>
  <c r="Q20" i="20" s="1"/>
  <c r="L20" i="20" a="1"/>
  <c r="L20" i="20" s="1"/>
  <c r="I20" i="20" a="1"/>
  <c r="I20" i="20" s="1"/>
  <c r="T19" i="20" a="1"/>
  <c r="T19" i="20" s="1"/>
  <c r="AE19" i="1" s="1"/>
  <c r="S19" i="20" a="1"/>
  <c r="S19" i="20" s="1"/>
  <c r="R19" i="20" a="1"/>
  <c r="R19" i="20" s="1"/>
  <c r="Q19" i="20" a="1"/>
  <c r="Q19" i="20" s="1"/>
  <c r="L19" i="20" a="1"/>
  <c r="L19" i="20" s="1"/>
  <c r="I19" i="20" a="1"/>
  <c r="I19" i="20" s="1"/>
  <c r="T18" i="20" a="1"/>
  <c r="T18" i="20" s="1"/>
  <c r="AE18" i="1" s="1"/>
  <c r="S18" i="20" a="1"/>
  <c r="S18" i="20" s="1"/>
  <c r="R18" i="20" a="1"/>
  <c r="R18" i="20" s="1"/>
  <c r="Q18" i="20"/>
  <c r="Q18" i="20" a="1"/>
  <c r="L18" i="20" a="1"/>
  <c r="L18" i="20" s="1"/>
  <c r="I18" i="20" a="1"/>
  <c r="I18" i="20" s="1"/>
  <c r="T17" i="20" a="1"/>
  <c r="T17" i="20" s="1"/>
  <c r="AE17" i="1" s="1"/>
  <c r="S17" i="20" a="1"/>
  <c r="S17" i="20" s="1"/>
  <c r="R17" i="20" a="1"/>
  <c r="R17" i="20" s="1"/>
  <c r="Q17" i="20" a="1"/>
  <c r="Q17" i="20" s="1"/>
  <c r="L17" i="20" a="1"/>
  <c r="L17" i="20" s="1"/>
  <c r="I17" i="20"/>
  <c r="I17" i="20" a="1"/>
  <c r="T16" i="20" a="1"/>
  <c r="T16" i="20" s="1"/>
  <c r="AE16" i="1" s="1"/>
  <c r="S16" i="20" a="1"/>
  <c r="S16" i="20" s="1"/>
  <c r="R16" i="20" a="1"/>
  <c r="R16" i="20" s="1"/>
  <c r="Q16" i="20" a="1"/>
  <c r="Q16" i="20" s="1"/>
  <c r="L16" i="20" a="1"/>
  <c r="L16" i="20" s="1"/>
  <c r="I16" i="20" a="1"/>
  <c r="I16" i="20" s="1"/>
  <c r="T15" i="20" a="1"/>
  <c r="T15" i="20" s="1"/>
  <c r="AE15" i="1" s="1"/>
  <c r="S15" i="20"/>
  <c r="S15" i="20" a="1"/>
  <c r="R15" i="20" a="1"/>
  <c r="R15" i="20" s="1"/>
  <c r="Q15" i="20" a="1"/>
  <c r="Q15" i="20" s="1"/>
  <c r="L15" i="20" a="1"/>
  <c r="L15" i="20" s="1"/>
  <c r="I15" i="20"/>
  <c r="I15" i="20" a="1"/>
  <c r="T14" i="20" a="1"/>
  <c r="T14" i="20" s="1"/>
  <c r="AE14" i="1" s="1"/>
  <c r="S14" i="20" a="1"/>
  <c r="S14" i="20" s="1"/>
  <c r="R14" i="20" a="1"/>
  <c r="R14" i="20" s="1"/>
  <c r="Q14" i="20" a="1"/>
  <c r="Q14" i="20" s="1"/>
  <c r="L14" i="20" a="1"/>
  <c r="L14" i="20" s="1"/>
  <c r="I14" i="20" a="1"/>
  <c r="I14" i="20" s="1"/>
  <c r="T13" i="20" a="1"/>
  <c r="T13" i="20" s="1"/>
  <c r="AE13" i="1" s="1"/>
  <c r="S13" i="20" a="1"/>
  <c r="S13" i="20" s="1"/>
  <c r="R13" i="20" a="1"/>
  <c r="R13" i="20" s="1"/>
  <c r="Q13" i="20" a="1"/>
  <c r="Q13" i="20" s="1"/>
  <c r="L13" i="20" a="1"/>
  <c r="L13" i="20" s="1"/>
  <c r="I13" i="20"/>
  <c r="I13" i="20" a="1"/>
  <c r="T12" i="20" a="1"/>
  <c r="T12" i="20" s="1"/>
  <c r="AE12" i="1" s="1"/>
  <c r="S12" i="20" a="1"/>
  <c r="S12" i="20" s="1"/>
  <c r="R12" i="20" a="1"/>
  <c r="R12" i="20" s="1"/>
  <c r="Q12" i="20" a="1"/>
  <c r="Q12" i="20" s="1"/>
  <c r="L12" i="20" a="1"/>
  <c r="L12" i="20" s="1"/>
  <c r="I12" i="20" a="1"/>
  <c r="I12" i="20" s="1"/>
  <c r="T11" i="20" a="1"/>
  <c r="T11" i="20" s="1"/>
  <c r="AE11" i="1" s="1"/>
  <c r="S11" i="20"/>
  <c r="S11" i="20" a="1"/>
  <c r="R11" i="20" a="1"/>
  <c r="R11" i="20" s="1"/>
  <c r="Q11" i="20" a="1"/>
  <c r="Q11" i="20" s="1"/>
  <c r="L11" i="20" a="1"/>
  <c r="L11" i="20" s="1"/>
  <c r="I11" i="20" a="1"/>
  <c r="I11" i="20" s="1"/>
  <c r="T10" i="20" a="1"/>
  <c r="T10" i="20" s="1"/>
  <c r="AE10" i="1" s="1"/>
  <c r="S10" i="20"/>
  <c r="S10" i="20" a="1"/>
  <c r="R10" i="20" a="1"/>
  <c r="R10" i="20" s="1"/>
  <c r="Q10" i="20" a="1"/>
  <c r="Q10" i="20" s="1"/>
  <c r="L10" i="20" a="1"/>
  <c r="L10" i="20" s="1"/>
  <c r="I10" i="20"/>
  <c r="I10" i="20" a="1"/>
  <c r="T9" i="20" a="1"/>
  <c r="T9" i="20" s="1"/>
  <c r="AE9" i="1" s="1"/>
  <c r="S9" i="20" a="1"/>
  <c r="S9" i="20" s="1"/>
  <c r="R9" i="20" a="1"/>
  <c r="R9" i="20" s="1"/>
  <c r="Q9" i="20" a="1"/>
  <c r="Q9" i="20" s="1"/>
  <c r="L9" i="20" a="1"/>
  <c r="L9" i="20" s="1"/>
  <c r="I9" i="20"/>
  <c r="I9" i="20" a="1"/>
  <c r="T8" i="20" a="1"/>
  <c r="T8" i="20" s="1"/>
  <c r="AE8" i="1" s="1"/>
  <c r="S8" i="20"/>
  <c r="S8" i="20" a="1"/>
  <c r="R8" i="20" a="1"/>
  <c r="R8" i="20" s="1"/>
  <c r="Q8" i="20" a="1"/>
  <c r="Q8" i="20" s="1"/>
  <c r="L8" i="20" a="1"/>
  <c r="L8" i="20" s="1"/>
  <c r="I8" i="20"/>
  <c r="I8" i="20" a="1"/>
  <c r="T7" i="20" a="1"/>
  <c r="T7" i="20" s="1"/>
  <c r="AE7" i="1" s="1"/>
  <c r="S7" i="20" a="1"/>
  <c r="S7" i="20" s="1"/>
  <c r="R7" i="20"/>
  <c r="R7" i="20" a="1"/>
  <c r="Q7" i="20" a="1"/>
  <c r="Q7" i="20" s="1"/>
  <c r="L7" i="20"/>
  <c r="L7" i="20" a="1"/>
  <c r="I7" i="20" a="1"/>
  <c r="I7" i="20" s="1"/>
  <c r="T6" i="20" a="1"/>
  <c r="T6" i="20" s="1"/>
  <c r="AE6" i="1" s="1"/>
  <c r="S6" i="20" a="1"/>
  <c r="S6" i="20" s="1"/>
  <c r="R6" i="20"/>
  <c r="R6" i="20" a="1"/>
  <c r="Q6" i="20" a="1"/>
  <c r="Q6" i="20" s="1"/>
  <c r="L6" i="20"/>
  <c r="L6" i="20" a="1"/>
  <c r="I6" i="20" a="1"/>
  <c r="I6" i="20" s="1"/>
  <c r="T5" i="20" a="1"/>
  <c r="T5" i="20" s="1"/>
  <c r="AE5" i="1" s="1"/>
  <c r="S5" i="20" a="1"/>
  <c r="S5" i="20" s="1"/>
  <c r="R5" i="20"/>
  <c r="R5" i="20" a="1"/>
  <c r="Q5" i="20" a="1"/>
  <c r="Q5" i="20" s="1"/>
  <c r="L5" i="20"/>
  <c r="L5" i="20" a="1"/>
  <c r="I5" i="20" a="1"/>
  <c r="I5" i="20" s="1"/>
  <c r="T4" i="20"/>
  <c r="AE4" i="1" s="1"/>
  <c r="T4" i="20" a="1"/>
  <c r="S4" i="20" a="1"/>
  <c r="S4" i="20" s="1"/>
  <c r="R4" i="20"/>
  <c r="R4" i="20" a="1"/>
  <c r="Q4" i="20" a="1"/>
  <c r="Q4" i="20" s="1"/>
  <c r="L4" i="20"/>
  <c r="L4" i="20" a="1"/>
  <c r="I4" i="20" a="1"/>
  <c r="I4" i="20" s="1"/>
  <c r="T3" i="20" a="1"/>
  <c r="T3" i="20" s="1"/>
  <c r="AE3" i="1" s="1"/>
  <c r="S3" i="20" a="1"/>
  <c r="S3" i="20" s="1"/>
  <c r="R3" i="20"/>
  <c r="R3" i="20" a="1"/>
  <c r="Q3" i="20" a="1"/>
  <c r="Q3" i="20" s="1"/>
  <c r="L3" i="20"/>
  <c r="L3" i="20" a="1"/>
  <c r="I3" i="20" a="1"/>
  <c r="I3" i="20" s="1"/>
  <c r="T2" i="20" a="1"/>
  <c r="T2" i="20" s="1"/>
  <c r="AE2" i="1" s="1"/>
  <c r="S2" i="20" a="1"/>
  <c r="S2" i="20" s="1"/>
  <c r="R2" i="20"/>
  <c r="R2" i="20" a="1"/>
  <c r="Q2" i="20" a="1"/>
  <c r="Q2" i="20" s="1"/>
  <c r="L2" i="20"/>
  <c r="L2" i="20" a="1"/>
  <c r="I2" i="20" a="1"/>
  <c r="I2" i="20" s="1"/>
  <c r="N195" i="20" a="1"/>
  <c r="N195" i="20" s="1"/>
  <c r="M195" i="20"/>
  <c r="N194" i="20" a="1"/>
  <c r="N194" i="20" s="1"/>
  <c r="M194" i="20"/>
  <c r="N193" i="20" a="1"/>
  <c r="N193" i="20" s="1"/>
  <c r="M193" i="20"/>
  <c r="N192" i="20"/>
  <c r="N192" i="20" a="1"/>
  <c r="M192" i="20"/>
  <c r="N191" i="20"/>
  <c r="N191" i="20" a="1"/>
  <c r="M191" i="20"/>
  <c r="N190" i="20"/>
  <c r="N190" i="20" a="1"/>
  <c r="M190" i="20"/>
  <c r="N189" i="20" a="1"/>
  <c r="N189" i="20" s="1"/>
  <c r="M189" i="20"/>
  <c r="N188" i="20" a="1"/>
  <c r="N188" i="20" s="1"/>
  <c r="M188" i="20"/>
  <c r="N187" i="20" a="1"/>
  <c r="N187" i="20" s="1"/>
  <c r="M187" i="20"/>
  <c r="N186" i="20" a="1"/>
  <c r="N186" i="20" s="1"/>
  <c r="M186" i="20"/>
  <c r="N185" i="20" a="1"/>
  <c r="N185" i="20" s="1"/>
  <c r="M185" i="20"/>
  <c r="N184" i="20"/>
  <c r="N184" i="20" a="1"/>
  <c r="M184" i="20"/>
  <c r="N183" i="20"/>
  <c r="N183" i="20" a="1"/>
  <c r="M183" i="20"/>
  <c r="N182" i="20"/>
  <c r="N182" i="20" a="1"/>
  <c r="M182" i="20"/>
  <c r="N181" i="20" a="1"/>
  <c r="N181" i="20" s="1"/>
  <c r="M181" i="20"/>
  <c r="N180" i="20" a="1"/>
  <c r="N180" i="20" s="1"/>
  <c r="M180" i="20"/>
  <c r="N179" i="20" a="1"/>
  <c r="N179" i="20" s="1"/>
  <c r="M179" i="20"/>
  <c r="N178" i="20" a="1"/>
  <c r="N178" i="20" s="1"/>
  <c r="M178" i="20"/>
  <c r="N177" i="20" a="1"/>
  <c r="N177" i="20" s="1"/>
  <c r="M177" i="20"/>
  <c r="N176" i="20"/>
  <c r="N176" i="20" a="1"/>
  <c r="M176" i="20"/>
  <c r="N175" i="20"/>
  <c r="N175" i="20" a="1"/>
  <c r="M175" i="20"/>
  <c r="N174" i="20"/>
  <c r="N174" i="20" a="1"/>
  <c r="M174" i="20"/>
  <c r="N173" i="20" a="1"/>
  <c r="N173" i="20" s="1"/>
  <c r="M173" i="20"/>
  <c r="N172" i="20" a="1"/>
  <c r="N172" i="20" s="1"/>
  <c r="M172" i="20"/>
  <c r="N171" i="20" a="1"/>
  <c r="N171" i="20" s="1"/>
  <c r="M171" i="20"/>
  <c r="N170" i="20" a="1"/>
  <c r="N170" i="20" s="1"/>
  <c r="M170" i="20"/>
  <c r="N169" i="20" a="1"/>
  <c r="N169" i="20" s="1"/>
  <c r="M169" i="20"/>
  <c r="N168" i="20"/>
  <c r="N168" i="20" a="1"/>
  <c r="M168" i="20"/>
  <c r="N167" i="20"/>
  <c r="N167" i="20" a="1"/>
  <c r="M167" i="20"/>
  <c r="N166" i="20"/>
  <c r="N166" i="20" a="1"/>
  <c r="M166" i="20"/>
  <c r="N165" i="20" a="1"/>
  <c r="N165" i="20" s="1"/>
  <c r="M165" i="20"/>
  <c r="N164" i="20"/>
  <c r="N164" i="20" a="1"/>
  <c r="M164" i="20"/>
  <c r="N163" i="20" a="1"/>
  <c r="N163" i="20" s="1"/>
  <c r="M163" i="20"/>
  <c r="N162" i="20" a="1"/>
  <c r="N162" i="20" s="1"/>
  <c r="M162" i="20"/>
  <c r="N161" i="20" a="1"/>
  <c r="N161" i="20" s="1"/>
  <c r="M161" i="20"/>
  <c r="N160" i="20"/>
  <c r="N160" i="20" a="1"/>
  <c r="M160" i="20"/>
  <c r="N159" i="20"/>
  <c r="N159" i="20" a="1"/>
  <c r="M159" i="20"/>
  <c r="N158" i="20"/>
  <c r="N158" i="20" a="1"/>
  <c r="M158" i="20"/>
  <c r="N157" i="20" a="1"/>
  <c r="N157" i="20" s="1"/>
  <c r="M157" i="20"/>
  <c r="N156" i="20"/>
  <c r="N156" i="20" a="1"/>
  <c r="M156" i="20"/>
  <c r="N155" i="20" a="1"/>
  <c r="N155" i="20" s="1"/>
  <c r="M155" i="20"/>
  <c r="N154" i="20" a="1"/>
  <c r="N154" i="20" s="1"/>
  <c r="M154" i="20"/>
  <c r="N153" i="20" a="1"/>
  <c r="N153" i="20" s="1"/>
  <c r="M153" i="20"/>
  <c r="N152" i="20"/>
  <c r="N152" i="20" a="1"/>
  <c r="M152" i="20"/>
  <c r="N151" i="20"/>
  <c r="N151" i="20" a="1"/>
  <c r="M151" i="20"/>
  <c r="N150" i="20" a="1"/>
  <c r="N150" i="20" s="1"/>
  <c r="M150" i="20"/>
  <c r="N149" i="20" a="1"/>
  <c r="N149" i="20" s="1"/>
  <c r="M149" i="20"/>
  <c r="N148" i="20"/>
  <c r="N148" i="20" a="1"/>
  <c r="M148" i="20"/>
  <c r="N147" i="20" a="1"/>
  <c r="N147" i="20" s="1"/>
  <c r="M147" i="20"/>
  <c r="N146" i="20" a="1"/>
  <c r="N146" i="20" s="1"/>
  <c r="M146" i="20"/>
  <c r="N145" i="20" a="1"/>
  <c r="N145" i="20" s="1"/>
  <c r="M145" i="20"/>
  <c r="N144" i="20"/>
  <c r="N144" i="20" a="1"/>
  <c r="M144" i="20"/>
  <c r="N143" i="20"/>
  <c r="N143" i="20" a="1"/>
  <c r="M143" i="20"/>
  <c r="N142" i="20" a="1"/>
  <c r="N142" i="20" s="1"/>
  <c r="M142" i="20"/>
  <c r="N141" i="20" a="1"/>
  <c r="N141" i="20" s="1"/>
  <c r="M141" i="20"/>
  <c r="N140" i="20"/>
  <c r="N140" i="20" a="1"/>
  <c r="M140" i="20"/>
  <c r="N139" i="20" a="1"/>
  <c r="N139" i="20" s="1"/>
  <c r="M139" i="20"/>
  <c r="N138" i="20" a="1"/>
  <c r="N138" i="20" s="1"/>
  <c r="M138" i="20"/>
  <c r="N137" i="20" a="1"/>
  <c r="N137" i="20" s="1"/>
  <c r="M137" i="20"/>
  <c r="N136" i="20"/>
  <c r="N136" i="20" a="1"/>
  <c r="M136" i="20"/>
  <c r="N135" i="20"/>
  <c r="N135" i="20" a="1"/>
  <c r="M135" i="20"/>
  <c r="N134" i="20" a="1"/>
  <c r="N134" i="20" s="1"/>
  <c r="M134" i="20"/>
  <c r="N133" i="20" a="1"/>
  <c r="N133" i="20" s="1"/>
  <c r="M133" i="20"/>
  <c r="N132" i="20"/>
  <c r="N132" i="20" a="1"/>
  <c r="M132" i="20"/>
  <c r="N131" i="20" a="1"/>
  <c r="N131" i="20" s="1"/>
  <c r="M131" i="20"/>
  <c r="N130" i="20" a="1"/>
  <c r="N130" i="20" s="1"/>
  <c r="M130" i="20"/>
  <c r="N129" i="20" a="1"/>
  <c r="N129" i="20" s="1"/>
  <c r="M129" i="20"/>
  <c r="N128" i="20"/>
  <c r="N128" i="20" a="1"/>
  <c r="M128" i="20"/>
  <c r="N127" i="20"/>
  <c r="N127" i="20" a="1"/>
  <c r="M127" i="20"/>
  <c r="N126" i="20" a="1"/>
  <c r="N126" i="20" s="1"/>
  <c r="P126" i="20" s="1"/>
  <c r="M126" i="20"/>
  <c r="N125" i="20" a="1"/>
  <c r="N125" i="20" s="1"/>
  <c r="M125" i="20"/>
  <c r="N124" i="20"/>
  <c r="N124" i="20" a="1"/>
  <c r="M124" i="20"/>
  <c r="N123" i="20" a="1"/>
  <c r="N123" i="20" s="1"/>
  <c r="M123" i="20"/>
  <c r="N122" i="20" a="1"/>
  <c r="N122" i="20" s="1"/>
  <c r="M122" i="20"/>
  <c r="N121" i="20" a="1"/>
  <c r="N121" i="20" s="1"/>
  <c r="M121" i="20"/>
  <c r="N120" i="20"/>
  <c r="N120" i="20" a="1"/>
  <c r="M120" i="20"/>
  <c r="N119" i="20"/>
  <c r="N119" i="20" a="1"/>
  <c r="M119" i="20"/>
  <c r="N118" i="20" a="1"/>
  <c r="N118" i="20" s="1"/>
  <c r="M118" i="20"/>
  <c r="N117" i="20" a="1"/>
  <c r="N117" i="20" s="1"/>
  <c r="M117" i="20"/>
  <c r="N116" i="20"/>
  <c r="N116" i="20" a="1"/>
  <c r="M116" i="20"/>
  <c r="N115" i="20" a="1"/>
  <c r="N115" i="20" s="1"/>
  <c r="M115" i="20"/>
  <c r="N114" i="20" a="1"/>
  <c r="N114" i="20" s="1"/>
  <c r="M114" i="20"/>
  <c r="N113" i="20" a="1"/>
  <c r="N113" i="20" s="1"/>
  <c r="M113" i="20"/>
  <c r="N112" i="20"/>
  <c r="N112" i="20" a="1"/>
  <c r="M112" i="20"/>
  <c r="N111" i="20"/>
  <c r="N111" i="20" a="1"/>
  <c r="M111" i="20"/>
  <c r="N110" i="20" a="1"/>
  <c r="N110" i="20" s="1"/>
  <c r="M110" i="20"/>
  <c r="N109" i="20" a="1"/>
  <c r="N109" i="20" s="1"/>
  <c r="M109" i="20"/>
  <c r="N108" i="20"/>
  <c r="N108" i="20" a="1"/>
  <c r="M108" i="20"/>
  <c r="N107" i="20"/>
  <c r="N107" i="20" a="1"/>
  <c r="M107" i="20"/>
  <c r="N106" i="20" a="1"/>
  <c r="N106" i="20" s="1"/>
  <c r="M106" i="20"/>
  <c r="N105" i="20" a="1"/>
  <c r="N105" i="20" s="1"/>
  <c r="M105" i="20"/>
  <c r="N104" i="20"/>
  <c r="N104" i="20" a="1"/>
  <c r="M104" i="20"/>
  <c r="N103" i="20"/>
  <c r="N103" i="20" a="1"/>
  <c r="M103" i="20"/>
  <c r="N102" i="20" a="1"/>
  <c r="N102" i="20" s="1"/>
  <c r="M102" i="20"/>
  <c r="N101" i="20" a="1"/>
  <c r="N101" i="20" s="1"/>
  <c r="M101" i="20"/>
  <c r="N100" i="20"/>
  <c r="N100" i="20" a="1"/>
  <c r="M100" i="20"/>
  <c r="L99" i="20"/>
  <c r="L98" i="20"/>
  <c r="L97" i="20"/>
  <c r="L96" i="20"/>
  <c r="L95" i="20"/>
  <c r="L94" i="20"/>
  <c r="L93" i="20"/>
  <c r="L92" i="20"/>
  <c r="K91" i="20" a="1"/>
  <c r="K91" i="20" s="1"/>
  <c r="L90" i="20"/>
  <c r="L89" i="20"/>
  <c r="L88" i="20"/>
  <c r="L87" i="20"/>
  <c r="L86" i="20"/>
  <c r="L85" i="20"/>
  <c r="L84" i="20"/>
  <c r="L83" i="20"/>
  <c r="K82" i="20" a="1"/>
  <c r="K82" i="20" s="1"/>
  <c r="Q99" i="20"/>
  <c r="Q98" i="20"/>
  <c r="Q97" i="20"/>
  <c r="Q96" i="20"/>
  <c r="Q95" i="20"/>
  <c r="Q94" i="20"/>
  <c r="Q93" i="20"/>
  <c r="Q92" i="20"/>
  <c r="Q90" i="20"/>
  <c r="Q89" i="20"/>
  <c r="Q88" i="20"/>
  <c r="Q87" i="20"/>
  <c r="Q86" i="20"/>
  <c r="Q85" i="20"/>
  <c r="Q84" i="20"/>
  <c r="Q83" i="20"/>
  <c r="R99" i="20"/>
  <c r="R98" i="20"/>
  <c r="R97" i="20"/>
  <c r="R96" i="20"/>
  <c r="R95" i="20"/>
  <c r="R94" i="20"/>
  <c r="R93" i="20"/>
  <c r="R92" i="20"/>
  <c r="R90" i="20"/>
  <c r="R89" i="20"/>
  <c r="R88" i="20"/>
  <c r="R87" i="20"/>
  <c r="R86" i="20"/>
  <c r="R85" i="20"/>
  <c r="R84" i="20"/>
  <c r="R83" i="20"/>
  <c r="S99" i="20"/>
  <c r="S98" i="20"/>
  <c r="S97" i="20"/>
  <c r="S96" i="20"/>
  <c r="S95" i="20"/>
  <c r="S94" i="20"/>
  <c r="S93" i="20"/>
  <c r="S92" i="20"/>
  <c r="S90" i="20"/>
  <c r="S89" i="20"/>
  <c r="S88" i="20"/>
  <c r="S87" i="20"/>
  <c r="S86" i="20"/>
  <c r="S85" i="20"/>
  <c r="S84" i="20"/>
  <c r="S83" i="20"/>
  <c r="J195" i="20"/>
  <c r="B195" i="20"/>
  <c r="D195" i="20" s="1"/>
  <c r="J194" i="20"/>
  <c r="B194" i="20"/>
  <c r="J193" i="20"/>
  <c r="B193" i="20"/>
  <c r="J192" i="20"/>
  <c r="B192" i="20"/>
  <c r="J191" i="20"/>
  <c r="B191" i="20"/>
  <c r="D191" i="20" s="1"/>
  <c r="J190" i="20"/>
  <c r="B190" i="20"/>
  <c r="J189" i="20"/>
  <c r="B189" i="20"/>
  <c r="J188" i="20"/>
  <c r="B188" i="20"/>
  <c r="J187" i="20"/>
  <c r="B187" i="20"/>
  <c r="D187" i="20" s="1"/>
  <c r="J186" i="20"/>
  <c r="B186" i="20"/>
  <c r="J185" i="20"/>
  <c r="B185" i="20"/>
  <c r="J184" i="20"/>
  <c r="B184" i="20"/>
  <c r="J183" i="20"/>
  <c r="B183" i="20"/>
  <c r="D183" i="20" s="1"/>
  <c r="J182" i="20"/>
  <c r="B182" i="20"/>
  <c r="J181" i="20"/>
  <c r="B181" i="20"/>
  <c r="J180" i="20"/>
  <c r="B180" i="20"/>
  <c r="J179" i="20"/>
  <c r="B179" i="20"/>
  <c r="D179" i="20" s="1"/>
  <c r="J178" i="20"/>
  <c r="B178" i="20"/>
  <c r="J177" i="20"/>
  <c r="B177" i="20"/>
  <c r="J176" i="20"/>
  <c r="B176" i="20"/>
  <c r="J175" i="20"/>
  <c r="B175" i="20"/>
  <c r="D175" i="20" s="1"/>
  <c r="J174" i="20"/>
  <c r="B174" i="20"/>
  <c r="J173" i="20"/>
  <c r="B173" i="20"/>
  <c r="J172" i="20"/>
  <c r="B172" i="20"/>
  <c r="J171" i="20"/>
  <c r="B171" i="20"/>
  <c r="D171" i="20" s="1"/>
  <c r="J170" i="20"/>
  <c r="B170" i="20"/>
  <c r="J169" i="20"/>
  <c r="B169" i="20"/>
  <c r="J168" i="20"/>
  <c r="B168" i="20"/>
  <c r="J167" i="20"/>
  <c r="B167" i="20"/>
  <c r="D167" i="20" s="1"/>
  <c r="J166" i="20"/>
  <c r="B166" i="20"/>
  <c r="J165" i="20"/>
  <c r="B165" i="20"/>
  <c r="J164" i="20"/>
  <c r="B164" i="20"/>
  <c r="J163" i="20"/>
  <c r="B163" i="20"/>
  <c r="J162" i="20"/>
  <c r="B162" i="20"/>
  <c r="J161" i="20"/>
  <c r="D161" i="20"/>
  <c r="B161" i="20"/>
  <c r="J160" i="20"/>
  <c r="B160" i="20"/>
  <c r="D160" i="20" s="1"/>
  <c r="J159" i="20"/>
  <c r="B159" i="20"/>
  <c r="J158" i="20"/>
  <c r="B158" i="20"/>
  <c r="J157" i="20"/>
  <c r="D157" i="20"/>
  <c r="B157" i="20"/>
  <c r="J156" i="20"/>
  <c r="B156" i="20"/>
  <c r="D156" i="20" s="1"/>
  <c r="J155" i="20"/>
  <c r="B155" i="20"/>
  <c r="J154" i="20"/>
  <c r="B154" i="20"/>
  <c r="J153" i="20"/>
  <c r="B153" i="20"/>
  <c r="J152" i="20"/>
  <c r="B152" i="20"/>
  <c r="J151" i="20"/>
  <c r="B151" i="20"/>
  <c r="J150" i="20"/>
  <c r="B150" i="20"/>
  <c r="J149" i="20"/>
  <c r="D149" i="20"/>
  <c r="B149" i="20"/>
  <c r="J148" i="20"/>
  <c r="B148" i="20"/>
  <c r="D148" i="20" s="1"/>
  <c r="J147" i="20"/>
  <c r="B147" i="20"/>
  <c r="J146" i="20"/>
  <c r="B146" i="20"/>
  <c r="D146" i="20" s="1"/>
  <c r="J145" i="20"/>
  <c r="B145" i="20"/>
  <c r="D145" i="20" s="1"/>
  <c r="J144" i="20"/>
  <c r="B144" i="20"/>
  <c r="J143" i="20"/>
  <c r="B143" i="20"/>
  <c r="D143" i="20" s="1"/>
  <c r="J142" i="20"/>
  <c r="B142" i="20"/>
  <c r="D142" i="20" s="1"/>
  <c r="J141" i="20"/>
  <c r="B141" i="20"/>
  <c r="J140" i="20"/>
  <c r="B140" i="20"/>
  <c r="J139" i="20"/>
  <c r="B139" i="20"/>
  <c r="J138" i="20"/>
  <c r="B138" i="20"/>
  <c r="J137" i="20"/>
  <c r="B137" i="20"/>
  <c r="J136" i="20"/>
  <c r="B136" i="20"/>
  <c r="J135" i="20"/>
  <c r="B135" i="20"/>
  <c r="J134" i="20"/>
  <c r="B134" i="20"/>
  <c r="D134" i="20" s="1"/>
  <c r="J133" i="20"/>
  <c r="B133" i="20"/>
  <c r="D133" i="20" s="1"/>
  <c r="J132" i="20"/>
  <c r="B132" i="20"/>
  <c r="J131" i="20"/>
  <c r="B131" i="20"/>
  <c r="J130" i="20"/>
  <c r="B130" i="20"/>
  <c r="J129" i="20"/>
  <c r="B129" i="20"/>
  <c r="D129" i="20" s="1"/>
  <c r="J128" i="20"/>
  <c r="B128" i="20"/>
  <c r="J127" i="20"/>
  <c r="B127" i="20"/>
  <c r="J126" i="20"/>
  <c r="B126" i="20"/>
  <c r="J125" i="20"/>
  <c r="B125" i="20"/>
  <c r="J124" i="20"/>
  <c r="B124" i="20"/>
  <c r="D124" i="20" s="1"/>
  <c r="J123" i="20"/>
  <c r="B123" i="20"/>
  <c r="J122" i="20"/>
  <c r="B122" i="20"/>
  <c r="J121" i="20"/>
  <c r="B121" i="20"/>
  <c r="J120" i="20"/>
  <c r="B120" i="20"/>
  <c r="D120" i="20" s="1"/>
  <c r="J119" i="20"/>
  <c r="B119" i="20"/>
  <c r="J118" i="20"/>
  <c r="B118" i="20"/>
  <c r="D118" i="20" s="1"/>
  <c r="J117" i="20"/>
  <c r="B117" i="20"/>
  <c r="J116" i="20"/>
  <c r="B116" i="20"/>
  <c r="J115" i="20"/>
  <c r="B115" i="20"/>
  <c r="D115" i="20" s="1"/>
  <c r="J114" i="20"/>
  <c r="B114" i="20"/>
  <c r="J113" i="20"/>
  <c r="B113" i="20"/>
  <c r="J112" i="20"/>
  <c r="B112" i="20"/>
  <c r="D112" i="20" s="1"/>
  <c r="J111" i="20"/>
  <c r="B111" i="20"/>
  <c r="J110" i="20"/>
  <c r="B110" i="20"/>
  <c r="J109" i="20"/>
  <c r="B109" i="20"/>
  <c r="J108" i="20"/>
  <c r="B108" i="20"/>
  <c r="J107" i="20"/>
  <c r="B107" i="20"/>
  <c r="J106" i="20"/>
  <c r="B106" i="20"/>
  <c r="D106" i="20" s="1"/>
  <c r="J105" i="20"/>
  <c r="B105" i="20"/>
  <c r="D105" i="20" s="1"/>
  <c r="J104" i="20"/>
  <c r="B104" i="20"/>
  <c r="D104" i="20" s="1"/>
  <c r="J103" i="20"/>
  <c r="B103" i="20"/>
  <c r="J102" i="20"/>
  <c r="B102" i="20"/>
  <c r="J101" i="20"/>
  <c r="B101" i="20"/>
  <c r="J100" i="20"/>
  <c r="B100" i="20"/>
  <c r="T99" i="20"/>
  <c r="T98" i="20"/>
  <c r="T97" i="20"/>
  <c r="T90" i="20"/>
  <c r="T89" i="20"/>
  <c r="T88" i="20"/>
  <c r="T86" i="20"/>
  <c r="C81" i="20"/>
  <c r="B81" i="20"/>
  <c r="C80" i="20"/>
  <c r="B80" i="20"/>
  <c r="C79" i="20"/>
  <c r="B79" i="20"/>
  <c r="C78" i="20"/>
  <c r="B78" i="20"/>
  <c r="C77" i="20"/>
  <c r="B77" i="20"/>
  <c r="C76" i="20"/>
  <c r="B76" i="20"/>
  <c r="C75" i="20"/>
  <c r="B75" i="20"/>
  <c r="C74" i="20"/>
  <c r="B74" i="20"/>
  <c r="C73" i="20"/>
  <c r="B73" i="20"/>
  <c r="C72" i="20"/>
  <c r="B72" i="20"/>
  <c r="D72" i="20" s="1"/>
  <c r="C71" i="20"/>
  <c r="B71" i="20"/>
  <c r="D71" i="20" s="1"/>
  <c r="C70" i="20"/>
  <c r="B70" i="20"/>
  <c r="D69" i="20"/>
  <c r="C69" i="20"/>
  <c r="B69" i="20"/>
  <c r="C68" i="20"/>
  <c r="B68" i="20"/>
  <c r="C67" i="20"/>
  <c r="B67" i="20"/>
  <c r="D66" i="20"/>
  <c r="C66" i="20"/>
  <c r="B66" i="20"/>
  <c r="C65" i="20"/>
  <c r="B65" i="20"/>
  <c r="C64" i="20"/>
  <c r="B64" i="20"/>
  <c r="C63" i="20"/>
  <c r="B63" i="20"/>
  <c r="D63" i="20" s="1"/>
  <c r="C62" i="20"/>
  <c r="B62" i="20"/>
  <c r="C61" i="20"/>
  <c r="B61" i="20"/>
  <c r="C60" i="20"/>
  <c r="B60" i="20"/>
  <c r="C59" i="20"/>
  <c r="B59" i="20"/>
  <c r="C58" i="20"/>
  <c r="B58" i="20"/>
  <c r="D57" i="20"/>
  <c r="C57" i="20"/>
  <c r="B57" i="20"/>
  <c r="C56" i="20"/>
  <c r="B56" i="20"/>
  <c r="C55" i="20"/>
  <c r="B55" i="20"/>
  <c r="C54" i="20"/>
  <c r="B54" i="20"/>
  <c r="C53" i="20"/>
  <c r="B53" i="20"/>
  <c r="C52" i="20"/>
  <c r="B52" i="20"/>
  <c r="C51" i="20"/>
  <c r="B51" i="20"/>
  <c r="D51" i="20" s="1"/>
  <c r="C50" i="20"/>
  <c r="B50" i="20"/>
  <c r="C49" i="20"/>
  <c r="B49" i="20"/>
  <c r="C48" i="20"/>
  <c r="B48" i="20"/>
  <c r="D47" i="20"/>
  <c r="C47" i="20"/>
  <c r="B47" i="20"/>
  <c r="C46" i="20"/>
  <c r="B46" i="20"/>
  <c r="C45" i="20"/>
  <c r="B45" i="20"/>
  <c r="C44" i="20"/>
  <c r="B44" i="20"/>
  <c r="C43" i="20"/>
  <c r="B43" i="20"/>
  <c r="C42" i="20"/>
  <c r="B42" i="20"/>
  <c r="D42" i="20" s="1"/>
  <c r="C41" i="20"/>
  <c r="B41" i="20"/>
  <c r="C40" i="20"/>
  <c r="B40" i="20"/>
  <c r="C39" i="20"/>
  <c r="B39" i="20"/>
  <c r="C38" i="20"/>
  <c r="B38" i="20"/>
  <c r="C37" i="20"/>
  <c r="B37" i="20"/>
  <c r="C36" i="20"/>
  <c r="B36" i="20"/>
  <c r="C35" i="20"/>
  <c r="B35" i="20"/>
  <c r="D34" i="20"/>
  <c r="C34" i="20"/>
  <c r="B34" i="20"/>
  <c r="C33" i="20"/>
  <c r="B33" i="20"/>
  <c r="C32" i="20"/>
  <c r="B32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D25" i="20"/>
  <c r="C25" i="20"/>
  <c r="B25" i="20"/>
  <c r="C24" i="20"/>
  <c r="B24" i="20"/>
  <c r="C23" i="20"/>
  <c r="B23" i="20"/>
  <c r="C22" i="20"/>
  <c r="B22" i="20"/>
  <c r="C21" i="20"/>
  <c r="B21" i="20"/>
  <c r="C20" i="20"/>
  <c r="B20" i="20"/>
  <c r="C19" i="20"/>
  <c r="B19" i="20"/>
  <c r="D19" i="20" s="1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11" i="20"/>
  <c r="B11" i="20"/>
  <c r="D11" i="20" s="1"/>
  <c r="D10" i="20"/>
  <c r="C10" i="20"/>
  <c r="B10" i="20"/>
  <c r="D9" i="20"/>
  <c r="C9" i="20"/>
  <c r="B9" i="20"/>
  <c r="C8" i="20"/>
  <c r="B8" i="20"/>
  <c r="C7" i="20"/>
  <c r="B7" i="20"/>
  <c r="C6" i="20"/>
  <c r="B6" i="20"/>
  <c r="C5" i="20"/>
  <c r="B5" i="20"/>
  <c r="C4" i="20"/>
  <c r="B4" i="20"/>
  <c r="C3" i="20"/>
  <c r="B3" i="20"/>
  <c r="C2" i="20"/>
  <c r="B2" i="20"/>
  <c r="BK21" i="19"/>
  <c r="BI21" i="19"/>
  <c r="BH21" i="19"/>
  <c r="BG21" i="19"/>
  <c r="BE21" i="19"/>
  <c r="BK20" i="19"/>
  <c r="BJ20" i="19"/>
  <c r="BI20" i="19"/>
  <c r="BH20" i="19"/>
  <c r="BG20" i="19"/>
  <c r="BE20" i="19"/>
  <c r="BK19" i="19"/>
  <c r="BI19" i="19"/>
  <c r="BH19" i="19"/>
  <c r="BG19" i="19"/>
  <c r="BE19" i="19"/>
  <c r="BK18" i="19"/>
  <c r="BJ18" i="19"/>
  <c r="BI18" i="19"/>
  <c r="BH18" i="19"/>
  <c r="BG18" i="19"/>
  <c r="BE18" i="19"/>
  <c r="BK17" i="19"/>
  <c r="BI17" i="19"/>
  <c r="BH17" i="19"/>
  <c r="BG17" i="19"/>
  <c r="BE17" i="19"/>
  <c r="BK16" i="19"/>
  <c r="BJ16" i="19"/>
  <c r="BI16" i="19"/>
  <c r="BH16" i="19"/>
  <c r="BG16" i="19"/>
  <c r="BE16" i="19"/>
  <c r="BK15" i="19"/>
  <c r="BI15" i="19"/>
  <c r="BH15" i="19"/>
  <c r="BG15" i="19"/>
  <c r="BE15" i="19"/>
  <c r="BK14" i="19"/>
  <c r="BI14" i="19"/>
  <c r="BH14" i="19"/>
  <c r="BG14" i="19"/>
  <c r="BE14" i="19"/>
  <c r="BD21" i="19"/>
  <c r="BC21" i="19"/>
  <c r="BB21" i="19"/>
  <c r="BA21" i="19"/>
  <c r="AZ21" i="19"/>
  <c r="AX21" i="19"/>
  <c r="BD20" i="19"/>
  <c r="BC20" i="19"/>
  <c r="BB20" i="19"/>
  <c r="BA20" i="19"/>
  <c r="AZ20" i="19"/>
  <c r="AX20" i="19"/>
  <c r="BD19" i="19"/>
  <c r="BC19" i="19"/>
  <c r="BB19" i="19"/>
  <c r="BA19" i="19"/>
  <c r="AZ19" i="19"/>
  <c r="AX19" i="19"/>
  <c r="BD18" i="19"/>
  <c r="BC18" i="19"/>
  <c r="BB18" i="19"/>
  <c r="BA18" i="19"/>
  <c r="AZ18" i="19"/>
  <c r="AX18" i="19"/>
  <c r="BD17" i="19"/>
  <c r="BC17" i="19"/>
  <c r="BB17" i="19"/>
  <c r="BA17" i="19"/>
  <c r="AZ17" i="19"/>
  <c r="AX17" i="19"/>
  <c r="BD16" i="19"/>
  <c r="BC16" i="19"/>
  <c r="BB16" i="19"/>
  <c r="BA16" i="19"/>
  <c r="AZ16" i="19"/>
  <c r="AX16" i="19"/>
  <c r="BD15" i="19"/>
  <c r="BC15" i="19"/>
  <c r="BB15" i="19"/>
  <c r="BA15" i="19"/>
  <c r="AZ15" i="19"/>
  <c r="AX15" i="19"/>
  <c r="BD14" i="19"/>
  <c r="BC14" i="19"/>
  <c r="BB14" i="19"/>
  <c r="BA14" i="19"/>
  <c r="AZ14" i="19"/>
  <c r="AX14" i="19"/>
  <c r="AW21" i="19"/>
  <c r="AV21" i="19"/>
  <c r="AU21" i="19"/>
  <c r="AT21" i="19"/>
  <c r="AS21" i="19"/>
  <c r="AQ21" i="19"/>
  <c r="AW20" i="19"/>
  <c r="AV20" i="19"/>
  <c r="AU20" i="19"/>
  <c r="AT20" i="19"/>
  <c r="AS20" i="19"/>
  <c r="AQ20" i="19"/>
  <c r="AW19" i="19"/>
  <c r="AV19" i="19"/>
  <c r="AU19" i="19"/>
  <c r="AT19" i="19"/>
  <c r="AS19" i="19"/>
  <c r="AQ19" i="19"/>
  <c r="AW18" i="19"/>
  <c r="AV18" i="19"/>
  <c r="AU18" i="19"/>
  <c r="AT18" i="19"/>
  <c r="AS18" i="19"/>
  <c r="AQ18" i="19"/>
  <c r="AW17" i="19"/>
  <c r="AV17" i="19"/>
  <c r="AU17" i="19"/>
  <c r="AT17" i="19"/>
  <c r="AS17" i="19"/>
  <c r="AQ17" i="19"/>
  <c r="AW16" i="19"/>
  <c r="AV16" i="19"/>
  <c r="AU16" i="19"/>
  <c r="AT16" i="19"/>
  <c r="AS16" i="19"/>
  <c r="AQ16" i="19"/>
  <c r="AW15" i="19"/>
  <c r="AV15" i="19"/>
  <c r="AU15" i="19"/>
  <c r="AT15" i="19"/>
  <c r="AS15" i="19"/>
  <c r="AQ15" i="19"/>
  <c r="AW14" i="19"/>
  <c r="AV14" i="19"/>
  <c r="AU14" i="19"/>
  <c r="AT14" i="19"/>
  <c r="AS14" i="19"/>
  <c r="AQ14" i="19"/>
  <c r="AP21" i="19"/>
  <c r="AO21" i="19"/>
  <c r="AN21" i="19"/>
  <c r="AM21" i="19"/>
  <c r="AL21" i="19"/>
  <c r="AJ21" i="19"/>
  <c r="AP20" i="19"/>
  <c r="AO20" i="19"/>
  <c r="AN20" i="19"/>
  <c r="AM20" i="19"/>
  <c r="AL20" i="19"/>
  <c r="AJ20" i="19"/>
  <c r="AP19" i="19"/>
  <c r="AO19" i="19"/>
  <c r="AN19" i="19"/>
  <c r="AM19" i="19"/>
  <c r="AL19" i="19"/>
  <c r="AJ19" i="19"/>
  <c r="AP18" i="19"/>
  <c r="AO18" i="19"/>
  <c r="AN18" i="19"/>
  <c r="AM18" i="19"/>
  <c r="AL18" i="19"/>
  <c r="AJ18" i="19"/>
  <c r="AP17" i="19"/>
  <c r="AO17" i="19"/>
  <c r="AN17" i="19"/>
  <c r="AM17" i="19"/>
  <c r="AL17" i="19"/>
  <c r="AJ17" i="19"/>
  <c r="AP16" i="19"/>
  <c r="AO16" i="19"/>
  <c r="AN16" i="19"/>
  <c r="AM16" i="19"/>
  <c r="AL16" i="19"/>
  <c r="AJ16" i="19"/>
  <c r="AP15" i="19"/>
  <c r="AO15" i="19"/>
  <c r="AN15" i="19"/>
  <c r="AM15" i="19"/>
  <c r="AL15" i="19"/>
  <c r="AJ15" i="19"/>
  <c r="AP14" i="19"/>
  <c r="AO14" i="19"/>
  <c r="AN14" i="19"/>
  <c r="AM14" i="19"/>
  <c r="AL14" i="19"/>
  <c r="AJ14" i="19"/>
  <c r="AI21" i="19"/>
  <c r="AH21" i="19"/>
  <c r="AG21" i="19"/>
  <c r="AF21" i="19"/>
  <c r="AE21" i="19"/>
  <c r="AC21" i="19"/>
  <c r="AI20" i="19"/>
  <c r="AH20" i="19"/>
  <c r="AG20" i="19"/>
  <c r="AF20" i="19"/>
  <c r="AE20" i="19"/>
  <c r="AC20" i="19"/>
  <c r="AI19" i="19"/>
  <c r="AH19" i="19"/>
  <c r="AG19" i="19"/>
  <c r="AF19" i="19"/>
  <c r="AE19" i="19"/>
  <c r="AC19" i="19"/>
  <c r="AI18" i="19"/>
  <c r="AH18" i="19"/>
  <c r="AG18" i="19"/>
  <c r="AF18" i="19"/>
  <c r="AE18" i="19"/>
  <c r="AC18" i="19"/>
  <c r="AI17" i="19"/>
  <c r="AH17" i="19"/>
  <c r="AG17" i="19"/>
  <c r="AF17" i="19"/>
  <c r="AE17" i="19"/>
  <c r="AC17" i="19"/>
  <c r="AI16" i="19"/>
  <c r="AH16" i="19"/>
  <c r="AG16" i="19"/>
  <c r="AF16" i="19"/>
  <c r="AE16" i="19"/>
  <c r="AC16" i="19"/>
  <c r="AI15" i="19"/>
  <c r="AH15" i="19"/>
  <c r="AG15" i="19"/>
  <c r="AF15" i="19"/>
  <c r="AE15" i="19"/>
  <c r="AC15" i="19"/>
  <c r="AI14" i="19"/>
  <c r="AH14" i="19"/>
  <c r="AG14" i="19"/>
  <c r="AF14" i="19"/>
  <c r="AE14" i="19"/>
  <c r="AC14" i="19"/>
  <c r="Z21" i="19"/>
  <c r="Y21" i="19"/>
  <c r="W21" i="19"/>
  <c r="U21" i="19"/>
  <c r="M21" i="19"/>
  <c r="L21" i="19"/>
  <c r="H21" i="19"/>
  <c r="AB21" i="19" s="1"/>
  <c r="Z20" i="19"/>
  <c r="Y20" i="19"/>
  <c r="U20" i="19"/>
  <c r="W20" i="19" s="1"/>
  <c r="M20" i="19"/>
  <c r="L20" i="19"/>
  <c r="H20" i="19"/>
  <c r="AB20" i="19" s="1"/>
  <c r="Z19" i="19"/>
  <c r="Y19" i="19"/>
  <c r="U19" i="19"/>
  <c r="W19" i="19" s="1"/>
  <c r="M19" i="19"/>
  <c r="L19" i="19"/>
  <c r="H19" i="19"/>
  <c r="AB19" i="19" s="1"/>
  <c r="Z18" i="19"/>
  <c r="Y18" i="19"/>
  <c r="W18" i="19"/>
  <c r="U18" i="19"/>
  <c r="M18" i="19"/>
  <c r="L18" i="19"/>
  <c r="H18" i="19"/>
  <c r="AB18" i="19" s="1"/>
  <c r="Y17" i="19"/>
  <c r="O17" i="19"/>
  <c r="M17" i="19"/>
  <c r="L17" i="19"/>
  <c r="H17" i="19"/>
  <c r="AA17" i="19" s="1"/>
  <c r="Y16" i="19"/>
  <c r="O16" i="19"/>
  <c r="M16" i="19"/>
  <c r="L16" i="19"/>
  <c r="H16" i="19"/>
  <c r="AB16" i="19" s="1"/>
  <c r="Y15" i="19"/>
  <c r="P15" i="19"/>
  <c r="O15" i="19"/>
  <c r="M15" i="19"/>
  <c r="L15" i="19"/>
  <c r="H15" i="19"/>
  <c r="AB15" i="19" s="1"/>
  <c r="AB14" i="19"/>
  <c r="Y14" i="19"/>
  <c r="O14" i="19"/>
  <c r="M14" i="19"/>
  <c r="L14" i="19"/>
  <c r="H14" i="19"/>
  <c r="AA14" i="19" s="1"/>
  <c r="D11" i="19"/>
  <c r="D10" i="19"/>
  <c r="D9" i="19"/>
  <c r="D8" i="19"/>
  <c r="D5" i="19"/>
  <c r="D4" i="19"/>
  <c r="D3" i="19"/>
  <c r="D2" i="19"/>
  <c r="D26" i="18"/>
  <c r="C26" i="18"/>
  <c r="G23" i="18"/>
  <c r="F23" i="18"/>
  <c r="E23" i="18"/>
  <c r="D23" i="18"/>
  <c r="C23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H17" i="18"/>
  <c r="G17" i="18"/>
  <c r="F17" i="18"/>
  <c r="E17" i="18"/>
  <c r="D17" i="18"/>
  <c r="C17" i="18"/>
  <c r="H14" i="18"/>
  <c r="G14" i="18"/>
  <c r="F14" i="18"/>
  <c r="E14" i="18"/>
  <c r="D14" i="18"/>
  <c r="C14" i="18"/>
  <c r="L11" i="18"/>
  <c r="I11" i="18"/>
  <c r="BJ21" i="19" s="1"/>
  <c r="E11" i="18"/>
  <c r="C11" i="18"/>
  <c r="BJ19" i="19" s="1"/>
  <c r="M9" i="18"/>
  <c r="G9" i="18"/>
  <c r="BJ14" i="19" s="1"/>
  <c r="E9" i="18"/>
  <c r="BJ17" i="19" s="1"/>
  <c r="C9" i="18"/>
  <c r="BJ15" i="19" s="1"/>
  <c r="R7" i="18"/>
  <c r="Q7" i="18"/>
  <c r="P7" i="18"/>
  <c r="O7" i="18"/>
  <c r="N7" i="18"/>
  <c r="M7" i="18"/>
  <c r="L7" i="18"/>
  <c r="K7" i="18"/>
  <c r="J7" i="18"/>
  <c r="I7" i="18"/>
  <c r="H7" i="18"/>
  <c r="K4" i="18"/>
  <c r="J4" i="18"/>
  <c r="I4" i="18"/>
  <c r="H4" i="18"/>
  <c r="G4" i="18"/>
  <c r="F4" i="18"/>
  <c r="E4" i="18"/>
  <c r="D4" i="18"/>
  <c r="C4" i="18"/>
  <c r="D26" i="17"/>
  <c r="C26" i="17"/>
  <c r="G23" i="17"/>
  <c r="F23" i="17"/>
  <c r="E23" i="17"/>
  <c r="D23" i="17"/>
  <c r="C23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H17" i="17"/>
  <c r="G17" i="17"/>
  <c r="F17" i="17"/>
  <c r="E17" i="17"/>
  <c r="D17" i="17"/>
  <c r="C17" i="17"/>
  <c r="H14" i="17"/>
  <c r="G14" i="17"/>
  <c r="F14" i="17"/>
  <c r="E14" i="17"/>
  <c r="D14" i="17"/>
  <c r="C14" i="17"/>
  <c r="L11" i="17"/>
  <c r="I11" i="17"/>
  <c r="E11" i="17"/>
  <c r="C11" i="17"/>
  <c r="M9" i="17"/>
  <c r="G9" i="17"/>
  <c r="E9" i="17"/>
  <c r="C9" i="17"/>
  <c r="R7" i="17"/>
  <c r="Q7" i="17"/>
  <c r="P7" i="17"/>
  <c r="O7" i="17"/>
  <c r="N7" i="17"/>
  <c r="M7" i="17"/>
  <c r="L7" i="17"/>
  <c r="K7" i="17"/>
  <c r="J7" i="17"/>
  <c r="I7" i="17"/>
  <c r="H7" i="17"/>
  <c r="K4" i="17"/>
  <c r="J4" i="17"/>
  <c r="I4" i="17"/>
  <c r="H4" i="17"/>
  <c r="G4" i="17"/>
  <c r="F4" i="17"/>
  <c r="E4" i="17"/>
  <c r="D4" i="17"/>
  <c r="C4" i="17"/>
  <c r="D26" i="16"/>
  <c r="C26" i="16"/>
  <c r="G23" i="16"/>
  <c r="F23" i="16"/>
  <c r="E23" i="16"/>
  <c r="D23" i="16"/>
  <c r="C23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H17" i="16"/>
  <c r="G17" i="16"/>
  <c r="F17" i="16"/>
  <c r="E17" i="16"/>
  <c r="D17" i="16"/>
  <c r="C17" i="16"/>
  <c r="H14" i="16"/>
  <c r="G14" i="16"/>
  <c r="F14" i="16"/>
  <c r="E14" i="16"/>
  <c r="D14" i="16"/>
  <c r="C14" i="16"/>
  <c r="L11" i="16"/>
  <c r="I11" i="16"/>
  <c r="E11" i="16"/>
  <c r="C11" i="16"/>
  <c r="M9" i="16"/>
  <c r="G9" i="16"/>
  <c r="E9" i="16"/>
  <c r="C9" i="16"/>
  <c r="R7" i="16"/>
  <c r="Q7" i="16"/>
  <c r="P7" i="16"/>
  <c r="O7" i="16"/>
  <c r="N7" i="16"/>
  <c r="M7" i="16"/>
  <c r="L7" i="16"/>
  <c r="K7" i="16"/>
  <c r="J7" i="16"/>
  <c r="I7" i="16"/>
  <c r="H7" i="16"/>
  <c r="K4" i="16"/>
  <c r="J4" i="16"/>
  <c r="I4" i="16"/>
  <c r="H4" i="16"/>
  <c r="G4" i="16"/>
  <c r="F4" i="16"/>
  <c r="E4" i="16"/>
  <c r="D4" i="16"/>
  <c r="C4" i="16"/>
  <c r="D26" i="15"/>
  <c r="C26" i="15"/>
  <c r="G23" i="15"/>
  <c r="F23" i="15"/>
  <c r="E23" i="15"/>
  <c r="D23" i="15"/>
  <c r="C23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H17" i="15"/>
  <c r="G17" i="15"/>
  <c r="F17" i="15"/>
  <c r="E17" i="15"/>
  <c r="D17" i="15"/>
  <c r="C17" i="15"/>
  <c r="H14" i="15"/>
  <c r="G14" i="15"/>
  <c r="F14" i="15"/>
  <c r="E14" i="15"/>
  <c r="D14" i="15"/>
  <c r="C14" i="15"/>
  <c r="L11" i="15"/>
  <c r="I11" i="15"/>
  <c r="E11" i="15"/>
  <c r="C11" i="15"/>
  <c r="M9" i="15"/>
  <c r="G9" i="15"/>
  <c r="E9" i="15"/>
  <c r="C9" i="15"/>
  <c r="R7" i="15"/>
  <c r="Q7" i="15"/>
  <c r="P7" i="15"/>
  <c r="O7" i="15"/>
  <c r="N7" i="15"/>
  <c r="M7" i="15"/>
  <c r="L7" i="15"/>
  <c r="K7" i="15"/>
  <c r="J7" i="15"/>
  <c r="I7" i="15"/>
  <c r="H7" i="15"/>
  <c r="K4" i="15"/>
  <c r="J4" i="15"/>
  <c r="I4" i="15"/>
  <c r="H4" i="15"/>
  <c r="G4" i="15"/>
  <c r="F4" i="15"/>
  <c r="E4" i="15"/>
  <c r="D4" i="15"/>
  <c r="C4" i="15"/>
  <c r="D26" i="14"/>
  <c r="C26" i="14"/>
  <c r="G23" i="14"/>
  <c r="F23" i="14"/>
  <c r="E23" i="14"/>
  <c r="D23" i="14"/>
  <c r="C23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H17" i="14"/>
  <c r="G17" i="14"/>
  <c r="F17" i="14"/>
  <c r="E17" i="14"/>
  <c r="D17" i="14"/>
  <c r="C17" i="14"/>
  <c r="H14" i="14"/>
  <c r="G14" i="14"/>
  <c r="F14" i="14"/>
  <c r="E14" i="14"/>
  <c r="D14" i="14"/>
  <c r="C14" i="14"/>
  <c r="L11" i="14"/>
  <c r="I11" i="14"/>
  <c r="E11" i="14"/>
  <c r="C11" i="14"/>
  <c r="M9" i="14"/>
  <c r="G9" i="14"/>
  <c r="E9" i="14"/>
  <c r="C9" i="14"/>
  <c r="R7" i="14"/>
  <c r="Q7" i="14"/>
  <c r="P7" i="14"/>
  <c r="O7" i="14"/>
  <c r="N7" i="14"/>
  <c r="M7" i="14"/>
  <c r="L7" i="14"/>
  <c r="K7" i="14"/>
  <c r="J7" i="14"/>
  <c r="I7" i="14"/>
  <c r="H7" i="14"/>
  <c r="K4" i="14"/>
  <c r="J4" i="14"/>
  <c r="I4" i="14"/>
  <c r="H4" i="14"/>
  <c r="G4" i="14"/>
  <c r="F4" i="14"/>
  <c r="E4" i="14"/>
  <c r="D4" i="14"/>
  <c r="C4" i="14"/>
  <c r="V99" i="1"/>
  <c r="U99" i="1"/>
  <c r="V90" i="1"/>
  <c r="V89" i="1"/>
  <c r="V88" i="1"/>
  <c r="BI21" i="11"/>
  <c r="BH21" i="11"/>
  <c r="BG21" i="11"/>
  <c r="BE21" i="11"/>
  <c r="BH20" i="11"/>
  <c r="BG20" i="11"/>
  <c r="BE20" i="11"/>
  <c r="BH19" i="11"/>
  <c r="BG19" i="11"/>
  <c r="BE19" i="11"/>
  <c r="BH18" i="11"/>
  <c r="BG18" i="11"/>
  <c r="BE18" i="11"/>
  <c r="BI17" i="11"/>
  <c r="BH17" i="11"/>
  <c r="BG17" i="11"/>
  <c r="BE17" i="11"/>
  <c r="BJ16" i="11"/>
  <c r="BH16" i="11"/>
  <c r="BG16" i="11"/>
  <c r="BE16" i="11"/>
  <c r="BJ15" i="11"/>
  <c r="BH15" i="11"/>
  <c r="BG15" i="11"/>
  <c r="BE15" i="11"/>
  <c r="BH14" i="11"/>
  <c r="BG14" i="11"/>
  <c r="BE14" i="11"/>
  <c r="BC21" i="11"/>
  <c r="BB21" i="11"/>
  <c r="BA21" i="11"/>
  <c r="BC20" i="11"/>
  <c r="BB20" i="11"/>
  <c r="BD19" i="11"/>
  <c r="BC19" i="11"/>
  <c r="BB19" i="11"/>
  <c r="BC18" i="11"/>
  <c r="BB18" i="11"/>
  <c r="AX18" i="11"/>
  <c r="BD17" i="11"/>
  <c r="BC17" i="11"/>
  <c r="BB17" i="11"/>
  <c r="BA17" i="11"/>
  <c r="BC16" i="11"/>
  <c r="BB16" i="11"/>
  <c r="AZ16" i="11"/>
  <c r="AX16" i="11"/>
  <c r="BD15" i="11"/>
  <c r="BC15" i="11"/>
  <c r="BB15" i="11"/>
  <c r="BC14" i="11"/>
  <c r="BB14" i="11"/>
  <c r="BA14" i="11"/>
  <c r="Z21" i="11"/>
  <c r="Y21" i="11"/>
  <c r="W21" i="11"/>
  <c r="U21" i="11"/>
  <c r="M21" i="11"/>
  <c r="L21" i="11"/>
  <c r="H21" i="11" s="1"/>
  <c r="Z20" i="11"/>
  <c r="Y20" i="11"/>
  <c r="U20" i="11"/>
  <c r="W20" i="11" s="1"/>
  <c r="M20" i="11"/>
  <c r="L20" i="11"/>
  <c r="H20" i="11"/>
  <c r="AB20" i="11" s="1"/>
  <c r="Z19" i="11"/>
  <c r="Y19" i="11"/>
  <c r="U19" i="11"/>
  <c r="W19" i="11" s="1"/>
  <c r="M19" i="11"/>
  <c r="L19" i="11"/>
  <c r="H19" i="11"/>
  <c r="AA19" i="11" s="1"/>
  <c r="Z18" i="11"/>
  <c r="Y18" i="11"/>
  <c r="W18" i="11"/>
  <c r="U18" i="11"/>
  <c r="M18" i="11"/>
  <c r="L18" i="11"/>
  <c r="H18" i="11"/>
  <c r="AB18" i="11" s="1"/>
  <c r="Y17" i="11"/>
  <c r="O17" i="11"/>
  <c r="M17" i="11"/>
  <c r="L17" i="11"/>
  <c r="H17" i="11"/>
  <c r="AA17" i="11" s="1"/>
  <c r="AB16" i="11"/>
  <c r="AH16" i="11" s="1"/>
  <c r="AA16" i="11"/>
  <c r="Y16" i="11"/>
  <c r="O16" i="11"/>
  <c r="M16" i="11"/>
  <c r="L16" i="11"/>
  <c r="H16" i="11"/>
  <c r="Y15" i="11"/>
  <c r="O15" i="11"/>
  <c r="M15" i="11"/>
  <c r="L15" i="11"/>
  <c r="H15" i="11" s="1"/>
  <c r="Y14" i="11"/>
  <c r="O14" i="11"/>
  <c r="M14" i="11"/>
  <c r="L14" i="11"/>
  <c r="H14" i="11"/>
  <c r="AB14" i="11" s="1"/>
  <c r="D11" i="11"/>
  <c r="D10" i="11"/>
  <c r="D9" i="11"/>
  <c r="D8" i="11"/>
  <c r="D5" i="11"/>
  <c r="D4" i="11"/>
  <c r="D3" i="11"/>
  <c r="D2" i="11"/>
  <c r="AA14" i="2"/>
  <c r="C16" i="4"/>
  <c r="D26" i="10"/>
  <c r="C26" i="10"/>
  <c r="G23" i="10"/>
  <c r="F23" i="10"/>
  <c r="BK16" i="11" s="1"/>
  <c r="E23" i="10"/>
  <c r="BK15" i="11" s="1"/>
  <c r="D23" i="10"/>
  <c r="BK20" i="11" s="1"/>
  <c r="C23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H17" i="10"/>
  <c r="G17" i="10"/>
  <c r="F17" i="10"/>
  <c r="V98" i="1" s="1"/>
  <c r="E17" i="10"/>
  <c r="D17" i="10"/>
  <c r="C17" i="10"/>
  <c r="H14" i="10"/>
  <c r="G14" i="10"/>
  <c r="F14" i="10"/>
  <c r="E14" i="10"/>
  <c r="D14" i="10"/>
  <c r="C14" i="10"/>
  <c r="L11" i="10"/>
  <c r="BJ20" i="11" s="1"/>
  <c r="I11" i="10"/>
  <c r="BJ21" i="11" s="1"/>
  <c r="E11" i="10"/>
  <c r="BJ18" i="11" s="1"/>
  <c r="C11" i="10"/>
  <c r="BJ19" i="11" s="1"/>
  <c r="M9" i="10"/>
  <c r="G9" i="10"/>
  <c r="BJ14" i="11" s="1"/>
  <c r="E9" i="10"/>
  <c r="BJ17" i="11" s="1"/>
  <c r="C9" i="10"/>
  <c r="R7" i="10"/>
  <c r="BI20" i="11" s="1"/>
  <c r="Q7" i="10"/>
  <c r="P7" i="10"/>
  <c r="BI16" i="11" s="1"/>
  <c r="O7" i="10"/>
  <c r="BI18" i="11" s="1"/>
  <c r="N7" i="10"/>
  <c r="M7" i="10"/>
  <c r="BI14" i="11" s="1"/>
  <c r="L7" i="10"/>
  <c r="K7" i="10"/>
  <c r="J7" i="10"/>
  <c r="I7" i="10"/>
  <c r="H7" i="10"/>
  <c r="BI19" i="11" s="1"/>
  <c r="K4" i="10"/>
  <c r="J4" i="10"/>
  <c r="I4" i="10"/>
  <c r="H4" i="10"/>
  <c r="G4" i="10"/>
  <c r="F4" i="10"/>
  <c r="E4" i="10"/>
  <c r="D4" i="10"/>
  <c r="C4" i="10"/>
  <c r="D26" i="9"/>
  <c r="C26" i="9"/>
  <c r="G23" i="9"/>
  <c r="BD21" i="11" s="1"/>
  <c r="F23" i="9"/>
  <c r="BD16" i="11" s="1"/>
  <c r="E23" i="9"/>
  <c r="D23" i="9"/>
  <c r="BD14" i="11" s="1"/>
  <c r="C23" i="9"/>
  <c r="N20" i="9"/>
  <c r="M20" i="9"/>
  <c r="L20" i="9"/>
  <c r="K20" i="9"/>
  <c r="J20" i="9"/>
  <c r="I20" i="9"/>
  <c r="H20" i="9"/>
  <c r="G20" i="9"/>
  <c r="F20" i="9"/>
  <c r="E20" i="9"/>
  <c r="D20" i="9"/>
  <c r="C20" i="9"/>
  <c r="H17" i="9"/>
  <c r="G17" i="9"/>
  <c r="F17" i="9"/>
  <c r="U98" i="1" s="1"/>
  <c r="E17" i="9"/>
  <c r="D17" i="9"/>
  <c r="U97" i="1" s="1"/>
  <c r="C17" i="9"/>
  <c r="H14" i="9"/>
  <c r="U90" i="1" s="1"/>
  <c r="G14" i="9"/>
  <c r="F14" i="9"/>
  <c r="U89" i="1" s="1"/>
  <c r="E14" i="9"/>
  <c r="D14" i="9"/>
  <c r="C14" i="9"/>
  <c r="L11" i="9"/>
  <c r="I11" i="9"/>
  <c r="E11" i="9"/>
  <c r="C11" i="9"/>
  <c r="M9" i="9"/>
  <c r="G9" i="9"/>
  <c r="E9" i="9"/>
  <c r="C9" i="9"/>
  <c r="R7" i="9"/>
  <c r="Q7" i="9"/>
  <c r="P7" i="9"/>
  <c r="O7" i="9"/>
  <c r="N7" i="9"/>
  <c r="M7" i="9"/>
  <c r="L7" i="9"/>
  <c r="K7" i="9"/>
  <c r="J7" i="9"/>
  <c r="I7" i="9"/>
  <c r="H7" i="9"/>
  <c r="K4" i="9"/>
  <c r="AX21" i="11" s="1"/>
  <c r="J4" i="9"/>
  <c r="BA20" i="11" s="1"/>
  <c r="I4" i="9"/>
  <c r="BA16" i="11" s="1"/>
  <c r="H4" i="9"/>
  <c r="G4" i="9"/>
  <c r="F4" i="9"/>
  <c r="AX17" i="11" s="1"/>
  <c r="E4" i="9"/>
  <c r="AX14" i="11" s="1"/>
  <c r="D4" i="9"/>
  <c r="AZ21" i="11" s="1"/>
  <c r="C4" i="9"/>
  <c r="AZ18" i="11" s="1"/>
  <c r="R82" i="20" l="1"/>
  <c r="L82" i="20"/>
  <c r="S82" i="20"/>
  <c r="Q82" i="20"/>
  <c r="L91" i="20"/>
  <c r="R91" i="20"/>
  <c r="S91" i="20"/>
  <c r="Q91" i="20"/>
  <c r="D8" i="20"/>
  <c r="D33" i="20"/>
  <c r="D73" i="20"/>
  <c r="D28" i="20"/>
  <c r="D117" i="20"/>
  <c r="D130" i="20"/>
  <c r="D151" i="20"/>
  <c r="T94" i="20"/>
  <c r="D108" i="20"/>
  <c r="D147" i="20"/>
  <c r="D158" i="20"/>
  <c r="D186" i="20"/>
  <c r="T96" i="20"/>
  <c r="D31" i="20"/>
  <c r="D122" i="20"/>
  <c r="D127" i="20"/>
  <c r="D154" i="20"/>
  <c r="D164" i="20"/>
  <c r="D185" i="20"/>
  <c r="D190" i="20"/>
  <c r="D17" i="20"/>
  <c r="D64" i="20"/>
  <c r="T92" i="20"/>
  <c r="D107" i="20"/>
  <c r="D174" i="20"/>
  <c r="D194" i="20"/>
  <c r="P130" i="20"/>
  <c r="T85" i="20"/>
  <c r="D109" i="20"/>
  <c r="D178" i="20"/>
  <c r="D49" i="20"/>
  <c r="D128" i="20"/>
  <c r="D153" i="20"/>
  <c r="D155" i="20"/>
  <c r="P185" i="20"/>
  <c r="D13" i="20"/>
  <c r="D41" i="20"/>
  <c r="D52" i="20"/>
  <c r="D56" i="20"/>
  <c r="D61" i="20"/>
  <c r="P142" i="20"/>
  <c r="D116" i="20"/>
  <c r="D135" i="20"/>
  <c r="D181" i="20"/>
  <c r="D182" i="20"/>
  <c r="D38" i="20"/>
  <c r="D67" i="20"/>
  <c r="D77" i="20"/>
  <c r="T84" i="20"/>
  <c r="T91" i="20"/>
  <c r="T95" i="20"/>
  <c r="P100" i="20"/>
  <c r="D126" i="20"/>
  <c r="D131" i="20"/>
  <c r="D136" i="20"/>
  <c r="D144" i="20"/>
  <c r="D163" i="20"/>
  <c r="D170" i="20"/>
  <c r="D166" i="20"/>
  <c r="D2" i="20"/>
  <c r="D6" i="20"/>
  <c r="D18" i="20"/>
  <c r="D22" i="20"/>
  <c r="D62" i="20"/>
  <c r="D65" i="20"/>
  <c r="D76" i="20"/>
  <c r="P118" i="20"/>
  <c r="P105" i="20"/>
  <c r="D138" i="20"/>
  <c r="D162" i="20"/>
  <c r="P181" i="20"/>
  <c r="P186" i="20"/>
  <c r="P189" i="20"/>
  <c r="D32" i="20"/>
  <c r="D50" i="20"/>
  <c r="D53" i="20"/>
  <c r="T93" i="20"/>
  <c r="D101" i="20"/>
  <c r="D114" i="20"/>
  <c r="D119" i="20"/>
  <c r="P169" i="20"/>
  <c r="D29" i="20"/>
  <c r="D23" i="20"/>
  <c r="D7" i="20"/>
  <c r="D15" i="20"/>
  <c r="D59" i="20"/>
  <c r="D27" i="20"/>
  <c r="D35" i="20"/>
  <c r="D14" i="20"/>
  <c r="D4" i="20"/>
  <c r="D5" i="20"/>
  <c r="D3" i="20"/>
  <c r="D12" i="20"/>
  <c r="D21" i="20"/>
  <c r="D24" i="20"/>
  <c r="D20" i="20"/>
  <c r="D102" i="20"/>
  <c r="P102" i="20"/>
  <c r="D44" i="20"/>
  <c r="D100" i="20"/>
  <c r="D54" i="20"/>
  <c r="D70" i="20"/>
  <c r="D110" i="20"/>
  <c r="P110" i="20"/>
  <c r="D16" i="20"/>
  <c r="D26" i="20"/>
  <c r="D37" i="20"/>
  <c r="D40" i="20"/>
  <c r="D43" i="20"/>
  <c r="D46" i="20"/>
  <c r="D55" i="20"/>
  <c r="D30" i="20"/>
  <c r="D36" i="20"/>
  <c r="D39" i="20"/>
  <c r="D45" i="20"/>
  <c r="D48" i="20"/>
  <c r="D81" i="20"/>
  <c r="D103" i="20"/>
  <c r="D80" i="20"/>
  <c r="P103" i="20"/>
  <c r="D58" i="20"/>
  <c r="D60" i="20"/>
  <c r="D68" i="20"/>
  <c r="D75" i="20"/>
  <c r="D74" i="20"/>
  <c r="D111" i="20"/>
  <c r="D113" i="20"/>
  <c r="D78" i="20"/>
  <c r="D137" i="20"/>
  <c r="T87" i="20"/>
  <c r="T82" i="20"/>
  <c r="T83" i="20"/>
  <c r="D79" i="20"/>
  <c r="D121" i="20"/>
  <c r="D125" i="20"/>
  <c r="P111" i="20"/>
  <c r="P119" i="20"/>
  <c r="D123" i="20"/>
  <c r="P123" i="20"/>
  <c r="D132" i="20"/>
  <c r="D172" i="20"/>
  <c r="P134" i="20"/>
  <c r="D141" i="20"/>
  <c r="P146" i="20"/>
  <c r="P113" i="20"/>
  <c r="P121" i="20"/>
  <c r="D140" i="20"/>
  <c r="D150" i="20"/>
  <c r="D139" i="20"/>
  <c r="P136" i="20"/>
  <c r="P159" i="20"/>
  <c r="P138" i="20"/>
  <c r="P149" i="20"/>
  <c r="D152" i="20"/>
  <c r="D159" i="20"/>
  <c r="P161" i="20"/>
  <c r="P173" i="20"/>
  <c r="D173" i="20"/>
  <c r="P193" i="20"/>
  <c r="D193" i="20"/>
  <c r="D165" i="20"/>
  <c r="P157" i="20"/>
  <c r="D184" i="20"/>
  <c r="D176" i="20"/>
  <c r="P176" i="20"/>
  <c r="D180" i="20"/>
  <c r="P182" i="20"/>
  <c r="D189" i="20"/>
  <c r="D169" i="20"/>
  <c r="P192" i="20"/>
  <c r="D168" i="20"/>
  <c r="P184" i="20"/>
  <c r="P177" i="20"/>
  <c r="D188" i="20"/>
  <c r="D192" i="20"/>
  <c r="D177" i="20"/>
  <c r="AR14" i="19"/>
  <c r="AY14" i="19"/>
  <c r="AD14" i="19"/>
  <c r="X14" i="19"/>
  <c r="Z15" i="19"/>
  <c r="AB17" i="19"/>
  <c r="X17" i="19" s="1"/>
  <c r="AA19" i="19"/>
  <c r="AA16" i="19"/>
  <c r="AA15" i="19"/>
  <c r="P17" i="19"/>
  <c r="P16" i="19"/>
  <c r="AA21" i="19"/>
  <c r="P14" i="19"/>
  <c r="U15" i="19"/>
  <c r="W15" i="19" s="1"/>
  <c r="AA18" i="19"/>
  <c r="AA20" i="19"/>
  <c r="Z16" i="19"/>
  <c r="BK14" i="11"/>
  <c r="BK21" i="11"/>
  <c r="BK17" i="11"/>
  <c r="BK19" i="11"/>
  <c r="BK18" i="11"/>
  <c r="V97" i="1"/>
  <c r="BD20" i="11"/>
  <c r="BD18" i="11"/>
  <c r="BI15" i="11"/>
  <c r="U88" i="1"/>
  <c r="AX15" i="11"/>
  <c r="AX19" i="11"/>
  <c r="AZ15" i="11"/>
  <c r="AZ19" i="11"/>
  <c r="AZ20" i="11"/>
  <c r="BA15" i="11"/>
  <c r="BA19" i="11"/>
  <c r="AZ14" i="11"/>
  <c r="AX20" i="11"/>
  <c r="BA18" i="11"/>
  <c r="AZ17" i="11"/>
  <c r="AH20" i="11"/>
  <c r="AO20" i="11"/>
  <c r="AV20" i="11"/>
  <c r="AB15" i="11"/>
  <c r="AA15" i="11"/>
  <c r="AV14" i="11"/>
  <c r="AH14" i="11"/>
  <c r="AO14" i="11"/>
  <c r="AB21" i="11"/>
  <c r="AA21" i="11"/>
  <c r="AV18" i="11"/>
  <c r="AH18" i="11"/>
  <c r="AO18" i="11"/>
  <c r="AA14" i="11"/>
  <c r="P15" i="11"/>
  <c r="U16" i="11"/>
  <c r="W16" i="11" s="1"/>
  <c r="AY16" i="11"/>
  <c r="P16" i="11"/>
  <c r="BF16" i="11"/>
  <c r="AB19" i="11"/>
  <c r="X19" i="11" s="1"/>
  <c r="AA18" i="11"/>
  <c r="P17" i="11"/>
  <c r="X16" i="11"/>
  <c r="AO16" i="11"/>
  <c r="AA20" i="11"/>
  <c r="AB17" i="11"/>
  <c r="X17" i="11" s="1"/>
  <c r="P14" i="11"/>
  <c r="U14" i="11"/>
  <c r="W14" i="11" s="1"/>
  <c r="AV16" i="11"/>
  <c r="Z16" i="11"/>
  <c r="P168" i="20" l="1"/>
  <c r="P178" i="20"/>
  <c r="P194" i="20"/>
  <c r="P166" i="20"/>
  <c r="P125" i="20"/>
  <c r="P164" i="20"/>
  <c r="P158" i="20"/>
  <c r="P139" i="20"/>
  <c r="P191" i="20"/>
  <c r="P195" i="20"/>
  <c r="P150" i="20"/>
  <c r="P153" i="20"/>
  <c r="P141" i="20"/>
  <c r="P104" i="20"/>
  <c r="P131" i="20"/>
  <c r="P154" i="20"/>
  <c r="P156" i="20"/>
  <c r="P106" i="20"/>
  <c r="P127" i="20"/>
  <c r="P114" i="20"/>
  <c r="P101" i="20"/>
  <c r="P180" i="20"/>
  <c r="P140" i="20"/>
  <c r="P144" i="20"/>
  <c r="P135" i="20"/>
  <c r="P129" i="20"/>
  <c r="P116" i="20"/>
  <c r="P143" i="20"/>
  <c r="P188" i="20"/>
  <c r="P112" i="20"/>
  <c r="P122" i="20"/>
  <c r="P147" i="20"/>
  <c r="P162" i="20"/>
  <c r="P117" i="20"/>
  <c r="P174" i="20"/>
  <c r="P107" i="20"/>
  <c r="P128" i="20"/>
  <c r="P115" i="20"/>
  <c r="P108" i="20"/>
  <c r="P155" i="20"/>
  <c r="P148" i="20"/>
  <c r="P172" i="20"/>
  <c r="P160" i="20"/>
  <c r="P190" i="20"/>
  <c r="P152" i="20"/>
  <c r="P170" i="20"/>
  <c r="P124" i="20"/>
  <c r="P109" i="20"/>
  <c r="P120" i="20"/>
  <c r="P133" i="20"/>
  <c r="P151" i="20"/>
  <c r="P137" i="20"/>
  <c r="P163" i="20"/>
  <c r="P187" i="20"/>
  <c r="P175" i="20"/>
  <c r="P167" i="20"/>
  <c r="P145" i="20"/>
  <c r="P171" i="20"/>
  <c r="P183" i="20"/>
  <c r="P132" i="20"/>
  <c r="P179" i="20"/>
  <c r="P165" i="20"/>
  <c r="BF17" i="19"/>
  <c r="AD15" i="19"/>
  <c r="AK15" i="19"/>
  <c r="X15" i="19"/>
  <c r="AR15" i="19"/>
  <c r="AY15" i="19"/>
  <c r="BF15" i="19"/>
  <c r="Z17" i="19"/>
  <c r="AK17" i="19"/>
  <c r="AK14" i="19"/>
  <c r="U16" i="19"/>
  <c r="W16" i="19" s="1"/>
  <c r="Z14" i="19"/>
  <c r="AR17" i="19"/>
  <c r="AY17" i="19"/>
  <c r="AD17" i="19"/>
  <c r="AK16" i="19"/>
  <c r="X16" i="19"/>
  <c r="AR16" i="19"/>
  <c r="AY16" i="19"/>
  <c r="BF16" i="19"/>
  <c r="AD16" i="19"/>
  <c r="BF14" i="19"/>
  <c r="AD20" i="19"/>
  <c r="AK20" i="19"/>
  <c r="X20" i="19"/>
  <c r="AR20" i="19"/>
  <c r="AY20" i="19"/>
  <c r="BF20" i="19"/>
  <c r="U14" i="19"/>
  <c r="W14" i="19" s="1"/>
  <c r="AR21" i="19"/>
  <c r="AY21" i="19"/>
  <c r="BF21" i="19"/>
  <c r="AD21" i="19"/>
  <c r="AK21" i="19"/>
  <c r="X21" i="19"/>
  <c r="AY18" i="19"/>
  <c r="AD18" i="19"/>
  <c r="AK18" i="19"/>
  <c r="X18" i="19"/>
  <c r="AR18" i="19"/>
  <c r="BF18" i="19"/>
  <c r="U17" i="19"/>
  <c r="W17" i="19" s="1"/>
  <c r="AD19" i="19"/>
  <c r="AR19" i="19"/>
  <c r="AY19" i="19"/>
  <c r="BF19" i="19"/>
  <c r="AK19" i="19"/>
  <c r="X19" i="19"/>
  <c r="AK16" i="11"/>
  <c r="AG15" i="11"/>
  <c r="X15" i="11"/>
  <c r="AY17" i="11"/>
  <c r="AP14" i="11"/>
  <c r="Z14" i="11"/>
  <c r="AO15" i="11"/>
  <c r="AV15" i="11"/>
  <c r="AH15" i="11"/>
  <c r="AC17" i="11"/>
  <c r="AT17" i="11"/>
  <c r="U17" i="11"/>
  <c r="W17" i="11" s="1"/>
  <c r="Z17" i="11"/>
  <c r="AM14" i="11"/>
  <c r="Z15" i="11"/>
  <c r="X14" i="11"/>
  <c r="BF14" i="11"/>
  <c r="AY14" i="11"/>
  <c r="AG14" i="11"/>
  <c r="X21" i="11"/>
  <c r="BF20" i="11"/>
  <c r="AY20" i="11"/>
  <c r="AG20" i="11"/>
  <c r="AN20" i="11"/>
  <c r="X20" i="11"/>
  <c r="AY18" i="11"/>
  <c r="AN18" i="11"/>
  <c r="X18" i="11"/>
  <c r="BF18" i="11"/>
  <c r="U15" i="11"/>
  <c r="W15" i="11" s="1"/>
  <c r="AO19" i="11"/>
  <c r="AV19" i="11"/>
  <c r="AH19" i="11"/>
  <c r="AY19" i="11"/>
  <c r="BF17" i="11"/>
  <c r="AH17" i="11"/>
  <c r="AD17" i="11" s="1"/>
  <c r="AO17" i="11"/>
  <c r="AV17" i="11"/>
  <c r="AV21" i="11"/>
  <c r="AO21" i="11"/>
  <c r="AH21" i="11"/>
  <c r="AM15" i="11"/>
  <c r="BF19" i="11"/>
  <c r="D26" i="8"/>
  <c r="C26" i="8"/>
  <c r="G23" i="8"/>
  <c r="F23" i="8"/>
  <c r="E23" i="8"/>
  <c r="BK18" i="2" s="1"/>
  <c r="D23" i="8"/>
  <c r="BK20" i="2" s="1"/>
  <c r="C23" i="8"/>
  <c r="N20" i="8"/>
  <c r="M20" i="8"/>
  <c r="L20" i="8"/>
  <c r="K20" i="8"/>
  <c r="J20" i="8"/>
  <c r="I20" i="8"/>
  <c r="H20" i="8"/>
  <c r="G20" i="8"/>
  <c r="F20" i="8"/>
  <c r="E20" i="8"/>
  <c r="D20" i="8"/>
  <c r="C20" i="8"/>
  <c r="H17" i="8"/>
  <c r="G17" i="8"/>
  <c r="F17" i="8"/>
  <c r="E17" i="8"/>
  <c r="D17" i="8"/>
  <c r="C17" i="8"/>
  <c r="H14" i="8"/>
  <c r="G14" i="8"/>
  <c r="F14" i="8"/>
  <c r="E14" i="8"/>
  <c r="D14" i="8"/>
  <c r="C14" i="8"/>
  <c r="L11" i="8"/>
  <c r="I11" i="8"/>
  <c r="E11" i="8"/>
  <c r="C11" i="8"/>
  <c r="M9" i="8"/>
  <c r="G9" i="8"/>
  <c r="E9" i="8"/>
  <c r="C9" i="8"/>
  <c r="R7" i="8"/>
  <c r="Q7" i="8"/>
  <c r="P7" i="8"/>
  <c r="O7" i="8"/>
  <c r="N7" i="8"/>
  <c r="M7" i="8"/>
  <c r="BI14" i="2" s="1"/>
  <c r="L7" i="8"/>
  <c r="K7" i="8"/>
  <c r="J7" i="8"/>
  <c r="I7" i="8"/>
  <c r="H7" i="8"/>
  <c r="K4" i="8"/>
  <c r="J4" i="8"/>
  <c r="I4" i="8"/>
  <c r="H4" i="8"/>
  <c r="G4" i="8"/>
  <c r="F4" i="8"/>
  <c r="E4" i="8"/>
  <c r="D4" i="8"/>
  <c r="C4" i="8"/>
  <c r="D26" i="7"/>
  <c r="C26" i="7"/>
  <c r="G23" i="7"/>
  <c r="BD20" i="2" s="1"/>
  <c r="F23" i="7"/>
  <c r="E23" i="7"/>
  <c r="D23" i="7"/>
  <c r="C23" i="7"/>
  <c r="N20" i="7"/>
  <c r="M20" i="7"/>
  <c r="L20" i="7"/>
  <c r="K20" i="7"/>
  <c r="J20" i="7"/>
  <c r="I20" i="7"/>
  <c r="H20" i="7"/>
  <c r="G20" i="7"/>
  <c r="F20" i="7"/>
  <c r="E20" i="7"/>
  <c r="D20" i="7"/>
  <c r="C20" i="7"/>
  <c r="H17" i="7"/>
  <c r="G17" i="7"/>
  <c r="F17" i="7"/>
  <c r="E17" i="7"/>
  <c r="D17" i="7"/>
  <c r="C17" i="7"/>
  <c r="H14" i="7"/>
  <c r="G14" i="7"/>
  <c r="F14" i="7"/>
  <c r="E14" i="7"/>
  <c r="D14" i="7"/>
  <c r="C14" i="7"/>
  <c r="L11" i="7"/>
  <c r="I11" i="7"/>
  <c r="E11" i="7"/>
  <c r="C11" i="7"/>
  <c r="M9" i="7"/>
  <c r="G9" i="7"/>
  <c r="E9" i="7"/>
  <c r="C9" i="7"/>
  <c r="R7" i="7"/>
  <c r="Q7" i="7"/>
  <c r="P7" i="7"/>
  <c r="O7" i="7"/>
  <c r="N7" i="7"/>
  <c r="M7" i="7"/>
  <c r="L7" i="7"/>
  <c r="K7" i="7"/>
  <c r="J7" i="7"/>
  <c r="I7" i="7"/>
  <c r="H7" i="7"/>
  <c r="K4" i="7"/>
  <c r="J4" i="7"/>
  <c r="BA20" i="2" s="1"/>
  <c r="I4" i="7"/>
  <c r="H4" i="7"/>
  <c r="G4" i="7"/>
  <c r="BA21" i="2" s="1"/>
  <c r="F4" i="7"/>
  <c r="E4" i="7"/>
  <c r="D4" i="7"/>
  <c r="AZ20" i="2" s="1"/>
  <c r="C4" i="7"/>
  <c r="AZ19" i="2" s="1"/>
  <c r="D26" i="6"/>
  <c r="C26" i="6"/>
  <c r="G23" i="6"/>
  <c r="F23" i="6"/>
  <c r="AW16" i="11" s="1"/>
  <c r="E23" i="6"/>
  <c r="D23" i="6"/>
  <c r="AW17" i="2" s="1"/>
  <c r="C23" i="6"/>
  <c r="N20" i="6"/>
  <c r="M20" i="6"/>
  <c r="L20" i="6"/>
  <c r="K20" i="6"/>
  <c r="J20" i="6"/>
  <c r="I20" i="6"/>
  <c r="H20" i="6"/>
  <c r="G20" i="6"/>
  <c r="F20" i="6"/>
  <c r="E20" i="6"/>
  <c r="D20" i="6"/>
  <c r="C20" i="6"/>
  <c r="H17" i="6"/>
  <c r="G17" i="6"/>
  <c r="F17" i="6"/>
  <c r="E17" i="6"/>
  <c r="D17" i="6"/>
  <c r="C17" i="6"/>
  <c r="H14" i="6"/>
  <c r="G14" i="6"/>
  <c r="F14" i="6"/>
  <c r="E14" i="6"/>
  <c r="D14" i="6"/>
  <c r="R88" i="1" s="1"/>
  <c r="C14" i="6"/>
  <c r="L11" i="6"/>
  <c r="I11" i="6"/>
  <c r="E11" i="6"/>
  <c r="C11" i="6"/>
  <c r="M9" i="6"/>
  <c r="G9" i="6"/>
  <c r="E9" i="6"/>
  <c r="C9" i="6"/>
  <c r="R7" i="6"/>
  <c r="AU20" i="11" s="1"/>
  <c r="Q7" i="6"/>
  <c r="P7" i="6"/>
  <c r="AU16" i="11" s="1"/>
  <c r="O7" i="6"/>
  <c r="AU18" i="11" s="1"/>
  <c r="N7" i="6"/>
  <c r="AU21" i="11" s="1"/>
  <c r="M7" i="6"/>
  <c r="AU14" i="2" s="1"/>
  <c r="L7" i="6"/>
  <c r="K7" i="6"/>
  <c r="J7" i="6"/>
  <c r="I7" i="6"/>
  <c r="AU17" i="11" s="1"/>
  <c r="H7" i="6"/>
  <c r="AU19" i="11" s="1"/>
  <c r="K4" i="6"/>
  <c r="J4" i="6"/>
  <c r="I4" i="6"/>
  <c r="AT16" i="11" s="1"/>
  <c r="H4" i="6"/>
  <c r="G4" i="6"/>
  <c r="F4" i="6"/>
  <c r="E4" i="6"/>
  <c r="D4" i="6"/>
  <c r="C4" i="6"/>
  <c r="D26" i="5"/>
  <c r="C26" i="5"/>
  <c r="G23" i="5"/>
  <c r="F23" i="5"/>
  <c r="AP16" i="11" s="1"/>
  <c r="E23" i="5"/>
  <c r="AP19" i="2" s="1"/>
  <c r="D23" i="5"/>
  <c r="C23" i="5"/>
  <c r="N20" i="5"/>
  <c r="M20" i="5"/>
  <c r="L20" i="5"/>
  <c r="K20" i="5"/>
  <c r="J20" i="5"/>
  <c r="I20" i="5"/>
  <c r="H20" i="5"/>
  <c r="G20" i="5"/>
  <c r="F20" i="5"/>
  <c r="E20" i="5"/>
  <c r="D20" i="5"/>
  <c r="C20" i="5"/>
  <c r="H17" i="5"/>
  <c r="G17" i="5"/>
  <c r="F17" i="5"/>
  <c r="E17" i="5"/>
  <c r="D17" i="5"/>
  <c r="C17" i="5"/>
  <c r="H14" i="5"/>
  <c r="G14" i="5"/>
  <c r="F14" i="5"/>
  <c r="Q89" i="1" s="1"/>
  <c r="E14" i="5"/>
  <c r="D14" i="5"/>
  <c r="Q88" i="1" s="1"/>
  <c r="C14" i="5"/>
  <c r="L11" i="5"/>
  <c r="I11" i="5"/>
  <c r="E11" i="5"/>
  <c r="C11" i="5"/>
  <c r="M9" i="5"/>
  <c r="G9" i="5"/>
  <c r="E9" i="5"/>
  <c r="C9" i="5"/>
  <c r="R7" i="5"/>
  <c r="Q7" i="5"/>
  <c r="P7" i="5"/>
  <c r="AN16" i="11" s="1"/>
  <c r="O7" i="5"/>
  <c r="N7" i="5"/>
  <c r="AN21" i="11" s="1"/>
  <c r="M7" i="5"/>
  <c r="AN14" i="2" s="1"/>
  <c r="L7" i="5"/>
  <c r="K7" i="5"/>
  <c r="J7" i="5"/>
  <c r="I7" i="5"/>
  <c r="AN17" i="11" s="1"/>
  <c r="H7" i="5"/>
  <c r="AN19" i="11" s="1"/>
  <c r="K4" i="5"/>
  <c r="J4" i="5"/>
  <c r="I4" i="5"/>
  <c r="H4" i="5"/>
  <c r="G4" i="5"/>
  <c r="F4" i="5"/>
  <c r="E4" i="5"/>
  <c r="D4" i="5"/>
  <c r="C4" i="5"/>
  <c r="D26" i="3"/>
  <c r="C26" i="3"/>
  <c r="G23" i="3"/>
  <c r="F23" i="3"/>
  <c r="AI14" i="11" s="1"/>
  <c r="E23" i="3"/>
  <c r="D23" i="3"/>
  <c r="C23" i="3"/>
  <c r="AI15" i="11" s="1"/>
  <c r="N20" i="3"/>
  <c r="M20" i="3"/>
  <c r="L20" i="3"/>
  <c r="K20" i="3"/>
  <c r="J20" i="3"/>
  <c r="I20" i="3"/>
  <c r="H20" i="3"/>
  <c r="G20" i="3"/>
  <c r="F20" i="3"/>
  <c r="E20" i="3"/>
  <c r="D20" i="3"/>
  <c r="C20" i="3"/>
  <c r="H17" i="3"/>
  <c r="G17" i="3"/>
  <c r="F17" i="3"/>
  <c r="E17" i="3"/>
  <c r="D17" i="3"/>
  <c r="C17" i="3"/>
  <c r="H14" i="3"/>
  <c r="G14" i="3"/>
  <c r="F14" i="3"/>
  <c r="E14" i="3"/>
  <c r="D14" i="3"/>
  <c r="C14" i="3"/>
  <c r="L11" i="3"/>
  <c r="I11" i="3"/>
  <c r="E11" i="3"/>
  <c r="C11" i="3"/>
  <c r="M9" i="3"/>
  <c r="G9" i="3"/>
  <c r="E9" i="3"/>
  <c r="C9" i="3"/>
  <c r="R7" i="3"/>
  <c r="Q7" i="3"/>
  <c r="P7" i="3"/>
  <c r="AG16" i="11" s="1"/>
  <c r="O7" i="3"/>
  <c r="AG18" i="11" s="1"/>
  <c r="N7" i="3"/>
  <c r="AG21" i="11" s="1"/>
  <c r="M7" i="3"/>
  <c r="AG14" i="2" s="1"/>
  <c r="L7" i="3"/>
  <c r="K7" i="3"/>
  <c r="J7" i="3"/>
  <c r="I7" i="3"/>
  <c r="AG17" i="11" s="1"/>
  <c r="H7" i="3"/>
  <c r="AG19" i="11" s="1"/>
  <c r="K4" i="3"/>
  <c r="J4" i="3"/>
  <c r="I4" i="3"/>
  <c r="H4" i="3"/>
  <c r="AE16" i="2" s="1"/>
  <c r="G4" i="3"/>
  <c r="F4" i="3"/>
  <c r="E4" i="3"/>
  <c r="D4" i="3"/>
  <c r="C4" i="3"/>
  <c r="BH21" i="2"/>
  <c r="BG21" i="2"/>
  <c r="BE21" i="2"/>
  <c r="AZ21" i="2"/>
  <c r="AT21" i="2"/>
  <c r="Z21" i="2"/>
  <c r="Y21" i="2"/>
  <c r="W21" i="2"/>
  <c r="U21" i="2"/>
  <c r="M21" i="2"/>
  <c r="L21" i="2"/>
  <c r="H21" i="2"/>
  <c r="AA21" i="2" s="1"/>
  <c r="BI21" i="2" s="1"/>
  <c r="BH20" i="2"/>
  <c r="BG20" i="2"/>
  <c r="BE20" i="2"/>
  <c r="AT20" i="2"/>
  <c r="AL20" i="2"/>
  <c r="AF20" i="2"/>
  <c r="Z20" i="2"/>
  <c r="Y20" i="2"/>
  <c r="W20" i="2"/>
  <c r="U20" i="2"/>
  <c r="M20" i="2"/>
  <c r="L20" i="2"/>
  <c r="BH19" i="2"/>
  <c r="BG19" i="2"/>
  <c r="BE19" i="2"/>
  <c r="BA19" i="2"/>
  <c r="AS19" i="2"/>
  <c r="AM19" i="2"/>
  <c r="AL19" i="2"/>
  <c r="AJ19" i="2"/>
  <c r="Z19" i="2"/>
  <c r="Y19" i="2"/>
  <c r="W19" i="2"/>
  <c r="U19" i="2"/>
  <c r="M19" i="2"/>
  <c r="L19" i="2"/>
  <c r="H19" i="2"/>
  <c r="BH18" i="2"/>
  <c r="BG18" i="2"/>
  <c r="BE18" i="2"/>
  <c r="AX18" i="2"/>
  <c r="AT18" i="2"/>
  <c r="AS18" i="2"/>
  <c r="AQ18" i="2"/>
  <c r="Z18" i="2"/>
  <c r="Y18" i="2"/>
  <c r="U18" i="2"/>
  <c r="W18" i="2" s="1"/>
  <c r="M18" i="2"/>
  <c r="L18" i="2"/>
  <c r="H18" i="2"/>
  <c r="AA18" i="2" s="1"/>
  <c r="BI18" i="2" s="1"/>
  <c r="BG17" i="2"/>
  <c r="AL17" i="2"/>
  <c r="Y17" i="2"/>
  <c r="U17" i="2"/>
  <c r="W17" i="2" s="1"/>
  <c r="P17" i="2"/>
  <c r="O17" i="2"/>
  <c r="BH17" i="2" s="1"/>
  <c r="M17" i="2"/>
  <c r="L17" i="2"/>
  <c r="H17" i="2"/>
  <c r="BG16" i="2"/>
  <c r="AZ16" i="2"/>
  <c r="Y16" i="2"/>
  <c r="P16" i="2"/>
  <c r="O16" i="2"/>
  <c r="M16" i="2"/>
  <c r="L16" i="2"/>
  <c r="H16" i="2"/>
  <c r="BG15" i="2"/>
  <c r="AZ15" i="2"/>
  <c r="AS15" i="2"/>
  <c r="Y15" i="2"/>
  <c r="O15" i="2"/>
  <c r="M15" i="2"/>
  <c r="L15" i="2"/>
  <c r="H15" i="2"/>
  <c r="AA15" i="2" s="1"/>
  <c r="BI15" i="2" s="1"/>
  <c r="BG14" i="2"/>
  <c r="BB14" i="2"/>
  <c r="AZ14" i="2"/>
  <c r="AL14" i="2"/>
  <c r="Y14" i="2"/>
  <c r="O14" i="2"/>
  <c r="M14" i="2"/>
  <c r="L14" i="2"/>
  <c r="H14" i="2"/>
  <c r="D11" i="2"/>
  <c r="D10" i="2"/>
  <c r="D9" i="2"/>
  <c r="D8" i="2"/>
  <c r="D5" i="2"/>
  <c r="D4" i="2"/>
  <c r="D3" i="2"/>
  <c r="D2" i="2"/>
  <c r="F23" i="4"/>
  <c r="D23" i="4"/>
  <c r="E23" i="4" s="1"/>
  <c r="F22" i="4"/>
  <c r="D22" i="4"/>
  <c r="E22" i="4" s="1"/>
  <c r="F21" i="4"/>
  <c r="D21" i="4"/>
  <c r="E21" i="4" s="1"/>
  <c r="F20" i="4"/>
  <c r="D20" i="4"/>
  <c r="E20" i="4" s="1"/>
  <c r="AB19" i="2" s="1"/>
  <c r="F19" i="4"/>
  <c r="C19" i="4"/>
  <c r="E19" i="4" s="1"/>
  <c r="F18" i="4"/>
  <c r="C18" i="4"/>
  <c r="E18" i="4" s="1"/>
  <c r="F17" i="4"/>
  <c r="C17" i="4"/>
  <c r="E17" i="4" s="1"/>
  <c r="AB17" i="2" s="1"/>
  <c r="F16" i="4"/>
  <c r="E16" i="4"/>
  <c r="F15" i="4"/>
  <c r="F14" i="4"/>
  <c r="F13" i="4"/>
  <c r="F12" i="4"/>
  <c r="F11" i="4"/>
  <c r="F10" i="4"/>
  <c r="F9" i="4"/>
  <c r="F8" i="4"/>
  <c r="J195" i="1"/>
  <c r="B195" i="1"/>
  <c r="N194" i="1" a="1"/>
  <c r="N194" i="1" s="1"/>
  <c r="J194" i="1"/>
  <c r="U194" i="1" s="1" a="1"/>
  <c r="U194" i="1" s="1"/>
  <c r="B194" i="1"/>
  <c r="N193" i="1" a="1"/>
  <c r="N193" i="1" s="1"/>
  <c r="J193" i="1"/>
  <c r="U193" i="1" s="1" a="1"/>
  <c r="U193" i="1" s="1"/>
  <c r="B193" i="1"/>
  <c r="D193" i="1" s="1"/>
  <c r="N192" i="1" a="1"/>
  <c r="N192" i="1" s="1"/>
  <c r="J192" i="1"/>
  <c r="M192" i="1" s="1"/>
  <c r="B192" i="1"/>
  <c r="D192" i="1" s="1"/>
  <c r="N191" i="1" a="1"/>
  <c r="N191" i="1" s="1"/>
  <c r="J191" i="1"/>
  <c r="B191" i="1"/>
  <c r="D191" i="1" s="1"/>
  <c r="N190" i="1" a="1"/>
  <c r="N190" i="1" s="1"/>
  <c r="J190" i="1"/>
  <c r="B190" i="1"/>
  <c r="D190" i="1" s="1"/>
  <c r="J189" i="1"/>
  <c r="B189" i="1"/>
  <c r="D189" i="1" s="1"/>
  <c r="J188" i="1"/>
  <c r="B188" i="1"/>
  <c r="D188" i="1" s="1"/>
  <c r="J187" i="1"/>
  <c r="B187" i="1"/>
  <c r="D187" i="1" s="1"/>
  <c r="N186" i="1" a="1"/>
  <c r="N186" i="1" s="1"/>
  <c r="J186" i="1"/>
  <c r="B186" i="1"/>
  <c r="N185" i="1" a="1"/>
  <c r="N185" i="1" s="1"/>
  <c r="J185" i="1"/>
  <c r="B185" i="1"/>
  <c r="N184" i="1" a="1"/>
  <c r="N184" i="1" s="1"/>
  <c r="J184" i="1"/>
  <c r="V184" i="1" s="1" a="1"/>
  <c r="V184" i="1" s="1"/>
  <c r="B184" i="1"/>
  <c r="D184" i="1" s="1"/>
  <c r="N183" i="1" a="1"/>
  <c r="N183" i="1" s="1"/>
  <c r="J183" i="1"/>
  <c r="B183" i="1"/>
  <c r="D183" i="1" s="1"/>
  <c r="N182" i="1" a="1"/>
  <c r="N182" i="1" s="1"/>
  <c r="J182" i="1"/>
  <c r="B182" i="1"/>
  <c r="D182" i="1" s="1"/>
  <c r="N181" i="1" a="1"/>
  <c r="N181" i="1" s="1"/>
  <c r="J181" i="1"/>
  <c r="B181" i="1"/>
  <c r="D181" i="1" s="1"/>
  <c r="N180" i="1" a="1"/>
  <c r="N180" i="1" s="1"/>
  <c r="J180" i="1"/>
  <c r="D180" i="1"/>
  <c r="B180" i="1"/>
  <c r="N179" i="1" a="1"/>
  <c r="N179" i="1" s="1"/>
  <c r="J179" i="1"/>
  <c r="B179" i="1"/>
  <c r="D179" i="1" s="1"/>
  <c r="J178" i="1"/>
  <c r="B178" i="1"/>
  <c r="J177" i="1"/>
  <c r="B177" i="1"/>
  <c r="D177" i="1" s="1"/>
  <c r="N176" i="1" a="1"/>
  <c r="N176" i="1" s="1"/>
  <c r="J176" i="1"/>
  <c r="B176" i="1"/>
  <c r="D176" i="1" s="1"/>
  <c r="N175" i="1" a="1"/>
  <c r="N175" i="1" s="1"/>
  <c r="J175" i="1"/>
  <c r="B175" i="1"/>
  <c r="D175" i="1" s="1"/>
  <c r="N174" i="1" a="1"/>
  <c r="N174" i="1" s="1"/>
  <c r="J174" i="1"/>
  <c r="U174" i="1" s="1" a="1"/>
  <c r="U174" i="1" s="1"/>
  <c r="B174" i="1"/>
  <c r="D174" i="1" s="1"/>
  <c r="N173" i="1" a="1"/>
  <c r="N173" i="1" s="1"/>
  <c r="J173" i="1"/>
  <c r="B173" i="1"/>
  <c r="D173" i="1" s="1"/>
  <c r="N172" i="1" a="1"/>
  <c r="N172" i="1" s="1"/>
  <c r="J172" i="1"/>
  <c r="B172" i="1"/>
  <c r="D172" i="1" s="1"/>
  <c r="N171" i="1" a="1"/>
  <c r="N171" i="1" s="1"/>
  <c r="J171" i="1"/>
  <c r="B171" i="1"/>
  <c r="D171" i="1" s="1"/>
  <c r="N170" i="1" a="1"/>
  <c r="N170" i="1" s="1"/>
  <c r="J170" i="1"/>
  <c r="B170" i="1"/>
  <c r="N169" i="1" a="1"/>
  <c r="N169" i="1" s="1"/>
  <c r="J169" i="1"/>
  <c r="B169" i="1"/>
  <c r="D169" i="1" s="1"/>
  <c r="N168" i="1" a="1"/>
  <c r="N168" i="1" s="1"/>
  <c r="J168" i="1"/>
  <c r="B168" i="1"/>
  <c r="D168" i="1" s="1"/>
  <c r="N167" i="1" a="1"/>
  <c r="N167" i="1" s="1"/>
  <c r="J167" i="1"/>
  <c r="B167" i="1"/>
  <c r="N166" i="1" a="1"/>
  <c r="N166" i="1" s="1"/>
  <c r="M166" i="1"/>
  <c r="J166" i="1"/>
  <c r="V166" i="1" s="1" a="1"/>
  <c r="V166" i="1" s="1"/>
  <c r="B166" i="1"/>
  <c r="D166" i="1" s="1"/>
  <c r="J165" i="1"/>
  <c r="B165" i="1"/>
  <c r="D165" i="1" s="1"/>
  <c r="J164" i="1"/>
  <c r="B164" i="1"/>
  <c r="D164" i="1" s="1"/>
  <c r="J163" i="1"/>
  <c r="D163" i="1"/>
  <c r="B163" i="1"/>
  <c r="N162" i="1" a="1"/>
  <c r="N162" i="1" s="1"/>
  <c r="J162" i="1"/>
  <c r="B162" i="1"/>
  <c r="N161" i="1" a="1"/>
  <c r="N161" i="1" s="1"/>
  <c r="J161" i="1"/>
  <c r="B161" i="1"/>
  <c r="D161" i="1" s="1"/>
  <c r="N160" i="1" a="1"/>
  <c r="N160" i="1" s="1"/>
  <c r="J160" i="1"/>
  <c r="B160" i="1"/>
  <c r="N159" i="1" a="1"/>
  <c r="N159" i="1" s="1"/>
  <c r="J159" i="1"/>
  <c r="B159" i="1"/>
  <c r="D159" i="1" s="1"/>
  <c r="N158" i="1" a="1"/>
  <c r="N158" i="1" s="1"/>
  <c r="J158" i="1"/>
  <c r="B158" i="1"/>
  <c r="N157" i="1" a="1"/>
  <c r="N157" i="1" s="1"/>
  <c r="J157" i="1"/>
  <c r="B157" i="1"/>
  <c r="D157" i="1" s="1"/>
  <c r="N156" i="1" a="1"/>
  <c r="N156" i="1" s="1"/>
  <c r="J156" i="1"/>
  <c r="B156" i="1"/>
  <c r="D156" i="1" s="1"/>
  <c r="N155" i="1" a="1"/>
  <c r="N155" i="1" s="1"/>
  <c r="J155" i="1"/>
  <c r="B155" i="1"/>
  <c r="D155" i="1" s="1"/>
  <c r="J154" i="1"/>
  <c r="B154" i="1"/>
  <c r="J153" i="1"/>
  <c r="B153" i="1"/>
  <c r="N152" i="1" a="1"/>
  <c r="N152" i="1" s="1"/>
  <c r="J152" i="1"/>
  <c r="B152" i="1"/>
  <c r="D152" i="1" s="1"/>
  <c r="N151" i="1" a="1"/>
  <c r="N151" i="1" s="1"/>
  <c r="J151" i="1"/>
  <c r="B151" i="1"/>
  <c r="D151" i="1" s="1"/>
  <c r="N150" i="1" a="1"/>
  <c r="N150" i="1" s="1"/>
  <c r="J150" i="1"/>
  <c r="B150" i="1"/>
  <c r="D150" i="1" s="1"/>
  <c r="N149" i="1" a="1"/>
  <c r="N149" i="1" s="1"/>
  <c r="J149" i="1"/>
  <c r="B149" i="1"/>
  <c r="D149" i="1" s="1"/>
  <c r="N148" i="1" a="1"/>
  <c r="N148" i="1" s="1"/>
  <c r="J148" i="1"/>
  <c r="B148" i="1"/>
  <c r="N147" i="1" a="1"/>
  <c r="N147" i="1" s="1"/>
  <c r="J147" i="1"/>
  <c r="B147" i="1"/>
  <c r="D147" i="1" s="1"/>
  <c r="N146" i="1" a="1"/>
  <c r="N146" i="1" s="1"/>
  <c r="J146" i="1"/>
  <c r="B146" i="1"/>
  <c r="D146" i="1" s="1"/>
  <c r="N145" i="1" a="1"/>
  <c r="N145" i="1" s="1"/>
  <c r="J145" i="1"/>
  <c r="B145" i="1"/>
  <c r="U145" i="1" s="1" a="1"/>
  <c r="U145" i="1" s="1"/>
  <c r="N144" i="1" a="1"/>
  <c r="N144" i="1" s="1"/>
  <c r="J144" i="1"/>
  <c r="B144" i="1"/>
  <c r="N143" i="1" a="1"/>
  <c r="N143" i="1" s="1"/>
  <c r="J143" i="1"/>
  <c r="B143" i="1"/>
  <c r="D143" i="1" s="1"/>
  <c r="N142" i="1" a="1"/>
  <c r="N142" i="1" s="1"/>
  <c r="J142" i="1"/>
  <c r="B142" i="1"/>
  <c r="D142" i="1" s="1"/>
  <c r="J141" i="1"/>
  <c r="B141" i="1"/>
  <c r="D141" i="1" s="1"/>
  <c r="J140" i="1"/>
  <c r="B140" i="1"/>
  <c r="J139" i="1"/>
  <c r="M139" i="1" s="1"/>
  <c r="B139" i="1"/>
  <c r="D139" i="1" s="1"/>
  <c r="N138" i="1" a="1"/>
  <c r="N138" i="1" s="1"/>
  <c r="J138" i="1"/>
  <c r="B138" i="1"/>
  <c r="D138" i="1" s="1"/>
  <c r="N137" i="1" a="1"/>
  <c r="N137" i="1" s="1"/>
  <c r="J137" i="1"/>
  <c r="B137" i="1"/>
  <c r="D137" i="1" s="1"/>
  <c r="N136" i="1" a="1"/>
  <c r="N136" i="1" s="1"/>
  <c r="J136" i="1"/>
  <c r="B136" i="1"/>
  <c r="D136" i="1" s="1"/>
  <c r="N135" i="1" a="1"/>
  <c r="N135" i="1" s="1"/>
  <c r="J135" i="1"/>
  <c r="B135" i="1"/>
  <c r="D135" i="1" s="1"/>
  <c r="N134" i="1" a="1"/>
  <c r="N134" i="1" s="1"/>
  <c r="J134" i="1"/>
  <c r="B134" i="1"/>
  <c r="D134" i="1" s="1"/>
  <c r="N133" i="1" a="1"/>
  <c r="N133" i="1" s="1"/>
  <c r="J133" i="1"/>
  <c r="B133" i="1"/>
  <c r="D133" i="1" s="1"/>
  <c r="N132" i="1" a="1"/>
  <c r="N132" i="1" s="1"/>
  <c r="J132" i="1"/>
  <c r="B132" i="1"/>
  <c r="D132" i="1" s="1"/>
  <c r="N131" i="1" a="1"/>
  <c r="N131" i="1" s="1"/>
  <c r="J131" i="1"/>
  <c r="B131" i="1"/>
  <c r="D131" i="1" s="1"/>
  <c r="J130" i="1"/>
  <c r="D130" i="1"/>
  <c r="B130" i="1"/>
  <c r="J129" i="1"/>
  <c r="B129" i="1"/>
  <c r="D129" i="1" s="1"/>
  <c r="N128" i="1" a="1"/>
  <c r="N128" i="1" s="1"/>
  <c r="M128" i="1"/>
  <c r="J128" i="1"/>
  <c r="B128" i="1"/>
  <c r="D128" i="1" s="1"/>
  <c r="N127" i="1" a="1"/>
  <c r="N127" i="1" s="1"/>
  <c r="J127" i="1"/>
  <c r="B127" i="1"/>
  <c r="D127" i="1" s="1"/>
  <c r="N126" i="1" a="1"/>
  <c r="N126" i="1" s="1"/>
  <c r="J126" i="1"/>
  <c r="B126" i="1"/>
  <c r="D126" i="1" s="1"/>
  <c r="N125" i="1" a="1"/>
  <c r="N125" i="1" s="1"/>
  <c r="J125" i="1"/>
  <c r="B125" i="1"/>
  <c r="D125" i="1" s="1"/>
  <c r="N124" i="1" a="1"/>
  <c r="N124" i="1" s="1"/>
  <c r="J124" i="1"/>
  <c r="B124" i="1"/>
  <c r="D124" i="1" s="1"/>
  <c r="N123" i="1" a="1"/>
  <c r="N123" i="1" s="1"/>
  <c r="J123" i="1"/>
  <c r="U123" i="1" s="1" a="1"/>
  <c r="U123" i="1" s="1"/>
  <c r="B123" i="1"/>
  <c r="N122" i="1" a="1"/>
  <c r="N122" i="1" s="1"/>
  <c r="J122" i="1"/>
  <c r="B122" i="1"/>
  <c r="D122" i="1" s="1"/>
  <c r="N121" i="1" a="1"/>
  <c r="N121" i="1" s="1"/>
  <c r="J121" i="1"/>
  <c r="B121" i="1"/>
  <c r="D121" i="1" s="1"/>
  <c r="N120" i="1" a="1"/>
  <c r="N120" i="1" s="1"/>
  <c r="J120" i="1"/>
  <c r="B120" i="1"/>
  <c r="D120" i="1" s="1"/>
  <c r="N119" i="1" a="1"/>
  <c r="N119" i="1" s="1"/>
  <c r="J119" i="1"/>
  <c r="B119" i="1"/>
  <c r="D119" i="1" s="1"/>
  <c r="N118" i="1" a="1"/>
  <c r="N118" i="1" s="1"/>
  <c r="J118" i="1"/>
  <c r="U118" i="1" s="1" a="1"/>
  <c r="U118" i="1" s="1"/>
  <c r="D118" i="1"/>
  <c r="B118" i="1"/>
  <c r="J117" i="1"/>
  <c r="B117" i="1"/>
  <c r="J116" i="1"/>
  <c r="B116" i="1"/>
  <c r="D116" i="1" s="1"/>
  <c r="J115" i="1"/>
  <c r="B115" i="1"/>
  <c r="D115" i="1" s="1"/>
  <c r="N114" i="1" a="1"/>
  <c r="N114" i="1" s="1"/>
  <c r="J114" i="1"/>
  <c r="M114" i="1" s="1"/>
  <c r="B114" i="1"/>
  <c r="D114" i="1" s="1"/>
  <c r="N113" i="1" a="1"/>
  <c r="N113" i="1" s="1"/>
  <c r="J113" i="1"/>
  <c r="B113" i="1"/>
  <c r="D113" i="1" s="1"/>
  <c r="N112" i="1" a="1"/>
  <c r="N112" i="1" s="1"/>
  <c r="J112" i="1"/>
  <c r="B112" i="1"/>
  <c r="D112" i="1" s="1"/>
  <c r="N111" i="1" a="1"/>
  <c r="N111" i="1" s="1"/>
  <c r="J111" i="1"/>
  <c r="D111" i="1"/>
  <c r="B111" i="1"/>
  <c r="N110" i="1" a="1"/>
  <c r="N110" i="1" s="1"/>
  <c r="J110" i="1"/>
  <c r="B110" i="1"/>
  <c r="D110" i="1" s="1"/>
  <c r="N109" i="1" a="1"/>
  <c r="N109" i="1" s="1"/>
  <c r="J109" i="1"/>
  <c r="B109" i="1"/>
  <c r="D109" i="1" s="1"/>
  <c r="N108" i="1" a="1"/>
  <c r="N108" i="1" s="1"/>
  <c r="J108" i="1"/>
  <c r="M108" i="1" s="1"/>
  <c r="B108" i="1"/>
  <c r="N107" i="1" a="1"/>
  <c r="N107" i="1" s="1"/>
  <c r="J107" i="1"/>
  <c r="B107" i="1"/>
  <c r="D107" i="1" s="1"/>
  <c r="J106" i="1"/>
  <c r="B106" i="1"/>
  <c r="D106" i="1" s="1"/>
  <c r="J105" i="1"/>
  <c r="B105" i="1"/>
  <c r="D105" i="1" s="1"/>
  <c r="N104" i="1" a="1"/>
  <c r="N104" i="1" s="1"/>
  <c r="J104" i="1"/>
  <c r="B104" i="1"/>
  <c r="D104" i="1" s="1"/>
  <c r="N103" i="1" a="1"/>
  <c r="N103" i="1" s="1"/>
  <c r="J103" i="1"/>
  <c r="B103" i="1"/>
  <c r="N102" i="1" a="1"/>
  <c r="N102" i="1" s="1"/>
  <c r="J102" i="1"/>
  <c r="M102" i="1" s="1"/>
  <c r="B102" i="1"/>
  <c r="D102" i="1" s="1"/>
  <c r="N101" i="1" a="1"/>
  <c r="N101" i="1" s="1"/>
  <c r="J101" i="1"/>
  <c r="B101" i="1"/>
  <c r="N100" i="1" a="1"/>
  <c r="N100" i="1" s="1"/>
  <c r="J100" i="1"/>
  <c r="B100" i="1"/>
  <c r="D100" i="1" s="1"/>
  <c r="T99" i="1"/>
  <c r="R99" i="1"/>
  <c r="Q99" i="1"/>
  <c r="L99" i="1"/>
  <c r="T98" i="1"/>
  <c r="Q98" i="1"/>
  <c r="S97" i="1"/>
  <c r="R97" i="1"/>
  <c r="Q97" i="1"/>
  <c r="L97" i="1"/>
  <c r="K91" i="1" a="1"/>
  <c r="Q96" i="1" s="1"/>
  <c r="T90" i="1"/>
  <c r="S90" i="1"/>
  <c r="Q90" i="1"/>
  <c r="L90" i="1"/>
  <c r="T89" i="1"/>
  <c r="R89" i="1"/>
  <c r="L89" i="1"/>
  <c r="S88" i="1"/>
  <c r="K82" i="1" a="1"/>
  <c r="S87" i="1" s="1"/>
  <c r="C81" i="1"/>
  <c r="B81" i="1"/>
  <c r="C80" i="1"/>
  <c r="B80" i="1"/>
  <c r="C79" i="1"/>
  <c r="B79" i="1"/>
  <c r="D79" i="1" s="1"/>
  <c r="C78" i="1"/>
  <c r="B78" i="1"/>
  <c r="C77" i="1"/>
  <c r="B77" i="1"/>
  <c r="C76" i="1"/>
  <c r="B76" i="1"/>
  <c r="C75" i="1"/>
  <c r="B75" i="1"/>
  <c r="C74" i="1"/>
  <c r="B74" i="1"/>
  <c r="D74" i="1" s="1"/>
  <c r="C73" i="1"/>
  <c r="B73" i="1"/>
  <c r="C72" i="1"/>
  <c r="B72" i="1"/>
  <c r="C71" i="1"/>
  <c r="B71" i="1"/>
  <c r="D71" i="1" s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V59" i="1" s="1" a="1"/>
  <c r="V59" i="1" s="1"/>
  <c r="C58" i="1"/>
  <c r="B58" i="1"/>
  <c r="V58" i="1" s="1" a="1"/>
  <c r="V58" i="1" s="1"/>
  <c r="C57" i="1"/>
  <c r="B57" i="1"/>
  <c r="C56" i="1"/>
  <c r="B56" i="1"/>
  <c r="C55" i="1"/>
  <c r="B55" i="1"/>
  <c r="H55" i="1" s="1" a="1"/>
  <c r="H55" i="1" s="1"/>
  <c r="C54" i="1"/>
  <c r="B54" i="1"/>
  <c r="H54" i="1" s="1" a="1"/>
  <c r="H54" i="1" s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D47" i="1" s="1"/>
  <c r="C46" i="1"/>
  <c r="B46" i="1"/>
  <c r="D46" i="1" s="1"/>
  <c r="C45" i="1"/>
  <c r="B45" i="1"/>
  <c r="C44" i="1"/>
  <c r="B44" i="1"/>
  <c r="C43" i="1"/>
  <c r="B43" i="1"/>
  <c r="C42" i="1"/>
  <c r="B42" i="1"/>
  <c r="D42" i="1" s="1"/>
  <c r="C41" i="1"/>
  <c r="B41" i="1"/>
  <c r="U41" i="1" s="1" a="1"/>
  <c r="U41" i="1" s="1"/>
  <c r="C40" i="1"/>
  <c r="B40" i="1"/>
  <c r="U40" i="1" s="1" a="1"/>
  <c r="U40" i="1" s="1"/>
  <c r="C39" i="1"/>
  <c r="B39" i="1"/>
  <c r="D39" i="1" s="1"/>
  <c r="C38" i="1"/>
  <c r="B38" i="1"/>
  <c r="U38" i="1" s="1" a="1"/>
  <c r="U38" i="1" s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U31" i="1" s="1" a="1"/>
  <c r="U31" i="1" s="1"/>
  <c r="C30" i="1"/>
  <c r="B30" i="1"/>
  <c r="D30" i="1" s="1"/>
  <c r="C29" i="1"/>
  <c r="B29" i="1"/>
  <c r="C28" i="1"/>
  <c r="B28" i="1"/>
  <c r="C27" i="1"/>
  <c r="B27" i="1"/>
  <c r="C26" i="1"/>
  <c r="B26" i="1"/>
  <c r="D26" i="1" s="1"/>
  <c r="C25" i="1"/>
  <c r="B25" i="1"/>
  <c r="C24" i="1"/>
  <c r="B24" i="1"/>
  <c r="U24" i="1" s="1" a="1"/>
  <c r="U24" i="1" s="1"/>
  <c r="D23" i="1"/>
  <c r="C23" i="1"/>
  <c r="B23" i="1"/>
  <c r="C22" i="1"/>
  <c r="B22" i="1"/>
  <c r="C21" i="1"/>
  <c r="B21" i="1"/>
  <c r="U21" i="1" s="1" a="1"/>
  <c r="U21" i="1" s="1"/>
  <c r="C20" i="1"/>
  <c r="B20" i="1"/>
  <c r="U20" i="1" s="1" a="1"/>
  <c r="U20" i="1" s="1"/>
  <c r="C19" i="1"/>
  <c r="B19" i="1"/>
  <c r="U19" i="1" s="1" a="1"/>
  <c r="U19" i="1" s="1"/>
  <c r="C18" i="1"/>
  <c r="B18" i="1"/>
  <c r="C17" i="1"/>
  <c r="B17" i="1"/>
  <c r="C16" i="1"/>
  <c r="B16" i="1"/>
  <c r="C15" i="1"/>
  <c r="B15" i="1"/>
  <c r="C14" i="1"/>
  <c r="B14" i="1"/>
  <c r="D14" i="1" s="1"/>
  <c r="C13" i="1"/>
  <c r="B13" i="1"/>
  <c r="C12" i="1"/>
  <c r="B12" i="1"/>
  <c r="C11" i="1"/>
  <c r="B11" i="1"/>
  <c r="C10" i="1"/>
  <c r="B10" i="1"/>
  <c r="C9" i="1"/>
  <c r="B9" i="1"/>
  <c r="U9" i="1" s="1" a="1"/>
  <c r="U9" i="1" s="1"/>
  <c r="C8" i="1"/>
  <c r="B8" i="1"/>
  <c r="U8" i="1" s="1" a="1"/>
  <c r="U8" i="1" s="1"/>
  <c r="C7" i="1"/>
  <c r="B7" i="1"/>
  <c r="D7" i="1" s="1"/>
  <c r="C6" i="1"/>
  <c r="B6" i="1"/>
  <c r="C5" i="1"/>
  <c r="B5" i="1"/>
  <c r="U5" i="1" s="1" a="1"/>
  <c r="U5" i="1" s="1"/>
  <c r="C4" i="1"/>
  <c r="B4" i="1"/>
  <c r="U4" i="1" s="1" a="1"/>
  <c r="U4" i="1" s="1"/>
  <c r="C3" i="1"/>
  <c r="B3" i="1"/>
  <c r="C2" i="1"/>
  <c r="B2" i="1"/>
  <c r="AI19" i="2" l="1"/>
  <c r="T54" i="20" a="1"/>
  <c r="T54" i="20" s="1"/>
  <c r="AE54" i="1" s="1"/>
  <c r="T55" i="20" a="1"/>
  <c r="T55" i="20" s="1"/>
  <c r="AE55" i="1" s="1"/>
  <c r="T64" i="20" a="1"/>
  <c r="T64" i="20" s="1"/>
  <c r="AE64" i="1" s="1"/>
  <c r="T65" i="20" a="1"/>
  <c r="T65" i="20" s="1"/>
  <c r="AE65" i="1" s="1"/>
  <c r="T56" i="20" a="1"/>
  <c r="T56" i="20" s="1"/>
  <c r="AE56" i="1" s="1"/>
  <c r="T57" i="20" a="1"/>
  <c r="T57" i="20" s="1"/>
  <c r="AE57" i="1" s="1"/>
  <c r="T62" i="20" a="1"/>
  <c r="T62" i="20" s="1"/>
  <c r="AE62" i="1" s="1"/>
  <c r="T63" i="20" a="1"/>
  <c r="T63" i="20" s="1"/>
  <c r="AE63" i="1" s="1"/>
  <c r="T53" i="20" a="1"/>
  <c r="T53" i="20" s="1"/>
  <c r="AE53" i="1" s="1"/>
  <c r="T52" i="20" a="1"/>
  <c r="T52" i="20" s="1"/>
  <c r="AE52" i="1" s="1"/>
  <c r="T51" i="20" a="1"/>
  <c r="T51" i="20" s="1"/>
  <c r="AE51" i="1" s="1"/>
  <c r="T50" i="20" a="1"/>
  <c r="T50" i="20" s="1"/>
  <c r="AE50" i="1" s="1"/>
  <c r="T60" i="20" a="1"/>
  <c r="T60" i="20" s="1"/>
  <c r="AE60" i="1" s="1"/>
  <c r="T61" i="20" a="1"/>
  <c r="T61" i="20" s="1"/>
  <c r="AE61" i="1" s="1"/>
  <c r="T59" i="20" a="1"/>
  <c r="T59" i="20" s="1"/>
  <c r="AE59" i="1" s="1"/>
  <c r="T58" i="20" a="1"/>
  <c r="T58" i="20" s="1"/>
  <c r="AE58" i="1" s="1"/>
  <c r="V113" i="1" a="1"/>
  <c r="V113" i="1" s="1"/>
  <c r="V195" i="1" a="1"/>
  <c r="V195" i="1" s="1"/>
  <c r="V190" i="1" a="1"/>
  <c r="V190" i="1" s="1"/>
  <c r="V112" i="1" a="1"/>
  <c r="V112" i="1" s="1"/>
  <c r="K91" i="1"/>
  <c r="V110" i="1" a="1"/>
  <c r="V110" i="1" s="1"/>
  <c r="D54" i="1"/>
  <c r="U113" i="1" a="1"/>
  <c r="U113" i="1" s="1"/>
  <c r="D55" i="1"/>
  <c r="Q84" i="1"/>
  <c r="R86" i="1"/>
  <c r="V137" i="1" a="1"/>
  <c r="V137" i="1" s="1"/>
  <c r="U166" i="1" a="1"/>
  <c r="U166" i="1" s="1"/>
  <c r="U171" i="1" a="1"/>
  <c r="U171" i="1" s="1"/>
  <c r="U187" i="1" a="1"/>
  <c r="U187" i="1" s="1"/>
  <c r="U117" i="1" a="1"/>
  <c r="U117" i="1" s="1"/>
  <c r="U58" i="1" a="1"/>
  <c r="U58" i="1" s="1"/>
  <c r="D10" i="1"/>
  <c r="T10" i="1" a="1"/>
  <c r="T10" i="1" s="1"/>
  <c r="I10" i="1" a="1"/>
  <c r="I10" i="1" s="1"/>
  <c r="V10" i="1" a="1"/>
  <c r="V10" i="1" s="1"/>
  <c r="U10" i="1" a="1"/>
  <c r="U10" i="1" s="1"/>
  <c r="I35" i="1" a="1"/>
  <c r="I35" i="1" s="1"/>
  <c r="T35" i="1" a="1"/>
  <c r="T35" i="1" s="1"/>
  <c r="V35" i="1" a="1"/>
  <c r="V35" i="1" s="1"/>
  <c r="U35" i="1" a="1"/>
  <c r="U35" i="1" s="1"/>
  <c r="D60" i="1"/>
  <c r="H60" i="1" a="1"/>
  <c r="H60" i="1" s="1"/>
  <c r="V169" i="1" a="1"/>
  <c r="V169" i="1" s="1"/>
  <c r="U169" i="1" a="1"/>
  <c r="U169" i="1" s="1"/>
  <c r="D3" i="1"/>
  <c r="T3" i="1" a="1"/>
  <c r="T3" i="1" s="1"/>
  <c r="I3" i="1" a="1"/>
  <c r="I3" i="1" s="1"/>
  <c r="V3" i="1" a="1"/>
  <c r="V3" i="1" s="1"/>
  <c r="U3" i="1" a="1"/>
  <c r="U3" i="1" s="1"/>
  <c r="V7" i="1" a="1"/>
  <c r="V7" i="1" s="1"/>
  <c r="T7" i="1" a="1"/>
  <c r="T7" i="1" s="1"/>
  <c r="I7" i="1" a="1"/>
  <c r="I7" i="1" s="1"/>
  <c r="U7" i="1" a="1"/>
  <c r="U7" i="1" s="1"/>
  <c r="V25" i="1" a="1"/>
  <c r="V25" i="1" s="1"/>
  <c r="T25" i="1" a="1"/>
  <c r="T25" i="1" s="1"/>
  <c r="I25" i="1" a="1"/>
  <c r="I25" i="1" s="1"/>
  <c r="D31" i="1"/>
  <c r="D72" i="1"/>
  <c r="H72" i="1" a="1"/>
  <c r="H72" i="1" s="1"/>
  <c r="U72" i="1" a="1"/>
  <c r="U72" i="1" s="1"/>
  <c r="V72" i="1" a="1"/>
  <c r="V72" i="1" s="1"/>
  <c r="Q85" i="1"/>
  <c r="U102" i="1" a="1"/>
  <c r="U102" i="1" s="1"/>
  <c r="M123" i="1"/>
  <c r="V130" i="1" a="1"/>
  <c r="V130" i="1" s="1"/>
  <c r="U130" i="1" a="1"/>
  <c r="U130" i="1" s="1"/>
  <c r="M137" i="1"/>
  <c r="V145" i="1" a="1"/>
  <c r="V145" i="1" s="1"/>
  <c r="U153" i="1" a="1"/>
  <c r="U153" i="1" s="1"/>
  <c r="V153" i="1" a="1"/>
  <c r="V153" i="1" s="1"/>
  <c r="V156" i="1" a="1"/>
  <c r="V156" i="1" s="1"/>
  <c r="U156" i="1" a="1"/>
  <c r="U156" i="1" s="1"/>
  <c r="V172" i="1" a="1"/>
  <c r="V172" i="1" s="1"/>
  <c r="U172" i="1" a="1"/>
  <c r="U172" i="1" s="1"/>
  <c r="U180" i="1" a="1"/>
  <c r="U180" i="1" s="1"/>
  <c r="V180" i="1" a="1"/>
  <c r="V180" i="1" s="1"/>
  <c r="M185" i="1"/>
  <c r="U185" i="1" a="1"/>
  <c r="U185" i="1" s="1"/>
  <c r="U191" i="1" a="1"/>
  <c r="U191" i="1" s="1"/>
  <c r="U112" i="1" a="1"/>
  <c r="U112" i="1" s="1"/>
  <c r="V171" i="1" a="1"/>
  <c r="V171" i="1" s="1"/>
  <c r="V102" i="1" a="1"/>
  <c r="V102" i="1" s="1"/>
  <c r="T28" i="1" a="1"/>
  <c r="T28" i="1" s="1"/>
  <c r="V28" i="1" a="1"/>
  <c r="V28" i="1" s="1"/>
  <c r="I28" i="1" a="1"/>
  <c r="I28" i="1" s="1"/>
  <c r="V49" i="1" a="1"/>
  <c r="V49" i="1" s="1"/>
  <c r="T49" i="1" a="1"/>
  <c r="T49" i="1" s="1"/>
  <c r="I49" i="1" a="1"/>
  <c r="I49" i="1" s="1"/>
  <c r="U49" i="1" a="1"/>
  <c r="U49" i="1" s="1"/>
  <c r="D75" i="1"/>
  <c r="H75" i="1" a="1"/>
  <c r="H75" i="1" s="1"/>
  <c r="V75" i="1" a="1"/>
  <c r="V75" i="1" s="1"/>
  <c r="U75" i="1" a="1"/>
  <c r="U75" i="1" s="1"/>
  <c r="U139" i="1" a="1"/>
  <c r="U139" i="1" s="1"/>
  <c r="V139" i="1" a="1"/>
  <c r="V139" i="1" s="1"/>
  <c r="V150" i="1" a="1"/>
  <c r="V150" i="1" s="1"/>
  <c r="U150" i="1" a="1"/>
  <c r="U150" i="1" s="1"/>
  <c r="V161" i="1" a="1"/>
  <c r="V161" i="1" s="1"/>
  <c r="U161" i="1" a="1"/>
  <c r="U161" i="1" s="1"/>
  <c r="V177" i="1" a="1"/>
  <c r="V177" i="1" s="1"/>
  <c r="U177" i="1" a="1"/>
  <c r="U177" i="1" s="1"/>
  <c r="M182" i="1"/>
  <c r="U182" i="1" a="1"/>
  <c r="U182" i="1" s="1"/>
  <c r="U14" i="1" a="1"/>
  <c r="U14" i="1" s="1"/>
  <c r="U28" i="1" a="1"/>
  <c r="U28" i="1" s="1"/>
  <c r="I11" i="1" a="1"/>
  <c r="I11" i="1" s="1"/>
  <c r="V11" i="1" a="1"/>
  <c r="V11" i="1" s="1"/>
  <c r="T11" i="1" a="1"/>
  <c r="T11" i="1" s="1"/>
  <c r="U11" i="1" a="1"/>
  <c r="U11" i="1" s="1"/>
  <c r="V18" i="1" a="1"/>
  <c r="V18" i="1" s="1"/>
  <c r="T18" i="1" a="1"/>
  <c r="T18" i="1" s="1"/>
  <c r="I18" i="1" a="1"/>
  <c r="I18" i="1" s="1"/>
  <c r="I22" i="1" a="1"/>
  <c r="I22" i="1" s="1"/>
  <c r="V22" i="1" a="1"/>
  <c r="V22" i="1" s="1"/>
  <c r="T22" i="1" a="1"/>
  <c r="T22" i="1" s="1"/>
  <c r="U22" i="1" a="1"/>
  <c r="U22" i="1" s="1"/>
  <c r="T29" i="1" a="1"/>
  <c r="T29" i="1" s="1"/>
  <c r="I29" i="1" a="1"/>
  <c r="I29" i="1" s="1"/>
  <c r="V29" i="1" a="1"/>
  <c r="V29" i="1" s="1"/>
  <c r="T32" i="1" a="1"/>
  <c r="T32" i="1" s="1"/>
  <c r="V32" i="1" a="1"/>
  <c r="V32" i="1" s="1"/>
  <c r="I32" i="1" a="1"/>
  <c r="I32" i="1" s="1"/>
  <c r="U32" i="1" a="1"/>
  <c r="U32" i="1" s="1"/>
  <c r="T36" i="1" a="1"/>
  <c r="T36" i="1" s="1"/>
  <c r="V36" i="1" a="1"/>
  <c r="V36" i="1" s="1"/>
  <c r="I36" i="1" a="1"/>
  <c r="I36" i="1" s="1"/>
  <c r="I43" i="1" a="1"/>
  <c r="I43" i="1" s="1"/>
  <c r="T43" i="1" a="1"/>
  <c r="T43" i="1" s="1"/>
  <c r="V43" i="1" a="1"/>
  <c r="V43" i="1" s="1"/>
  <c r="U43" i="1" a="1"/>
  <c r="U43" i="1" s="1"/>
  <c r="D50" i="1"/>
  <c r="H50" i="1" a="1"/>
  <c r="H50" i="1" s="1"/>
  <c r="D57" i="1"/>
  <c r="H57" i="1" a="1"/>
  <c r="H57" i="1" s="1"/>
  <c r="D61" i="1"/>
  <c r="H61" i="1" a="1"/>
  <c r="H61" i="1" s="1"/>
  <c r="D65" i="1"/>
  <c r="H65" i="1" a="1"/>
  <c r="H65" i="1" s="1"/>
  <c r="D69" i="1"/>
  <c r="H69" i="1" a="1"/>
  <c r="H69" i="1" s="1"/>
  <c r="U69" i="1" a="1"/>
  <c r="U69" i="1" s="1"/>
  <c r="D76" i="1"/>
  <c r="H76" i="1" a="1"/>
  <c r="H76" i="1" s="1"/>
  <c r="V76" i="1" a="1"/>
  <c r="V76" i="1" s="1"/>
  <c r="U76" i="1" a="1"/>
  <c r="U76" i="1" s="1"/>
  <c r="R85" i="1"/>
  <c r="V114" i="1" a="1"/>
  <c r="V114" i="1" s="1"/>
  <c r="V116" i="1" a="1"/>
  <c r="V116" i="1" s="1"/>
  <c r="U116" i="1" a="1"/>
  <c r="U116" i="1" s="1"/>
  <c r="M119" i="1"/>
  <c r="U119" i="1" a="1"/>
  <c r="U119" i="1" s="1"/>
  <c r="V119" i="1" a="1"/>
  <c r="V119" i="1" s="1"/>
  <c r="U121" i="1" a="1"/>
  <c r="U121" i="1" s="1"/>
  <c r="V121" i="1" a="1"/>
  <c r="V121" i="1" s="1"/>
  <c r="V126" i="1" a="1"/>
  <c r="V126" i="1" s="1"/>
  <c r="U126" i="1" a="1"/>
  <c r="U126" i="1" s="1"/>
  <c r="U128" i="1" a="1"/>
  <c r="U128" i="1" s="1"/>
  <c r="V128" i="1" a="1"/>
  <c r="V128" i="1" s="1"/>
  <c r="M135" i="1"/>
  <c r="V135" i="1" a="1"/>
  <c r="V135" i="1" s="1"/>
  <c r="U135" i="1" a="1"/>
  <c r="U135" i="1" s="1"/>
  <c r="V148" i="1" a="1"/>
  <c r="V148" i="1" s="1"/>
  <c r="U148" i="1" a="1"/>
  <c r="U148" i="1" s="1"/>
  <c r="U159" i="1" a="1"/>
  <c r="U159" i="1" s="1"/>
  <c r="V159" i="1" a="1"/>
  <c r="V159" i="1" s="1"/>
  <c r="V164" i="1" a="1"/>
  <c r="V164" i="1" s="1"/>
  <c r="U164" i="1" a="1"/>
  <c r="U164" i="1" s="1"/>
  <c r="M167" i="1"/>
  <c r="V167" i="1" a="1"/>
  <c r="V167" i="1" s="1"/>
  <c r="U167" i="1" a="1"/>
  <c r="U167" i="1" s="1"/>
  <c r="M175" i="1"/>
  <c r="V175" i="1" a="1"/>
  <c r="V175" i="1" s="1"/>
  <c r="U175" i="1" a="1"/>
  <c r="U175" i="1" s="1"/>
  <c r="M178" i="1"/>
  <c r="V178" i="1" a="1"/>
  <c r="V178" i="1" s="1"/>
  <c r="U178" i="1" a="1"/>
  <c r="U178" i="1" s="1"/>
  <c r="M188" i="1"/>
  <c r="U188" i="1" a="1"/>
  <c r="U188" i="1" s="1"/>
  <c r="U18" i="1" a="1"/>
  <c r="U18" i="1" s="1"/>
  <c r="V185" i="1" a="1"/>
  <c r="V185" i="1" s="1"/>
  <c r="V193" i="1" a="1"/>
  <c r="V193" i="1" s="1"/>
  <c r="D56" i="1"/>
  <c r="H56" i="1" a="1"/>
  <c r="H56" i="1" s="1"/>
  <c r="H79" i="1" a="1"/>
  <c r="H79" i="1" s="1"/>
  <c r="U79" i="1" a="1"/>
  <c r="U79" i="1" s="1"/>
  <c r="V79" i="1" a="1"/>
  <c r="V79" i="1" s="1"/>
  <c r="V15" i="1" a="1"/>
  <c r="V15" i="1" s="1"/>
  <c r="T15" i="1" a="1"/>
  <c r="T15" i="1" s="1"/>
  <c r="I15" i="1" a="1"/>
  <c r="I15" i="1" s="1"/>
  <c r="V131" i="1" a="1"/>
  <c r="V131" i="1" s="1"/>
  <c r="U131" i="1" a="1"/>
  <c r="U131" i="1" s="1"/>
  <c r="V17" i="1" a="1"/>
  <c r="V17" i="1" s="1"/>
  <c r="T17" i="1" a="1"/>
  <c r="T17" i="1" s="1"/>
  <c r="I17" i="1" a="1"/>
  <c r="I17" i="1" s="1"/>
  <c r="U17" i="1" a="1"/>
  <c r="U17" i="1" s="1"/>
  <c r="D64" i="1"/>
  <c r="H64" i="1" a="1"/>
  <c r="H64" i="1" s="1"/>
  <c r="M104" i="1"/>
  <c r="U104" i="1" a="1"/>
  <c r="U104" i="1" s="1"/>
  <c r="V104" i="1" a="1"/>
  <c r="V104" i="1" s="1"/>
  <c r="V133" i="1" a="1"/>
  <c r="V133" i="1" s="1"/>
  <c r="U133" i="1" a="1"/>
  <c r="U133" i="1" s="1"/>
  <c r="V140" i="1" a="1"/>
  <c r="V140" i="1" s="1"/>
  <c r="U140" i="1" a="1"/>
  <c r="U140" i="1" s="1"/>
  <c r="V143" i="1" a="1"/>
  <c r="V143" i="1" s="1"/>
  <c r="U143" i="1" a="1"/>
  <c r="U143" i="1" s="1"/>
  <c r="M154" i="1"/>
  <c r="V154" i="1" a="1"/>
  <c r="V154" i="1" s="1"/>
  <c r="U154" i="1" a="1"/>
  <c r="U154" i="1" s="1"/>
  <c r="V192" i="1" a="1"/>
  <c r="V192" i="1" s="1"/>
  <c r="T8" i="1" a="1"/>
  <c r="T8" i="1" s="1"/>
  <c r="V8" i="1" a="1"/>
  <c r="V8" i="1" s="1"/>
  <c r="I8" i="1" a="1"/>
  <c r="I8" i="1" s="1"/>
  <c r="V23" i="1" a="1"/>
  <c r="V23" i="1" s="1"/>
  <c r="T23" i="1" a="1"/>
  <c r="T23" i="1" s="1"/>
  <c r="I23" i="1" a="1"/>
  <c r="I23" i="1" s="1"/>
  <c r="U23" i="1" a="1"/>
  <c r="U23" i="1" s="1"/>
  <c r="V30" i="1" a="1"/>
  <c r="V30" i="1" s="1"/>
  <c r="I30" i="1" a="1"/>
  <c r="I30" i="1" s="1"/>
  <c r="T30" i="1" a="1"/>
  <c r="T30" i="1" s="1"/>
  <c r="V33" i="1" a="1"/>
  <c r="V33" i="1" s="1"/>
  <c r="T33" i="1" a="1"/>
  <c r="T33" i="1" s="1"/>
  <c r="I33" i="1" a="1"/>
  <c r="I33" i="1" s="1"/>
  <c r="U33" i="1" a="1"/>
  <c r="U33" i="1" s="1"/>
  <c r="D37" i="1"/>
  <c r="T37" i="1" a="1"/>
  <c r="T37" i="1" s="1"/>
  <c r="I37" i="1" a="1"/>
  <c r="I37" i="1" s="1"/>
  <c r="V37" i="1" a="1"/>
  <c r="V37" i="1" s="1"/>
  <c r="T44" i="1" a="1"/>
  <c r="T44" i="1" s="1"/>
  <c r="V44" i="1" a="1"/>
  <c r="V44" i="1" s="1"/>
  <c r="I44" i="1" a="1"/>
  <c r="I44" i="1" s="1"/>
  <c r="U44" i="1" a="1"/>
  <c r="U44" i="1" s="1"/>
  <c r="D51" i="1"/>
  <c r="H51" i="1" a="1"/>
  <c r="H51" i="1" s="1"/>
  <c r="D58" i="1"/>
  <c r="H58" i="1" a="1"/>
  <c r="H58" i="1" s="1"/>
  <c r="D62" i="1"/>
  <c r="H62" i="1" a="1"/>
  <c r="H62" i="1" s="1"/>
  <c r="H66" i="1" a="1"/>
  <c r="H66" i="1" s="1"/>
  <c r="V66" i="1" a="1"/>
  <c r="V66" i="1" s="1"/>
  <c r="U66" i="1" a="1"/>
  <c r="U66" i="1" s="1"/>
  <c r="D70" i="1"/>
  <c r="H70" i="1" a="1"/>
  <c r="H70" i="1" s="1"/>
  <c r="V70" i="1" a="1"/>
  <c r="V70" i="1" s="1"/>
  <c r="U70" i="1" a="1"/>
  <c r="U70" i="1" s="1"/>
  <c r="U77" i="1" a="1"/>
  <c r="U77" i="1" s="1"/>
  <c r="H77" i="1" a="1"/>
  <c r="H77" i="1" s="1"/>
  <c r="V77" i="1" a="1"/>
  <c r="V77" i="1" s="1"/>
  <c r="V117" i="1" a="1"/>
  <c r="V117" i="1" s="1"/>
  <c r="U124" i="1" a="1"/>
  <c r="U124" i="1" s="1"/>
  <c r="V124" i="1" a="1"/>
  <c r="V124" i="1" s="1"/>
  <c r="V138" i="1" a="1"/>
  <c r="V138" i="1" s="1"/>
  <c r="M146" i="1"/>
  <c r="V146" i="1" a="1"/>
  <c r="V146" i="1" s="1"/>
  <c r="U146" i="1" a="1"/>
  <c r="U146" i="1" s="1"/>
  <c r="V157" i="1" a="1"/>
  <c r="V157" i="1" s="1"/>
  <c r="U157" i="1" a="1"/>
  <c r="U157" i="1" s="1"/>
  <c r="V165" i="1" a="1"/>
  <c r="V165" i="1" s="1"/>
  <c r="U165" i="1" a="1"/>
  <c r="U165" i="1" s="1"/>
  <c r="V173" i="1" a="1"/>
  <c r="V173" i="1" s="1"/>
  <c r="U173" i="1" a="1"/>
  <c r="U173" i="1" s="1"/>
  <c r="U181" i="1" a="1"/>
  <c r="U181" i="1" s="1"/>
  <c r="V181" i="1" a="1"/>
  <c r="V181" i="1" s="1"/>
  <c r="M186" i="1"/>
  <c r="U186" i="1" a="1"/>
  <c r="U186" i="1" s="1"/>
  <c r="U189" i="1" a="1"/>
  <c r="U189" i="1" s="1"/>
  <c r="U192" i="1" a="1"/>
  <c r="U192" i="1" s="1"/>
  <c r="M194" i="1"/>
  <c r="U25" i="1" a="1"/>
  <c r="U25" i="1" s="1"/>
  <c r="V69" i="1" a="1"/>
  <c r="V69" i="1" s="1"/>
  <c r="U114" i="1" a="1"/>
  <c r="U114" i="1" s="1"/>
  <c r="V14" i="1" a="1"/>
  <c r="V14" i="1" s="1"/>
  <c r="I14" i="1" a="1"/>
  <c r="I14" i="1" s="1"/>
  <c r="T14" i="1" a="1"/>
  <c r="T14" i="1" s="1"/>
  <c r="V39" i="1" a="1"/>
  <c r="V39" i="1" s="1"/>
  <c r="T39" i="1" a="1"/>
  <c r="T39" i="1" s="1"/>
  <c r="I39" i="1" a="1"/>
  <c r="I39" i="1" s="1"/>
  <c r="H68" i="1" a="1"/>
  <c r="H68" i="1" s="1"/>
  <c r="U68" i="1" a="1"/>
  <c r="U68" i="1" s="1"/>
  <c r="T40" i="1" a="1"/>
  <c r="T40" i="1" s="1"/>
  <c r="V40" i="1" a="1"/>
  <c r="V40" i="1" s="1"/>
  <c r="I40" i="1" a="1"/>
  <c r="I40" i="1" s="1"/>
  <c r="H80" i="1" a="1"/>
  <c r="H80" i="1" s="1"/>
  <c r="U80" i="1" a="1"/>
  <c r="U80" i="1" s="1"/>
  <c r="V80" i="1" a="1"/>
  <c r="V80" i="1" s="1"/>
  <c r="V151" i="1" a="1"/>
  <c r="V151" i="1" s="1"/>
  <c r="U151" i="1" a="1"/>
  <c r="U151" i="1" s="1"/>
  <c r="M162" i="1"/>
  <c r="V162" i="1" a="1"/>
  <c r="V162" i="1" s="1"/>
  <c r="U162" i="1" a="1"/>
  <c r="U162" i="1" s="1"/>
  <c r="V170" i="1" a="1"/>
  <c r="V170" i="1" s="1"/>
  <c r="U170" i="1" a="1"/>
  <c r="U170" i="1" s="1"/>
  <c r="U183" i="1" a="1"/>
  <c r="U183" i="1" s="1"/>
  <c r="V183" i="1" a="1"/>
  <c r="V183" i="1" s="1"/>
  <c r="V68" i="1" a="1"/>
  <c r="V68" i="1" s="1"/>
  <c r="V189" i="1" a="1"/>
  <c r="V189" i="1" s="1"/>
  <c r="T12" i="1" a="1"/>
  <c r="T12" i="1" s="1"/>
  <c r="V12" i="1" a="1"/>
  <c r="V12" i="1" s="1"/>
  <c r="I12" i="1" a="1"/>
  <c r="I12" i="1" s="1"/>
  <c r="U12" i="1" a="1"/>
  <c r="U12" i="1" s="1"/>
  <c r="I19" i="1" a="1"/>
  <c r="I19" i="1" s="1"/>
  <c r="T19" i="1" a="1"/>
  <c r="T19" i="1" s="1"/>
  <c r="V19" i="1" a="1"/>
  <c r="V19" i="1" s="1"/>
  <c r="D5" i="1"/>
  <c r="I5" i="1" a="1"/>
  <c r="I5" i="1" s="1"/>
  <c r="V5" i="1" a="1"/>
  <c r="V5" i="1" s="1"/>
  <c r="T5" i="1" a="1"/>
  <c r="T5" i="1" s="1"/>
  <c r="D15" i="1"/>
  <c r="V41" i="1" a="1"/>
  <c r="V41" i="1" s="1"/>
  <c r="T41" i="1" a="1"/>
  <c r="T41" i="1" s="1"/>
  <c r="I41" i="1" a="1"/>
  <c r="I41" i="1" s="1"/>
  <c r="H74" i="1" a="1"/>
  <c r="H74" i="1" s="1"/>
  <c r="U74" i="1" a="1"/>
  <c r="U74" i="1" s="1"/>
  <c r="V74" i="1" a="1"/>
  <c r="V74" i="1" s="1"/>
  <c r="H81" i="1" a="1"/>
  <c r="H81" i="1" s="1"/>
  <c r="U81" i="1" a="1"/>
  <c r="U81" i="1" s="1"/>
  <c r="V81" i="1" a="1"/>
  <c r="V81" i="1" s="1"/>
  <c r="V93" i="1"/>
  <c r="V94" i="1"/>
  <c r="U95" i="1"/>
  <c r="U93" i="1"/>
  <c r="V95" i="1"/>
  <c r="U92" i="1"/>
  <c r="U96" i="1"/>
  <c r="V96" i="1"/>
  <c r="U94" i="1"/>
  <c r="V92" i="1"/>
  <c r="M103" i="1"/>
  <c r="V103" i="1" a="1"/>
  <c r="V103" i="1" s="1"/>
  <c r="U103" i="1" a="1"/>
  <c r="U103" i="1" s="1"/>
  <c r="U122" i="1" a="1"/>
  <c r="U122" i="1" s="1"/>
  <c r="V122" i="1" a="1"/>
  <c r="V122" i="1" s="1"/>
  <c r="V136" i="1" a="1"/>
  <c r="V136" i="1" s="1"/>
  <c r="M138" i="1"/>
  <c r="V141" i="1" a="1"/>
  <c r="V141" i="1" s="1"/>
  <c r="U141" i="1" a="1"/>
  <c r="U141" i="1" s="1"/>
  <c r="U149" i="1" a="1"/>
  <c r="U149" i="1" s="1"/>
  <c r="V149" i="1" a="1"/>
  <c r="V149" i="1" s="1"/>
  <c r="V155" i="1" a="1"/>
  <c r="V155" i="1" s="1"/>
  <c r="U155" i="1" a="1"/>
  <c r="U155" i="1" s="1"/>
  <c r="U160" i="1" a="1"/>
  <c r="U160" i="1" s="1"/>
  <c r="V160" i="1" a="1"/>
  <c r="V160" i="1" s="1"/>
  <c r="M168" i="1"/>
  <c r="U168" i="1" a="1"/>
  <c r="U168" i="1" s="1"/>
  <c r="V168" i="1" a="1"/>
  <c r="V168" i="1" s="1"/>
  <c r="V176" i="1" a="1"/>
  <c r="V176" i="1" s="1"/>
  <c r="U176" i="1" a="1"/>
  <c r="U176" i="1" s="1"/>
  <c r="M179" i="1"/>
  <c r="V179" i="1" a="1"/>
  <c r="V179" i="1" s="1"/>
  <c r="U179" i="1" a="1"/>
  <c r="U179" i="1" s="1"/>
  <c r="U30" i="1" a="1"/>
  <c r="U30" i="1" s="1"/>
  <c r="U37" i="1" a="1"/>
  <c r="U37" i="1" s="1"/>
  <c r="U136" i="1" a="1"/>
  <c r="U136" i="1" s="1"/>
  <c r="V174" i="1" a="1"/>
  <c r="V174" i="1" s="1"/>
  <c r="V194" i="1" a="1"/>
  <c r="V194" i="1" s="1"/>
  <c r="D53" i="1"/>
  <c r="H53" i="1" a="1"/>
  <c r="H53" i="1" s="1"/>
  <c r="T4" i="1" a="1"/>
  <c r="T4" i="1" s="1"/>
  <c r="I4" i="1" a="1"/>
  <c r="I4" i="1" s="1"/>
  <c r="V4" i="1" a="1"/>
  <c r="V4" i="1" s="1"/>
  <c r="V47" i="1" a="1"/>
  <c r="V47" i="1" s="1"/>
  <c r="T47" i="1" a="1"/>
  <c r="T47" i="1" s="1"/>
  <c r="I47" i="1" a="1"/>
  <c r="I47" i="1" s="1"/>
  <c r="U47" i="1" a="1"/>
  <c r="U47" i="1" s="1"/>
  <c r="V105" i="1" a="1"/>
  <c r="V105" i="1" s="1"/>
  <c r="U105" i="1" a="1"/>
  <c r="U105" i="1" s="1"/>
  <c r="M110" i="1"/>
  <c r="U110" i="1" a="1"/>
  <c r="U110" i="1" s="1"/>
  <c r="V9" i="1" a="1"/>
  <c r="V9" i="1" s="1"/>
  <c r="T9" i="1" a="1"/>
  <c r="T9" i="1" s="1"/>
  <c r="I9" i="1" a="1"/>
  <c r="I9" i="1" s="1"/>
  <c r="T16" i="1" a="1"/>
  <c r="T16" i="1" s="1"/>
  <c r="V16" i="1" a="1"/>
  <c r="V16" i="1" s="1"/>
  <c r="I16" i="1" a="1"/>
  <c r="I16" i="1" s="1"/>
  <c r="U16" i="1" a="1"/>
  <c r="U16" i="1" s="1"/>
  <c r="I27" i="1" a="1"/>
  <c r="I27" i="1" s="1"/>
  <c r="V27" i="1" a="1"/>
  <c r="V27" i="1" s="1"/>
  <c r="T27" i="1" a="1"/>
  <c r="T27" i="1" s="1"/>
  <c r="U27" i="1" a="1"/>
  <c r="U27" i="1" s="1"/>
  <c r="D34" i="1"/>
  <c r="T34" i="1" a="1"/>
  <c r="T34" i="1" s="1"/>
  <c r="V34" i="1" a="1"/>
  <c r="V34" i="1" s="1"/>
  <c r="I34" i="1" a="1"/>
  <c r="I34" i="1" s="1"/>
  <c r="U34" i="1" a="1"/>
  <c r="U34" i="1" s="1"/>
  <c r="T45" i="1" a="1"/>
  <c r="T45" i="1" s="1"/>
  <c r="I45" i="1" a="1"/>
  <c r="I45" i="1" s="1"/>
  <c r="V45" i="1" a="1"/>
  <c r="V45" i="1" s="1"/>
  <c r="U45" i="1" a="1"/>
  <c r="U45" i="1" s="1"/>
  <c r="D52" i="1"/>
  <c r="H52" i="1" a="1"/>
  <c r="H52" i="1" s="1"/>
  <c r="D59" i="1"/>
  <c r="H59" i="1" a="1"/>
  <c r="H59" i="1" s="1"/>
  <c r="D63" i="1"/>
  <c r="H63" i="1" a="1"/>
  <c r="H63" i="1" s="1"/>
  <c r="H67" i="1" a="1"/>
  <c r="H67" i="1" s="1"/>
  <c r="U67" i="1" a="1"/>
  <c r="U67" i="1" s="1"/>
  <c r="V67" i="1" a="1"/>
  <c r="V67" i="1" s="1"/>
  <c r="H71" i="1" a="1"/>
  <c r="H71" i="1" s="1"/>
  <c r="U71" i="1" a="1"/>
  <c r="U71" i="1" s="1"/>
  <c r="V71" i="1" a="1"/>
  <c r="V71" i="1" s="1"/>
  <c r="H78" i="1" a="1"/>
  <c r="H78" i="1" s="1"/>
  <c r="U78" i="1" a="1"/>
  <c r="U78" i="1" s="1"/>
  <c r="V78" i="1" a="1"/>
  <c r="V78" i="1" s="1"/>
  <c r="S91" i="1"/>
  <c r="U91" i="1"/>
  <c r="V91" i="1"/>
  <c r="M101" i="1"/>
  <c r="V101" i="1" a="1"/>
  <c r="V101" i="1" s="1"/>
  <c r="U101" i="1" a="1"/>
  <c r="U101" i="1" s="1"/>
  <c r="V106" i="1" a="1"/>
  <c r="V106" i="1" s="1"/>
  <c r="U106" i="1" a="1"/>
  <c r="U106" i="1" s="1"/>
  <c r="V115" i="1" a="1"/>
  <c r="V115" i="1" s="1"/>
  <c r="U115" i="1" a="1"/>
  <c r="U115" i="1" s="1"/>
  <c r="V120" i="1" a="1"/>
  <c r="V120" i="1" s="1"/>
  <c r="U120" i="1" a="1"/>
  <c r="U120" i="1" s="1"/>
  <c r="M127" i="1"/>
  <c r="U127" i="1" a="1"/>
  <c r="U127" i="1" s="1"/>
  <c r="V127" i="1" a="1"/>
  <c r="V127" i="1" s="1"/>
  <c r="U129" i="1" a="1"/>
  <c r="U129" i="1" s="1"/>
  <c r="V129" i="1" a="1"/>
  <c r="V129" i="1" s="1"/>
  <c r="U132" i="1" a="1"/>
  <c r="U132" i="1" s="1"/>
  <c r="V132" i="1" a="1"/>
  <c r="V132" i="1" s="1"/>
  <c r="M144" i="1"/>
  <c r="V144" i="1" a="1"/>
  <c r="V144" i="1" s="1"/>
  <c r="U144" i="1" a="1"/>
  <c r="U144" i="1" s="1"/>
  <c r="V152" i="1" a="1"/>
  <c r="V152" i="1" s="1"/>
  <c r="U152" i="1" a="1"/>
  <c r="U152" i="1" s="1"/>
  <c r="U184" i="1" a="1"/>
  <c r="U184" i="1" s="1"/>
  <c r="M190" i="1"/>
  <c r="U190" i="1" a="1"/>
  <c r="U190" i="1" s="1"/>
  <c r="U36" i="1" a="1"/>
  <c r="U36" i="1" s="1"/>
  <c r="U39" i="1" a="1"/>
  <c r="U39" i="1" s="1"/>
  <c r="U137" i="1" a="1"/>
  <c r="U137" i="1" s="1"/>
  <c r="V182" i="1" a="1"/>
  <c r="V182" i="1" s="1"/>
  <c r="V118" i="1" a="1"/>
  <c r="V118" i="1" s="1"/>
  <c r="V187" i="1" a="1"/>
  <c r="V187" i="1" s="1"/>
  <c r="V191" i="1" a="1"/>
  <c r="V191" i="1" s="1"/>
  <c r="T21" i="1" a="1"/>
  <c r="T21" i="1" s="1"/>
  <c r="I21" i="1" a="1"/>
  <c r="I21" i="1" s="1"/>
  <c r="V21" i="1" a="1"/>
  <c r="V21" i="1" s="1"/>
  <c r="V46" i="1" a="1"/>
  <c r="V46" i="1" s="1"/>
  <c r="I46" i="1" a="1"/>
  <c r="I46" i="1" s="1"/>
  <c r="T46" i="1" a="1"/>
  <c r="T46" i="1" s="1"/>
  <c r="U46" i="1" a="1"/>
  <c r="U46" i="1" s="1"/>
  <c r="M107" i="1"/>
  <c r="V107" i="1" a="1"/>
  <c r="V107" i="1" s="1"/>
  <c r="U107" i="1" a="1"/>
  <c r="U107" i="1" s="1"/>
  <c r="V26" i="1" a="1"/>
  <c r="V26" i="1" s="1"/>
  <c r="T26" i="1" a="1"/>
  <c r="T26" i="1" s="1"/>
  <c r="I26" i="1" a="1"/>
  <c r="I26" i="1" s="1"/>
  <c r="U26" i="1" a="1"/>
  <c r="U26" i="1" s="1"/>
  <c r="H73" i="1" a="1"/>
  <c r="H73" i="1" s="1"/>
  <c r="U73" i="1" a="1"/>
  <c r="U73" i="1" s="1"/>
  <c r="V73" i="1" a="1"/>
  <c r="V73" i="1" s="1"/>
  <c r="U100" i="1" a="1"/>
  <c r="U100" i="1" s="1"/>
  <c r="V100" i="1" a="1"/>
  <c r="V100" i="1" s="1"/>
  <c r="V108" i="1" a="1"/>
  <c r="V108" i="1" s="1"/>
  <c r="U108" i="1" a="1"/>
  <c r="U108" i="1" s="1"/>
  <c r="T13" i="1" a="1"/>
  <c r="T13" i="1" s="1"/>
  <c r="I13" i="1" a="1"/>
  <c r="I13" i="1" s="1"/>
  <c r="V13" i="1" a="1"/>
  <c r="V13" i="1" s="1"/>
  <c r="U13" i="1" a="1"/>
  <c r="U13" i="1" s="1"/>
  <c r="T20" i="1" a="1"/>
  <c r="T20" i="1" s="1"/>
  <c r="V20" i="1" a="1"/>
  <c r="V20" i="1" s="1"/>
  <c r="I20" i="1" a="1"/>
  <c r="I20" i="1" s="1"/>
  <c r="I38" i="1" a="1"/>
  <c r="I38" i="1" s="1"/>
  <c r="V38" i="1" a="1"/>
  <c r="V38" i="1" s="1"/>
  <c r="T38" i="1" a="1"/>
  <c r="T38" i="1" s="1"/>
  <c r="D48" i="1"/>
  <c r="T48" i="1" a="1"/>
  <c r="T48" i="1" s="1"/>
  <c r="V48" i="1" a="1"/>
  <c r="V48" i="1" s="1"/>
  <c r="I48" i="1" a="1"/>
  <c r="I48" i="1" s="1"/>
  <c r="U48" i="1" a="1"/>
  <c r="U48" i="1" s="1"/>
  <c r="D2" i="1"/>
  <c r="V2" i="1" a="1"/>
  <c r="V2" i="1" s="1"/>
  <c r="T2" i="1" a="1"/>
  <c r="T2" i="1" s="1"/>
  <c r="I2" i="1" a="1"/>
  <c r="I2" i="1" s="1"/>
  <c r="U2" i="1" a="1"/>
  <c r="U2" i="1" s="1"/>
  <c r="V6" i="1" a="1"/>
  <c r="V6" i="1" s="1"/>
  <c r="T6" i="1" a="1"/>
  <c r="T6" i="1" s="1"/>
  <c r="I6" i="1" a="1"/>
  <c r="I6" i="1" s="1"/>
  <c r="U6" i="1" a="1"/>
  <c r="U6" i="1" s="1"/>
  <c r="T24" i="1" a="1"/>
  <c r="T24" i="1" s="1"/>
  <c r="V24" i="1" a="1"/>
  <c r="V24" i="1" s="1"/>
  <c r="I24" i="1" a="1"/>
  <c r="I24" i="1" s="1"/>
  <c r="V31" i="1" a="1"/>
  <c r="V31" i="1" s="1"/>
  <c r="T31" i="1" a="1"/>
  <c r="T31" i="1" s="1"/>
  <c r="I31" i="1" a="1"/>
  <c r="I31" i="1" s="1"/>
  <c r="T42" i="1" a="1"/>
  <c r="T42" i="1" s="1"/>
  <c r="I42" i="1" a="1"/>
  <c r="I42" i="1" s="1"/>
  <c r="V42" i="1" a="1"/>
  <c r="V42" i="1" s="1"/>
  <c r="U42" i="1" a="1"/>
  <c r="U42" i="1" s="1"/>
  <c r="T86" i="1"/>
  <c r="V85" i="1"/>
  <c r="V84" i="1"/>
  <c r="V86" i="1"/>
  <c r="V83" i="1"/>
  <c r="U83" i="1"/>
  <c r="V87" i="1"/>
  <c r="U87" i="1"/>
  <c r="U86" i="1"/>
  <c r="U85" i="1"/>
  <c r="U84" i="1"/>
  <c r="V109" i="1" a="1"/>
  <c r="V109" i="1" s="1"/>
  <c r="U109" i="1" a="1"/>
  <c r="U109" i="1" s="1"/>
  <c r="U111" i="1" a="1"/>
  <c r="U111" i="1" s="1"/>
  <c r="V111" i="1" a="1"/>
  <c r="V111" i="1" s="1"/>
  <c r="M115" i="1"/>
  <c r="M120" i="1"/>
  <c r="V125" i="1" a="1"/>
  <c r="V125" i="1" s="1"/>
  <c r="U125" i="1" a="1"/>
  <c r="U125" i="1" s="1"/>
  <c r="M132" i="1"/>
  <c r="U134" i="1" a="1"/>
  <c r="U134" i="1" s="1"/>
  <c r="V134" i="1" a="1"/>
  <c r="V134" i="1" s="1"/>
  <c r="U142" i="1" a="1"/>
  <c r="U142" i="1" s="1"/>
  <c r="V142" i="1" a="1"/>
  <c r="V142" i="1" s="1"/>
  <c r="V147" i="1" a="1"/>
  <c r="V147" i="1" s="1"/>
  <c r="U147" i="1" a="1"/>
  <c r="U147" i="1" s="1"/>
  <c r="U158" i="1" a="1"/>
  <c r="U158" i="1" s="1"/>
  <c r="V158" i="1" a="1"/>
  <c r="V158" i="1" s="1"/>
  <c r="M163" i="1"/>
  <c r="U163" i="1" a="1"/>
  <c r="U163" i="1" s="1"/>
  <c r="M195" i="1"/>
  <c r="U195" i="1" a="1"/>
  <c r="U195" i="1" s="1"/>
  <c r="U15" i="1" a="1"/>
  <c r="U15" i="1" s="1"/>
  <c r="U29" i="1" a="1"/>
  <c r="U29" i="1" s="1"/>
  <c r="U59" i="1" a="1"/>
  <c r="U59" i="1" s="1"/>
  <c r="U138" i="1" a="1"/>
  <c r="U138" i="1" s="1"/>
  <c r="V186" i="1" a="1"/>
  <c r="V186" i="1" s="1"/>
  <c r="V123" i="1" a="1"/>
  <c r="V123" i="1" s="1"/>
  <c r="V188" i="1" a="1"/>
  <c r="V188" i="1" s="1"/>
  <c r="V163" i="1" a="1"/>
  <c r="V163" i="1" s="1"/>
  <c r="S137" i="1" a="1"/>
  <c r="S137" i="1" s="1"/>
  <c r="S136" i="1" a="1"/>
  <c r="S136" i="1" s="1"/>
  <c r="S138" i="1" a="1"/>
  <c r="S138" i="1" s="1"/>
  <c r="S99" i="1"/>
  <c r="S93" i="1"/>
  <c r="S98" i="1"/>
  <c r="BK21" i="2"/>
  <c r="T184" i="1" a="1"/>
  <c r="T184" i="1" s="1"/>
  <c r="T112" i="1" a="1"/>
  <c r="T112" i="1" s="1"/>
  <c r="T141" i="1" a="1"/>
  <c r="T141" i="1" s="1"/>
  <c r="T189" i="1" a="1"/>
  <c r="T189" i="1" s="1"/>
  <c r="T117" i="1" a="1"/>
  <c r="T117" i="1" s="1"/>
  <c r="T136" i="1" a="1"/>
  <c r="T136" i="1" s="1"/>
  <c r="T145" i="1" a="1"/>
  <c r="T145" i="1" s="1"/>
  <c r="T193" i="1" a="1"/>
  <c r="T193" i="1" s="1"/>
  <c r="T121" i="1" a="1"/>
  <c r="T121" i="1" s="1"/>
  <c r="T137" i="1" a="1"/>
  <c r="T137" i="1" s="1"/>
  <c r="T173" i="1" a="1"/>
  <c r="T173" i="1" s="1"/>
  <c r="T113" i="1" a="1"/>
  <c r="T113" i="1" s="1"/>
  <c r="T194" i="1" a="1"/>
  <c r="T194" i="1" s="1"/>
  <c r="T122" i="1" a="1"/>
  <c r="T122" i="1" s="1"/>
  <c r="T185" i="1" a="1"/>
  <c r="T185" i="1" s="1"/>
  <c r="T146" i="1" a="1"/>
  <c r="T146" i="1" s="1"/>
  <c r="T115" i="1" a="1"/>
  <c r="T115" i="1" s="1"/>
  <c r="T191" i="1" a="1"/>
  <c r="T191" i="1" s="1"/>
  <c r="T119" i="1" a="1"/>
  <c r="T119" i="1" s="1"/>
  <c r="T143" i="1" a="1"/>
  <c r="T143" i="1" s="1"/>
  <c r="T187" i="1" a="1"/>
  <c r="T187" i="1" s="1"/>
  <c r="T139" i="1" a="1"/>
  <c r="T139" i="1" s="1"/>
  <c r="T144" i="1" a="1"/>
  <c r="T144" i="1" s="1"/>
  <c r="T188" i="1" a="1"/>
  <c r="T188" i="1" s="1"/>
  <c r="T116" i="1" a="1"/>
  <c r="T116" i="1" s="1"/>
  <c r="T140" i="1" a="1"/>
  <c r="T140" i="1" s="1"/>
  <c r="T120" i="1" a="1"/>
  <c r="T120" i="1" s="1"/>
  <c r="T192" i="1" a="1"/>
  <c r="T192" i="1" s="1"/>
  <c r="T190" i="1" a="1"/>
  <c r="T190" i="1" s="1"/>
  <c r="T166" i="1" a="1"/>
  <c r="T166" i="1" s="1"/>
  <c r="T118" i="1" a="1"/>
  <c r="T118" i="1" s="1"/>
  <c r="T195" i="1" a="1"/>
  <c r="T195" i="1" s="1"/>
  <c r="T138" i="1" a="1"/>
  <c r="T138" i="1" s="1"/>
  <c r="T142" i="1" a="1"/>
  <c r="T142" i="1" s="1"/>
  <c r="T123" i="1" a="1"/>
  <c r="T123" i="1" s="1"/>
  <c r="T186" i="1" a="1"/>
  <c r="T186" i="1" s="1"/>
  <c r="T135" i="1" a="1"/>
  <c r="T135" i="1" s="1"/>
  <c r="T114" i="1" a="1"/>
  <c r="T114" i="1" s="1"/>
  <c r="T147" i="1" a="1"/>
  <c r="T147" i="1" s="1"/>
  <c r="T126" i="1" a="1"/>
  <c r="T126" i="1" s="1"/>
  <c r="T97" i="1"/>
  <c r="AW19" i="2"/>
  <c r="AW21" i="11"/>
  <c r="AW18" i="11"/>
  <c r="AW19" i="11"/>
  <c r="AW15" i="11"/>
  <c r="AW20" i="2"/>
  <c r="AW17" i="11"/>
  <c r="AW20" i="11"/>
  <c r="AW14" i="11"/>
  <c r="R160" i="1" a="1"/>
  <c r="R160" i="1" s="1"/>
  <c r="R172" i="1" a="1"/>
  <c r="R172" i="1" s="1"/>
  <c r="R136" i="1" a="1"/>
  <c r="R136" i="1" s="1"/>
  <c r="R137" i="1" a="1"/>
  <c r="R137" i="1" s="1"/>
  <c r="R161" i="1" a="1"/>
  <c r="R161" i="1" s="1"/>
  <c r="R173" i="1" a="1"/>
  <c r="R173" i="1" s="1"/>
  <c r="R162" i="1" a="1"/>
  <c r="R162" i="1" s="1"/>
  <c r="R138" i="1" a="1"/>
  <c r="R138" i="1" s="1"/>
  <c r="R174" i="1" a="1"/>
  <c r="R174" i="1" s="1"/>
  <c r="R150" i="1" a="1"/>
  <c r="R150" i="1" s="1"/>
  <c r="R98" i="1"/>
  <c r="AP20" i="11"/>
  <c r="AP18" i="2"/>
  <c r="O170" i="1" a="1"/>
  <c r="O170" i="1" s="1"/>
  <c r="O166" i="1" a="1"/>
  <c r="O166" i="1" s="1"/>
  <c r="P166" i="1" s="1"/>
  <c r="O167" i="1" a="1"/>
  <c r="O167" i="1" s="1"/>
  <c r="O171" i="1" a="1"/>
  <c r="O171" i="1" s="1"/>
  <c r="O169" i="1" a="1"/>
  <c r="O169" i="1" s="1"/>
  <c r="O165" i="1" a="1"/>
  <c r="O165" i="1" s="1"/>
  <c r="O163" i="1" a="1"/>
  <c r="O163" i="1" s="1"/>
  <c r="O162" i="1" a="1"/>
  <c r="O162" i="1" s="1"/>
  <c r="O168" i="1" a="1"/>
  <c r="O168" i="1" s="1"/>
  <c r="O164" i="1" a="1"/>
  <c r="O164" i="1" s="1"/>
  <c r="O160" i="1" a="1"/>
  <c r="O160" i="1" s="1"/>
  <c r="O161" i="1" a="1"/>
  <c r="O161" i="1" s="1"/>
  <c r="AI19" i="11"/>
  <c r="AI21" i="11"/>
  <c r="AI18" i="11"/>
  <c r="AI17" i="11"/>
  <c r="AI16" i="11"/>
  <c r="AI20" i="2"/>
  <c r="AI20" i="11"/>
  <c r="L136" i="1" a="1"/>
  <c r="L136" i="1" s="1"/>
  <c r="L160" i="1" a="1"/>
  <c r="L160" i="1" s="1"/>
  <c r="M136" i="1"/>
  <c r="M189" i="1"/>
  <c r="M181" i="1"/>
  <c r="M184" i="1"/>
  <c r="L161" i="1" a="1"/>
  <c r="L161" i="1" s="1"/>
  <c r="L137" i="1" a="1"/>
  <c r="L137" i="1" s="1"/>
  <c r="M141" i="1"/>
  <c r="M165" i="1"/>
  <c r="M145" i="1"/>
  <c r="M177" i="1"/>
  <c r="L162" i="1" a="1"/>
  <c r="L162" i="1" s="1"/>
  <c r="L138" i="1" a="1"/>
  <c r="L138" i="1" s="1"/>
  <c r="M106" i="1"/>
  <c r="M129" i="1"/>
  <c r="M160" i="1"/>
  <c r="M112" i="1"/>
  <c r="M133" i="1"/>
  <c r="M193" i="1"/>
  <c r="V55" i="1" a="1"/>
  <c r="V55" i="1" s="1"/>
  <c r="V54" i="1" a="1"/>
  <c r="V54" i="1" s="1"/>
  <c r="V57" i="1" a="1"/>
  <c r="V57" i="1" s="1"/>
  <c r="V56" i="1" a="1"/>
  <c r="V56" i="1" s="1"/>
  <c r="V61" i="1" a="1"/>
  <c r="V61" i="1" s="1"/>
  <c r="V60" i="1" a="1"/>
  <c r="V60" i="1" s="1"/>
  <c r="V51" i="1" a="1"/>
  <c r="V51" i="1" s="1"/>
  <c r="V50" i="1" a="1"/>
  <c r="V50" i="1" s="1"/>
  <c r="V63" i="1" a="1"/>
  <c r="V63" i="1" s="1"/>
  <c r="V62" i="1" a="1"/>
  <c r="V62" i="1" s="1"/>
  <c r="U57" i="1" a="1"/>
  <c r="U57" i="1" s="1"/>
  <c r="U56" i="1" a="1"/>
  <c r="U56" i="1" s="1"/>
  <c r="U54" i="1" a="1"/>
  <c r="U54" i="1" s="1"/>
  <c r="U55" i="1" a="1"/>
  <c r="U55" i="1" s="1"/>
  <c r="U50" i="1" a="1"/>
  <c r="U50" i="1" s="1"/>
  <c r="U51" i="1" a="1"/>
  <c r="U51" i="1" s="1"/>
  <c r="U61" i="1" a="1"/>
  <c r="U61" i="1" s="1"/>
  <c r="U60" i="1" a="1"/>
  <c r="U60" i="1" s="1"/>
  <c r="U62" i="1" a="1"/>
  <c r="U62" i="1" s="1"/>
  <c r="U63" i="1" a="1"/>
  <c r="U63" i="1" s="1"/>
  <c r="S140" i="1" a="1"/>
  <c r="S140" i="1" s="1"/>
  <c r="S163" i="1" a="1"/>
  <c r="S163" i="1" s="1"/>
  <c r="S142" i="1" a="1"/>
  <c r="S142" i="1" s="1"/>
  <c r="S176" i="1" a="1"/>
  <c r="S176" i="1" s="1"/>
  <c r="S165" i="1" a="1"/>
  <c r="S165" i="1" s="1"/>
  <c r="S139" i="1" a="1"/>
  <c r="S139" i="1" s="1"/>
  <c r="S130" i="1" a="1"/>
  <c r="S130" i="1" s="1"/>
  <c r="S141" i="1" a="1"/>
  <c r="S141" i="1" s="1"/>
  <c r="S175" i="1" a="1"/>
  <c r="S175" i="1" s="1"/>
  <c r="S177" i="1" a="1"/>
  <c r="S177" i="1" s="1"/>
  <c r="S179" i="1" a="1"/>
  <c r="S179" i="1" s="1"/>
  <c r="S170" i="1" a="1"/>
  <c r="S170" i="1" s="1"/>
  <c r="S134" i="1" a="1"/>
  <c r="S134" i="1" s="1"/>
  <c r="S143" i="1" a="1"/>
  <c r="S143" i="1" s="1"/>
  <c r="S181" i="1" a="1"/>
  <c r="S181" i="1" s="1"/>
  <c r="S145" i="1" a="1"/>
  <c r="S145" i="1" s="1"/>
  <c r="S182" i="1" a="1"/>
  <c r="S182" i="1" s="1"/>
  <c r="S183" i="1" a="1"/>
  <c r="S183" i="1" s="1"/>
  <c r="S147" i="1" a="1"/>
  <c r="S147" i="1" s="1"/>
  <c r="S133" i="1" a="1"/>
  <c r="S133" i="1" s="1"/>
  <c r="S144" i="1" a="1"/>
  <c r="S144" i="1" s="1"/>
  <c r="S146" i="1" a="1"/>
  <c r="S146" i="1" s="1"/>
  <c r="S132" i="1" a="1"/>
  <c r="S132" i="1" s="1"/>
  <c r="S169" i="1" a="1"/>
  <c r="S169" i="1" s="1"/>
  <c r="S168" i="1" a="1"/>
  <c r="S168" i="1" s="1"/>
  <c r="S192" i="1" a="1"/>
  <c r="S192" i="1" s="1"/>
  <c r="S135" i="1" a="1"/>
  <c r="S135" i="1" s="1"/>
  <c r="S89" i="1"/>
  <c r="S67" i="1" a="1"/>
  <c r="S67" i="1" s="1"/>
  <c r="S66" i="1" a="1"/>
  <c r="S66" i="1" s="1"/>
  <c r="S31" i="1" a="1"/>
  <c r="S31" i="1" s="1"/>
  <c r="S30" i="1" a="1"/>
  <c r="S30" i="1" s="1"/>
  <c r="S49" i="1" a="1"/>
  <c r="S49" i="1" s="1"/>
  <c r="S48" i="1" a="1"/>
  <c r="S48" i="1" s="1"/>
  <c r="S46" i="1" a="1"/>
  <c r="S46" i="1" s="1"/>
  <c r="S47" i="1" a="1"/>
  <c r="S47" i="1" s="1"/>
  <c r="AZ17" i="2"/>
  <c r="S25" i="1" a="1"/>
  <c r="S25" i="1" s="1"/>
  <c r="S24" i="1" a="1"/>
  <c r="S24" i="1" s="1"/>
  <c r="AX17" i="2"/>
  <c r="S19" i="1" a="1"/>
  <c r="S19" i="1" s="1"/>
  <c r="S18" i="1" a="1"/>
  <c r="S18" i="1" s="1"/>
  <c r="S6" i="1" a="1"/>
  <c r="S6" i="1" s="1"/>
  <c r="S7" i="1" a="1"/>
  <c r="S7" i="1" s="1"/>
  <c r="S33" i="1" a="1"/>
  <c r="S33" i="1" s="1"/>
  <c r="S32" i="1" a="1"/>
  <c r="S32" i="1" s="1"/>
  <c r="S21" i="1" a="1"/>
  <c r="S21" i="1" s="1"/>
  <c r="S20" i="1" a="1"/>
  <c r="S20" i="1" s="1"/>
  <c r="S27" i="1" a="1"/>
  <c r="S27" i="1" s="1"/>
  <c r="S26" i="1" a="1"/>
  <c r="S26" i="1" s="1"/>
  <c r="S41" i="1" a="1"/>
  <c r="S41" i="1" s="1"/>
  <c r="S40" i="1" a="1"/>
  <c r="S40" i="1" s="1"/>
  <c r="T69" i="1" a="1"/>
  <c r="T69" i="1" s="1"/>
  <c r="T68" i="1" a="1"/>
  <c r="T68" i="1" s="1"/>
  <c r="T80" i="1" a="1"/>
  <c r="T80" i="1" s="1"/>
  <c r="T81" i="1" a="1"/>
  <c r="T81" i="1" s="1"/>
  <c r="T67" i="1" a="1"/>
  <c r="T67" i="1" s="1"/>
  <c r="T66" i="1" a="1"/>
  <c r="T66" i="1" s="1"/>
  <c r="T71" i="1" a="1"/>
  <c r="T71" i="1" s="1"/>
  <c r="T70" i="1" a="1"/>
  <c r="T70" i="1" s="1"/>
  <c r="R163" i="1" a="1"/>
  <c r="R163" i="1" s="1"/>
  <c r="R175" i="1" a="1"/>
  <c r="R175" i="1" s="1"/>
  <c r="R177" i="1" a="1"/>
  <c r="R177" i="1" s="1"/>
  <c r="R142" i="1" a="1"/>
  <c r="R142" i="1" s="1"/>
  <c r="R140" i="1" a="1"/>
  <c r="R140" i="1" s="1"/>
  <c r="R166" i="1" a="1"/>
  <c r="R166" i="1" s="1"/>
  <c r="R153" i="1" a="1"/>
  <c r="R153" i="1" s="1"/>
  <c r="R178" i="1" a="1"/>
  <c r="R178" i="1" s="1"/>
  <c r="R141" i="1" a="1"/>
  <c r="R141" i="1" s="1"/>
  <c r="R139" i="1" a="1"/>
  <c r="R139" i="1" s="1"/>
  <c r="R164" i="1" a="1"/>
  <c r="R164" i="1" s="1"/>
  <c r="R176" i="1" a="1"/>
  <c r="R176" i="1" s="1"/>
  <c r="R165" i="1" a="1"/>
  <c r="R165" i="1" s="1"/>
  <c r="R183" i="1" a="1"/>
  <c r="R183" i="1" s="1"/>
  <c r="R181" i="1" a="1"/>
  <c r="R181" i="1" s="1"/>
  <c r="R170" i="1" a="1"/>
  <c r="R170" i="1" s="1"/>
  <c r="R169" i="1" a="1"/>
  <c r="R169" i="1" s="1"/>
  <c r="R168" i="1" a="1"/>
  <c r="R168" i="1" s="1"/>
  <c r="R179" i="1" a="1"/>
  <c r="R179" i="1" s="1"/>
  <c r="R146" i="1" a="1"/>
  <c r="R146" i="1" s="1"/>
  <c r="R144" i="1" a="1"/>
  <c r="R144" i="1" s="1"/>
  <c r="R182" i="1" a="1"/>
  <c r="R182" i="1" s="1"/>
  <c r="R171" i="1" a="1"/>
  <c r="R171" i="1" s="1"/>
  <c r="R123" i="1" a="1"/>
  <c r="R123" i="1" s="1"/>
  <c r="R180" i="1" a="1"/>
  <c r="R180" i="1" s="1"/>
  <c r="R158" i="1" a="1"/>
  <c r="R158" i="1" s="1"/>
  <c r="R167" i="1" a="1"/>
  <c r="R167" i="1" s="1"/>
  <c r="R147" i="1" a="1"/>
  <c r="R147" i="1" s="1"/>
  <c r="R145" i="1" a="1"/>
  <c r="R145" i="1" s="1"/>
  <c r="R143" i="1" a="1"/>
  <c r="R143" i="1" s="1"/>
  <c r="R111" i="1" a="1"/>
  <c r="R111" i="1" s="1"/>
  <c r="AR20" i="11"/>
  <c r="AR21" i="11"/>
  <c r="AR18" i="11"/>
  <c r="AR19" i="11"/>
  <c r="AU15" i="11"/>
  <c r="R67" i="1" a="1"/>
  <c r="R67" i="1" s="1"/>
  <c r="R66" i="1" a="1"/>
  <c r="R66" i="1" s="1"/>
  <c r="AR17" i="11"/>
  <c r="AR16" i="11"/>
  <c r="AU14" i="11"/>
  <c r="R22" i="1" a="1"/>
  <c r="R22" i="1" s="1"/>
  <c r="R23" i="1" a="1"/>
  <c r="R23" i="1" s="1"/>
  <c r="AS16" i="11"/>
  <c r="AT14" i="11"/>
  <c r="R20" i="1" a="1"/>
  <c r="R20" i="1" s="1"/>
  <c r="R21" i="1" a="1"/>
  <c r="R21" i="1" s="1"/>
  <c r="R25" i="1" a="1"/>
  <c r="R25" i="1" s="1"/>
  <c r="R24" i="1" a="1"/>
  <c r="R24" i="1" s="1"/>
  <c r="AQ20" i="11"/>
  <c r="AT20" i="11"/>
  <c r="AQ16" i="11"/>
  <c r="AS19" i="11"/>
  <c r="AS18" i="11"/>
  <c r="AS15" i="11"/>
  <c r="R38" i="1" a="1"/>
  <c r="R38" i="1" s="1"/>
  <c r="R39" i="1" a="1"/>
  <c r="R39" i="1" s="1"/>
  <c r="AS21" i="2"/>
  <c r="AS21" i="11"/>
  <c r="AS17" i="11"/>
  <c r="AQ14" i="11"/>
  <c r="AS20" i="2"/>
  <c r="AS14" i="11"/>
  <c r="AS20" i="11"/>
  <c r="R49" i="1" a="1"/>
  <c r="R49" i="1" s="1"/>
  <c r="R48" i="1" a="1"/>
  <c r="R48" i="1" s="1"/>
  <c r="AT19" i="11"/>
  <c r="AQ19" i="11"/>
  <c r="AT15" i="11"/>
  <c r="R6" i="1" a="1"/>
  <c r="R6" i="1" s="1"/>
  <c r="R7" i="1" a="1"/>
  <c r="R7" i="1" s="1"/>
  <c r="R46" i="1" a="1"/>
  <c r="R46" i="1" s="1"/>
  <c r="R47" i="1" a="1"/>
  <c r="R47" i="1" s="1"/>
  <c r="AT21" i="11"/>
  <c r="AT18" i="11"/>
  <c r="AQ21" i="11"/>
  <c r="AQ18" i="11"/>
  <c r="AQ15" i="11"/>
  <c r="AQ17" i="11"/>
  <c r="Q171" i="1" a="1"/>
  <c r="Q171" i="1" s="1"/>
  <c r="Q164" i="1" a="1"/>
  <c r="Q164" i="1" s="1"/>
  <c r="Q168" i="1" a="1"/>
  <c r="Q168" i="1" s="1"/>
  <c r="Q160" i="1" a="1"/>
  <c r="Q160" i="1" s="1"/>
  <c r="Q165" i="1" a="1"/>
  <c r="Q165" i="1" s="1"/>
  <c r="Q161" i="1" a="1"/>
  <c r="Q161" i="1" s="1"/>
  <c r="Q167" i="1" a="1"/>
  <c r="Q167" i="1" s="1"/>
  <c r="Q169" i="1" a="1"/>
  <c r="Q169" i="1" s="1"/>
  <c r="Q163" i="1" a="1"/>
  <c r="Q163" i="1" s="1"/>
  <c r="Q162" i="1" a="1"/>
  <c r="Q162" i="1" s="1"/>
  <c r="Q166" i="1" a="1"/>
  <c r="Q166" i="1" s="1"/>
  <c r="Q170" i="1" a="1"/>
  <c r="Q170" i="1" s="1"/>
  <c r="AP21" i="2"/>
  <c r="Q122" i="1" a="1"/>
  <c r="Q122" i="1" s="1"/>
  <c r="Q117" i="1" a="1"/>
  <c r="Q117" i="1" s="1"/>
  <c r="Q112" i="1" a="1"/>
  <c r="Q112" i="1" s="1"/>
  <c r="Q115" i="1" a="1"/>
  <c r="Q115" i="1" s="1"/>
  <c r="Q120" i="1" a="1"/>
  <c r="Q120" i="1" s="1"/>
  <c r="Q113" i="1" a="1"/>
  <c r="Q113" i="1" s="1"/>
  <c r="Q119" i="1" a="1"/>
  <c r="Q119" i="1" s="1"/>
  <c r="Q123" i="1" a="1"/>
  <c r="Q123" i="1" s="1"/>
  <c r="Q118" i="1" a="1"/>
  <c r="Q118" i="1" s="1"/>
  <c r="Q114" i="1" a="1"/>
  <c r="Q114" i="1" s="1"/>
  <c r="Q116" i="1" a="1"/>
  <c r="Q116" i="1" s="1"/>
  <c r="Q121" i="1" a="1"/>
  <c r="Q121" i="1" s="1"/>
  <c r="AP21" i="11"/>
  <c r="AP19" i="11"/>
  <c r="AP18" i="11"/>
  <c r="AP17" i="11"/>
  <c r="AP15" i="11"/>
  <c r="AK18" i="11"/>
  <c r="Q66" i="1" a="1"/>
  <c r="Q66" i="1" s="1"/>
  <c r="Q67" i="1" a="1"/>
  <c r="Q67" i="1" s="1"/>
  <c r="AN14" i="11"/>
  <c r="AN15" i="11"/>
  <c r="AK19" i="11"/>
  <c r="AK20" i="11"/>
  <c r="AK17" i="11"/>
  <c r="Q31" i="1" a="1"/>
  <c r="Q31" i="1" s="1"/>
  <c r="Q30" i="1" a="1"/>
  <c r="Q30" i="1" s="1"/>
  <c r="AL21" i="11"/>
  <c r="AL17" i="11"/>
  <c r="Q18" i="1" a="1"/>
  <c r="Q18" i="1" s="1"/>
  <c r="Q19" i="1" a="1"/>
  <c r="Q19" i="1" s="1"/>
  <c r="Q40" i="1" a="1"/>
  <c r="Q40" i="1" s="1"/>
  <c r="Q41" i="1" a="1"/>
  <c r="Q41" i="1" s="1"/>
  <c r="AL21" i="2"/>
  <c r="AL19" i="11"/>
  <c r="AL15" i="11"/>
  <c r="AL18" i="11"/>
  <c r="AL14" i="11"/>
  <c r="AL20" i="11"/>
  <c r="Q8" i="1" a="1"/>
  <c r="Q8" i="1" s="1"/>
  <c r="Q9" i="1" a="1"/>
  <c r="Q9" i="1" s="1"/>
  <c r="AJ16" i="11"/>
  <c r="AM16" i="11"/>
  <c r="AJ20" i="2"/>
  <c r="AM20" i="11"/>
  <c r="AJ20" i="11"/>
  <c r="AJ19" i="11"/>
  <c r="AM19" i="11"/>
  <c r="AJ17" i="11"/>
  <c r="AJ15" i="11"/>
  <c r="AM17" i="11"/>
  <c r="AM17" i="2"/>
  <c r="AJ18" i="11"/>
  <c r="AM21" i="11"/>
  <c r="AJ21" i="11"/>
  <c r="AM18" i="11"/>
  <c r="Q24" i="1" a="1"/>
  <c r="Q24" i="1" s="1"/>
  <c r="Q25" i="1" a="1"/>
  <c r="Q25" i="1" s="1"/>
  <c r="Q28" i="1" a="1"/>
  <c r="Q28" i="1" s="1"/>
  <c r="Q29" i="1" a="1"/>
  <c r="Q29" i="1" s="1"/>
  <c r="AL16" i="2"/>
  <c r="AL16" i="11"/>
  <c r="AJ14" i="11"/>
  <c r="L139" i="1" a="1"/>
  <c r="L139" i="1" s="1"/>
  <c r="L140" i="1" a="1"/>
  <c r="L140" i="1" s="1"/>
  <c r="L141" i="1" a="1"/>
  <c r="L141" i="1" s="1"/>
  <c r="L166" i="1" a="1"/>
  <c r="L166" i="1" s="1"/>
  <c r="L164" i="1" a="1"/>
  <c r="L164" i="1" s="1"/>
  <c r="L163" i="1" a="1"/>
  <c r="L163" i="1" s="1"/>
  <c r="L165" i="1" a="1"/>
  <c r="L165" i="1" s="1"/>
  <c r="L142" i="1" a="1"/>
  <c r="L142" i="1" s="1"/>
  <c r="N195" i="1" a="1"/>
  <c r="N195" i="1" s="1"/>
  <c r="L168" i="1" a="1"/>
  <c r="L168" i="1" s="1"/>
  <c r="L167" i="1" a="1"/>
  <c r="L167" i="1" s="1"/>
  <c r="L169" i="1" a="1"/>
  <c r="L169" i="1" s="1"/>
  <c r="L144" i="1" a="1"/>
  <c r="L144" i="1" s="1"/>
  <c r="L143" i="1" a="1"/>
  <c r="L143" i="1" s="1"/>
  <c r="L170" i="1" a="1"/>
  <c r="L170" i="1" s="1"/>
  <c r="L145" i="1" a="1"/>
  <c r="L145" i="1" s="1"/>
  <c r="L171" i="1" a="1"/>
  <c r="L171" i="1" s="1"/>
  <c r="L180" i="1" a="1"/>
  <c r="L180" i="1" s="1"/>
  <c r="L146" i="1" a="1"/>
  <c r="L146" i="1" s="1"/>
  <c r="L147" i="1" a="1"/>
  <c r="L147" i="1" s="1"/>
  <c r="L98" i="1"/>
  <c r="L83" i="1"/>
  <c r="L88" i="1"/>
  <c r="AD18" i="11"/>
  <c r="AD16" i="11"/>
  <c r="AD20" i="11"/>
  <c r="AD14" i="11"/>
  <c r="AD19" i="11"/>
  <c r="L67" i="1" a="1"/>
  <c r="L67" i="1" s="1"/>
  <c r="L66" i="1" a="1"/>
  <c r="L66" i="1" s="1"/>
  <c r="L26" i="1" a="1"/>
  <c r="L26" i="1" s="1"/>
  <c r="L27" i="1" a="1"/>
  <c r="L27" i="1" s="1"/>
  <c r="AE14" i="2"/>
  <c r="AE20" i="11"/>
  <c r="AE14" i="11"/>
  <c r="AE19" i="2"/>
  <c r="AE18" i="11"/>
  <c r="AE15" i="11"/>
  <c r="AE19" i="11"/>
  <c r="AF19" i="11"/>
  <c r="AC19" i="11"/>
  <c r="AF15" i="11"/>
  <c r="AF17" i="11"/>
  <c r="AC15" i="11"/>
  <c r="AE17" i="11"/>
  <c r="AE21" i="11"/>
  <c r="AC21" i="11"/>
  <c r="AF18" i="11"/>
  <c r="AF21" i="11"/>
  <c r="AC18" i="11"/>
  <c r="AE16" i="11"/>
  <c r="AC14" i="11"/>
  <c r="AF14" i="11"/>
  <c r="L46" i="1" a="1"/>
  <c r="L46" i="1" s="1"/>
  <c r="L47" i="1" a="1"/>
  <c r="L47" i="1" s="1"/>
  <c r="AC16" i="11"/>
  <c r="AF16" i="11"/>
  <c r="AF20" i="11"/>
  <c r="AC20" i="11"/>
  <c r="M143" i="1"/>
  <c r="D21" i="1"/>
  <c r="S86" i="1"/>
  <c r="R92" i="1"/>
  <c r="D123" i="1"/>
  <c r="D18" i="1"/>
  <c r="D66" i="1"/>
  <c r="K82" i="1"/>
  <c r="T82" i="1" s="1"/>
  <c r="Q87" i="1"/>
  <c r="T94" i="1"/>
  <c r="Q95" i="1"/>
  <c r="Q91" i="1"/>
  <c r="D22" i="1"/>
  <c r="D38" i="1"/>
  <c r="D13" i="1"/>
  <c r="D29" i="1"/>
  <c r="D45" i="1"/>
  <c r="D67" i="1"/>
  <c r="T84" i="1"/>
  <c r="D6" i="1"/>
  <c r="BF15" i="11"/>
  <c r="BF21" i="11"/>
  <c r="AY15" i="11"/>
  <c r="AY21" i="11"/>
  <c r="AK21" i="11"/>
  <c r="AK15" i="11"/>
  <c r="AD21" i="11"/>
  <c r="AR15" i="11"/>
  <c r="AD15" i="11"/>
  <c r="D73" i="1"/>
  <c r="M151" i="1"/>
  <c r="M155" i="1"/>
  <c r="M172" i="1"/>
  <c r="D186" i="1"/>
  <c r="AT16" i="2"/>
  <c r="BK16" i="2"/>
  <c r="T125" i="1" s="1" a="1"/>
  <c r="T125" i="1" s="1"/>
  <c r="AP16" i="2"/>
  <c r="D8" i="1"/>
  <c r="D16" i="1"/>
  <c r="D24" i="1"/>
  <c r="D32" i="1"/>
  <c r="D40" i="1"/>
  <c r="R95" i="1"/>
  <c r="M111" i="1"/>
  <c r="D117" i="1"/>
  <c r="M125" i="1"/>
  <c r="M130" i="1"/>
  <c r="D145" i="1"/>
  <c r="M148" i="1"/>
  <c r="D153" i="1"/>
  <c r="D158" i="1"/>
  <c r="M170" i="1"/>
  <c r="AA19" i="2"/>
  <c r="D27" i="1"/>
  <c r="D68" i="1"/>
  <c r="D77" i="1"/>
  <c r="S92" i="1"/>
  <c r="R96" i="1"/>
  <c r="D101" i="1"/>
  <c r="M105" i="1"/>
  <c r="M117" i="1"/>
  <c r="D140" i="1"/>
  <c r="M150" i="1"/>
  <c r="D160" i="1"/>
  <c r="M174" i="1"/>
  <c r="M183" i="1"/>
  <c r="AF16" i="2"/>
  <c r="D11" i="1"/>
  <c r="D35" i="1"/>
  <c r="BB15" i="2"/>
  <c r="D9" i="1"/>
  <c r="D17" i="1"/>
  <c r="D25" i="1"/>
  <c r="D33" i="1"/>
  <c r="D41" i="1"/>
  <c r="D49" i="1"/>
  <c r="D80" i="1"/>
  <c r="L93" i="1"/>
  <c r="T96" i="1"/>
  <c r="M122" i="1"/>
  <c r="M131" i="1"/>
  <c r="M157" i="1"/>
  <c r="M171" i="1"/>
  <c r="M176" i="1"/>
  <c r="AA16" i="2"/>
  <c r="BB21" i="2"/>
  <c r="AG20" i="2"/>
  <c r="D167" i="1"/>
  <c r="H20" i="2"/>
  <c r="AA20" i="2" s="1"/>
  <c r="D4" i="1"/>
  <c r="D12" i="1"/>
  <c r="D20" i="1"/>
  <c r="D28" i="1"/>
  <c r="D36" i="1"/>
  <c r="D44" i="1"/>
  <c r="D78" i="1"/>
  <c r="D81" i="1"/>
  <c r="M113" i="1"/>
  <c r="M124" i="1"/>
  <c r="M126" i="1"/>
  <c r="M147" i="1"/>
  <c r="M152" i="1"/>
  <c r="D154" i="1"/>
  <c r="D162" i="1"/>
  <c r="M169" i="1"/>
  <c r="BH15" i="2"/>
  <c r="BB18" i="2"/>
  <c r="D19" i="1"/>
  <c r="D43" i="1"/>
  <c r="M134" i="1"/>
  <c r="M142" i="1"/>
  <c r="S96" i="1"/>
  <c r="L95" i="1"/>
  <c r="T92" i="1"/>
  <c r="L96" i="1"/>
  <c r="R94" i="1"/>
  <c r="Q92" i="1"/>
  <c r="T95" i="1"/>
  <c r="L94" i="1"/>
  <c r="L92" i="1"/>
  <c r="S95" i="1"/>
  <c r="T93" i="1"/>
  <c r="S94" i="1"/>
  <c r="D103" i="1"/>
  <c r="D108" i="1"/>
  <c r="M118" i="1"/>
  <c r="M121" i="1"/>
  <c r="M149" i="1"/>
  <c r="M173" i="1"/>
  <c r="M180" i="1"/>
  <c r="M191" i="1"/>
  <c r="AA17" i="2"/>
  <c r="L91" i="1"/>
  <c r="T91" i="1"/>
  <c r="M116" i="1"/>
  <c r="D148" i="1"/>
  <c r="M156" i="1"/>
  <c r="M164" i="1"/>
  <c r="D170" i="1"/>
  <c r="AB15" i="2"/>
  <c r="BH16" i="2"/>
  <c r="R83" i="1"/>
  <c r="S85" i="1"/>
  <c r="T87" i="1"/>
  <c r="D195" i="1"/>
  <c r="AB14" i="2"/>
  <c r="AB18" i="2"/>
  <c r="P14" i="2"/>
  <c r="BE14" i="2"/>
  <c r="P15" i="2"/>
  <c r="Z16" i="2"/>
  <c r="AB21" i="2"/>
  <c r="AH21" i="2" s="1"/>
  <c r="AG21" i="2"/>
  <c r="AD21" i="2" s="1"/>
  <c r="AI16" i="2"/>
  <c r="L125" i="1" s="1" a="1"/>
  <c r="L125" i="1" s="1"/>
  <c r="Q93" i="1"/>
  <c r="AP15" i="2"/>
  <c r="AU16" i="2"/>
  <c r="R87" i="1"/>
  <c r="BA16" i="2"/>
  <c r="S84" i="1"/>
  <c r="S83" i="1"/>
  <c r="T85" i="1"/>
  <c r="M100" i="1"/>
  <c r="M109" i="1"/>
  <c r="M140" i="1"/>
  <c r="D144" i="1"/>
  <c r="M158" i="1"/>
  <c r="D178" i="1"/>
  <c r="D185" i="1"/>
  <c r="M187" i="1"/>
  <c r="D194" i="1"/>
  <c r="U15" i="2"/>
  <c r="W15" i="2" s="1"/>
  <c r="AI17" i="2"/>
  <c r="L172" i="1" s="1" a="1"/>
  <c r="L172" i="1" s="1"/>
  <c r="BA17" i="2"/>
  <c r="AC18" i="2"/>
  <c r="AG18" i="2"/>
  <c r="L86" i="1"/>
  <c r="Q94" i="1"/>
  <c r="AU17" i="2"/>
  <c r="R91" i="1"/>
  <c r="BD14" i="2"/>
  <c r="S103" i="1" s="1" a="1"/>
  <c r="S103" i="1" s="1"/>
  <c r="L84" i="1"/>
  <c r="Q86" i="1"/>
  <c r="M153" i="1"/>
  <c r="M159" i="1"/>
  <c r="M161" i="1"/>
  <c r="AB16" i="2"/>
  <c r="AH16" i="2" s="1"/>
  <c r="AD16" i="2" s="1"/>
  <c r="AB20" i="2"/>
  <c r="AT14" i="2"/>
  <c r="AC16" i="2"/>
  <c r="BD16" i="2"/>
  <c r="AJ17" i="2"/>
  <c r="AG16" i="2"/>
  <c r="L87" i="1"/>
  <c r="AT15" i="2"/>
  <c r="AU20" i="2"/>
  <c r="AX21" i="2"/>
  <c r="T83" i="1"/>
  <c r="AW14" i="2"/>
  <c r="R105" i="1" s="1" a="1"/>
  <c r="R105" i="1" s="1"/>
  <c r="BA15" i="2"/>
  <c r="BE16" i="2"/>
  <c r="BE17" i="2"/>
  <c r="AG17" i="2"/>
  <c r="AN21" i="2"/>
  <c r="R93" i="1"/>
  <c r="AN18" i="2"/>
  <c r="L85" i="1"/>
  <c r="AF14" i="2"/>
  <c r="U16" i="2"/>
  <c r="W16" i="2" s="1"/>
  <c r="AP17" i="2"/>
  <c r="AM20" i="2"/>
  <c r="AN16" i="2"/>
  <c r="R84" i="1"/>
  <c r="AI18" i="2"/>
  <c r="L115" i="1" s="1" a="1"/>
  <c r="L115" i="1" s="1"/>
  <c r="AP20" i="2"/>
  <c r="AU21" i="2"/>
  <c r="AW16" i="2"/>
  <c r="R135" i="1" s="1" a="1"/>
  <c r="R135" i="1" s="1"/>
  <c r="AM15" i="2"/>
  <c r="Z17" i="2"/>
  <c r="AN20" i="2"/>
  <c r="AU18" i="2"/>
  <c r="BK17" i="2"/>
  <c r="T177" i="1" s="1" a="1"/>
  <c r="T177" i="1" s="1"/>
  <c r="BK15" i="2"/>
  <c r="T157" i="1" s="1" a="1"/>
  <c r="T157" i="1" s="1"/>
  <c r="BK19" i="2"/>
  <c r="T165" i="1" s="1" a="1"/>
  <c r="T165" i="1" s="1"/>
  <c r="BD17" i="2"/>
  <c r="BD19" i="2"/>
  <c r="BD21" i="2"/>
  <c r="BD18" i="2"/>
  <c r="S121" i="1" s="1" a="1"/>
  <c r="S121" i="1" s="1"/>
  <c r="AJ16" i="2"/>
  <c r="AM21" i="2"/>
  <c r="AM16" i="2"/>
  <c r="AJ15" i="2"/>
  <c r="AL18" i="2"/>
  <c r="AL15" i="2"/>
  <c r="P162" i="1"/>
  <c r="P167" i="1"/>
  <c r="AI21" i="2"/>
  <c r="L195" i="1" s="1" a="1"/>
  <c r="L195" i="1" s="1"/>
  <c r="AE21" i="2"/>
  <c r="AE15" i="2"/>
  <c r="AF19" i="2"/>
  <c r="AE18" i="2"/>
  <c r="AF21" i="2"/>
  <c r="AC21" i="2"/>
  <c r="AF18" i="2"/>
  <c r="AP14" i="2"/>
  <c r="Q83" i="1"/>
  <c r="AN15" i="2"/>
  <c r="AN19" i="2"/>
  <c r="AJ18" i="2"/>
  <c r="AJ21" i="2"/>
  <c r="AM18" i="2"/>
  <c r="T88" i="1"/>
  <c r="AZ18" i="2"/>
  <c r="AX19" i="2"/>
  <c r="BA18" i="2"/>
  <c r="AX16" i="2"/>
  <c r="AX20" i="2"/>
  <c r="AW15" i="2"/>
  <c r="R155" i="1" s="1" a="1"/>
  <c r="R155" i="1" s="1"/>
  <c r="R90" i="1"/>
  <c r="AQ21" i="2"/>
  <c r="AW18" i="2"/>
  <c r="R113" i="1" s="1" a="1"/>
  <c r="R113" i="1" s="1"/>
  <c r="AW21" i="2"/>
  <c r="R184" i="1" s="1" a="1"/>
  <c r="R184" i="1" s="1"/>
  <c r="AU15" i="2"/>
  <c r="AU19" i="2"/>
  <c r="AS14" i="2"/>
  <c r="AQ14" i="2"/>
  <c r="AQ17" i="2"/>
  <c r="AS17" i="2"/>
  <c r="AQ19" i="2"/>
  <c r="AT17" i="2"/>
  <c r="AQ15" i="2"/>
  <c r="AQ16" i="2"/>
  <c r="AT19" i="2"/>
  <c r="AS16" i="2"/>
  <c r="AQ20" i="2"/>
  <c r="N105" i="1" a="1"/>
  <c r="N105" i="1" s="1"/>
  <c r="N129" i="1" a="1"/>
  <c r="N129" i="1" s="1"/>
  <c r="N153" i="1" a="1"/>
  <c r="N153" i="1" s="1"/>
  <c r="N177" i="1" a="1"/>
  <c r="N177" i="1" s="1"/>
  <c r="N116" i="1" a="1"/>
  <c r="N116" i="1" s="1"/>
  <c r="N140" i="1" a="1"/>
  <c r="N140" i="1" s="1"/>
  <c r="N164" i="1" a="1"/>
  <c r="N164" i="1" s="1"/>
  <c r="N188" i="1" a="1"/>
  <c r="N188" i="1" s="1"/>
  <c r="N106" i="1" a="1"/>
  <c r="N106" i="1" s="1"/>
  <c r="N130" i="1" a="1"/>
  <c r="N130" i="1" s="1"/>
  <c r="N154" i="1" a="1"/>
  <c r="N154" i="1" s="1"/>
  <c r="N178" i="1" a="1"/>
  <c r="N178" i="1" s="1"/>
  <c r="N117" i="1" a="1"/>
  <c r="N117" i="1" s="1"/>
  <c r="N141" i="1" a="1"/>
  <c r="N141" i="1" s="1"/>
  <c r="N165" i="1" a="1"/>
  <c r="N165" i="1" s="1"/>
  <c r="N189" i="1" a="1"/>
  <c r="N189" i="1" s="1"/>
  <c r="N115" i="1" a="1"/>
  <c r="N115" i="1" s="1"/>
  <c r="N139" i="1" a="1"/>
  <c r="N139" i="1" s="1"/>
  <c r="N163" i="1" a="1"/>
  <c r="N163" i="1" s="1"/>
  <c r="N187" i="1" a="1"/>
  <c r="N187" i="1" s="1"/>
  <c r="AG15" i="2"/>
  <c r="AG19" i="2"/>
  <c r="AC17" i="2"/>
  <c r="AC15" i="2"/>
  <c r="AE17" i="2"/>
  <c r="AC20" i="2"/>
  <c r="AC14" i="2"/>
  <c r="AF17" i="2"/>
  <c r="AE20" i="2"/>
  <c r="AF15" i="2"/>
  <c r="AC19" i="2"/>
  <c r="AH14" i="2"/>
  <c r="AD14" i="2" s="1"/>
  <c r="AO14" i="2"/>
  <c r="AK14" i="2" s="1"/>
  <c r="AV14" i="2"/>
  <c r="AR14" i="2" s="1"/>
  <c r="X14" i="2"/>
  <c r="BC14" i="2"/>
  <c r="AY14" i="2" s="1"/>
  <c r="BJ14" i="2"/>
  <c r="BF14" i="2" s="1"/>
  <c r="AH15" i="2"/>
  <c r="AO15" i="2"/>
  <c r="AV15" i="2"/>
  <c r="X15" i="2"/>
  <c r="BC15" i="2"/>
  <c r="BJ16" i="2"/>
  <c r="AV16" i="2"/>
  <c r="AV20" i="2"/>
  <c r="X20" i="2"/>
  <c r="BC20" i="2"/>
  <c r="BJ20" i="2"/>
  <c r="AH20" i="2"/>
  <c r="AO20" i="2"/>
  <c r="BC16" i="2"/>
  <c r="AH18" i="2"/>
  <c r="AO18" i="2"/>
  <c r="AK18" i="2" s="1"/>
  <c r="AV18" i="2"/>
  <c r="AR18" i="2" s="1"/>
  <c r="X18" i="2"/>
  <c r="BC18" i="2"/>
  <c r="BJ18" i="2"/>
  <c r="BF18" i="2" s="1"/>
  <c r="AH19" i="2"/>
  <c r="AO19" i="2"/>
  <c r="AV19" i="2"/>
  <c r="X19" i="2"/>
  <c r="BC19" i="2"/>
  <c r="BJ19" i="2"/>
  <c r="BJ15" i="2"/>
  <c r="BF15" i="2" s="1"/>
  <c r="BC17" i="2"/>
  <c r="BJ17" i="2"/>
  <c r="AH17" i="2"/>
  <c r="AO17" i="2"/>
  <c r="AV17" i="2"/>
  <c r="AR17" i="2" s="1"/>
  <c r="X17" i="2"/>
  <c r="BJ21" i="2"/>
  <c r="BF21" i="2" s="1"/>
  <c r="BC21" i="2"/>
  <c r="X21" i="2"/>
  <c r="AV21" i="2"/>
  <c r="AR21" i="2" s="1"/>
  <c r="AO21" i="2"/>
  <c r="L178" i="1" l="1" a="1"/>
  <c r="L178" i="1" s="1"/>
  <c r="L173" i="1" a="1"/>
  <c r="L173" i="1" s="1"/>
  <c r="L188" i="1" a="1"/>
  <c r="L188" i="1" s="1"/>
  <c r="L114" i="1" a="1"/>
  <c r="L114" i="1" s="1"/>
  <c r="L127" i="1" a="1"/>
  <c r="L127" i="1" s="1"/>
  <c r="L119" i="1" a="1"/>
  <c r="L119" i="1" s="1"/>
  <c r="L181" i="1" a="1"/>
  <c r="L181" i="1" s="1"/>
  <c r="L128" i="1" a="1"/>
  <c r="L128" i="1" s="1"/>
  <c r="L179" i="1" a="1"/>
  <c r="L179" i="1" s="1"/>
  <c r="P168" i="1"/>
  <c r="P161" i="1"/>
  <c r="Q82" i="1"/>
  <c r="L82" i="1"/>
  <c r="P169" i="1"/>
  <c r="P160" i="1"/>
  <c r="P170" i="1"/>
  <c r="R82" i="1"/>
  <c r="V82" i="1"/>
  <c r="U82" i="1"/>
  <c r="S82" i="1"/>
  <c r="S185" i="1" a="1"/>
  <c r="S185" i="1" s="1"/>
  <c r="S184" i="1" a="1"/>
  <c r="S184" i="1" s="1"/>
  <c r="S186" i="1" a="1"/>
  <c r="S186" i="1" s="1"/>
  <c r="S111" i="1" a="1"/>
  <c r="S111" i="1" s="1"/>
  <c r="S193" i="1" a="1"/>
  <c r="S193" i="1" s="1"/>
  <c r="S187" i="1" a="1"/>
  <c r="S187" i="1" s="1"/>
  <c r="S161" i="1" a="1"/>
  <c r="S161" i="1" s="1"/>
  <c r="S160" i="1" a="1"/>
  <c r="S160" i="1" s="1"/>
  <c r="S162" i="1" a="1"/>
  <c r="S162" i="1" s="1"/>
  <c r="S171" i="1" a="1"/>
  <c r="S171" i="1" s="1"/>
  <c r="S109" i="1" a="1"/>
  <c r="S109" i="1" s="1"/>
  <c r="S164" i="1" a="1"/>
  <c r="S164" i="1" s="1"/>
  <c r="S117" i="1" a="1"/>
  <c r="S117" i="1" s="1"/>
  <c r="S174" i="1" a="1"/>
  <c r="S174" i="1" s="1"/>
  <c r="S173" i="1" a="1"/>
  <c r="S173" i="1" s="1"/>
  <c r="S172" i="1" a="1"/>
  <c r="S172" i="1" s="1"/>
  <c r="S180" i="1" a="1"/>
  <c r="S180" i="1" s="1"/>
  <c r="S167" i="1" a="1"/>
  <c r="S167" i="1" s="1"/>
  <c r="S191" i="1" a="1"/>
  <c r="S191" i="1" s="1"/>
  <c r="S118" i="1" a="1"/>
  <c r="S118" i="1" s="1"/>
  <c r="S116" i="1" a="1"/>
  <c r="S116" i="1" s="1"/>
  <c r="S125" i="1" a="1"/>
  <c r="S125" i="1" s="1"/>
  <c r="S126" i="1" a="1"/>
  <c r="S126" i="1" s="1"/>
  <c r="S124" i="1" a="1"/>
  <c r="S124" i="1" s="1"/>
  <c r="S107" i="1" a="1"/>
  <c r="S107" i="1" s="1"/>
  <c r="S194" i="1" a="1"/>
  <c r="S194" i="1" s="1"/>
  <c r="S131" i="1" a="1"/>
  <c r="S131" i="1" s="1"/>
  <c r="S102" i="1" a="1"/>
  <c r="S102" i="1" s="1"/>
  <c r="S100" i="1" a="1"/>
  <c r="S100" i="1" s="1"/>
  <c r="S101" i="1" a="1"/>
  <c r="S101" i="1" s="1"/>
  <c r="S110" i="1" a="1"/>
  <c r="S110" i="1" s="1"/>
  <c r="S104" i="1" a="1"/>
  <c r="S104" i="1" s="1"/>
  <c r="S108" i="1" a="1"/>
  <c r="S108" i="1" s="1"/>
  <c r="S178" i="1" a="1"/>
  <c r="S178" i="1" s="1"/>
  <c r="S105" i="1" a="1"/>
  <c r="S105" i="1" s="1"/>
  <c r="S166" i="1" a="1"/>
  <c r="S166" i="1" s="1"/>
  <c r="S189" i="1" a="1"/>
  <c r="S189" i="1" s="1"/>
  <c r="S112" i="1" a="1"/>
  <c r="S112" i="1" s="1"/>
  <c r="S114" i="1" a="1"/>
  <c r="S114" i="1" s="1"/>
  <c r="S113" i="1" a="1"/>
  <c r="S113" i="1" s="1"/>
  <c r="S188" i="1" a="1"/>
  <c r="S188" i="1" s="1"/>
  <c r="S195" i="1" a="1"/>
  <c r="S195" i="1" s="1"/>
  <c r="S123" i="1" a="1"/>
  <c r="S123" i="1" s="1"/>
  <c r="S119" i="1" a="1"/>
  <c r="S119" i="1" s="1"/>
  <c r="S122" i="1" a="1"/>
  <c r="S122" i="1" s="1"/>
  <c r="S120" i="1" a="1"/>
  <c r="S120" i="1" s="1"/>
  <c r="S106" i="1" a="1"/>
  <c r="S106" i="1" s="1"/>
  <c r="S127" i="1" a="1"/>
  <c r="S127" i="1" s="1"/>
  <c r="S190" i="1" a="1"/>
  <c r="S190" i="1" s="1"/>
  <c r="S129" i="1" a="1"/>
  <c r="S129" i="1" s="1"/>
  <c r="S128" i="1" a="1"/>
  <c r="S128" i="1" s="1"/>
  <c r="S115" i="1" a="1"/>
  <c r="S115" i="1" s="1"/>
  <c r="T178" i="1" a="1"/>
  <c r="T178" i="1" s="1"/>
  <c r="T168" i="1" a="1"/>
  <c r="T168" i="1" s="1"/>
  <c r="T134" i="1" a="1"/>
  <c r="T134" i="1" s="1"/>
  <c r="T170" i="1" a="1"/>
  <c r="T170" i="1" s="1"/>
  <c r="T148" i="1" a="1"/>
  <c r="T148" i="1" s="1"/>
  <c r="T133" i="1" a="1"/>
  <c r="T133" i="1" s="1"/>
  <c r="T162" i="1" a="1"/>
  <c r="T162" i="1" s="1"/>
  <c r="T150" i="1" a="1"/>
  <c r="T150" i="1" s="1"/>
  <c r="T167" i="1" a="1"/>
  <c r="T167" i="1" s="1"/>
  <c r="T158" i="1" a="1"/>
  <c r="T158" i="1" s="1"/>
  <c r="T182" i="1" a="1"/>
  <c r="T182" i="1" s="1"/>
  <c r="T149" i="1" a="1"/>
  <c r="T149" i="1" s="1"/>
  <c r="T159" i="1" a="1"/>
  <c r="T159" i="1" s="1"/>
  <c r="T180" i="1" a="1"/>
  <c r="T180" i="1" s="1"/>
  <c r="T132" i="1" a="1"/>
  <c r="T132" i="1" s="1"/>
  <c r="T151" i="1" a="1"/>
  <c r="T151" i="1" s="1"/>
  <c r="T163" i="1" a="1"/>
  <c r="T163" i="1" s="1"/>
  <c r="T131" i="1" a="1"/>
  <c r="T131" i="1" s="1"/>
  <c r="T129" i="1" a="1"/>
  <c r="T129" i="1" s="1"/>
  <c r="T172" i="1" a="1"/>
  <c r="T172" i="1" s="1"/>
  <c r="T174" i="1" a="1"/>
  <c r="T174" i="1" s="1"/>
  <c r="T183" i="1" a="1"/>
  <c r="T183" i="1" s="1"/>
  <c r="T130" i="1" a="1"/>
  <c r="T130" i="1" s="1"/>
  <c r="T128" i="1" a="1"/>
  <c r="T128" i="1" s="1"/>
  <c r="T155" i="1" a="1"/>
  <c r="T155" i="1" s="1"/>
  <c r="T169" i="1" a="1"/>
  <c r="T169" i="1" s="1"/>
  <c r="T124" i="1" a="1"/>
  <c r="T124" i="1" s="1"/>
  <c r="T154" i="1" a="1"/>
  <c r="T154" i="1" s="1"/>
  <c r="T171" i="1" a="1"/>
  <c r="T171" i="1" s="1"/>
  <c r="T164" i="1" a="1"/>
  <c r="T164" i="1" s="1"/>
  <c r="T152" i="1" a="1"/>
  <c r="T152" i="1" s="1"/>
  <c r="T161" i="1" a="1"/>
  <c r="T161" i="1" s="1"/>
  <c r="T181" i="1" a="1"/>
  <c r="T181" i="1" s="1"/>
  <c r="T153" i="1" a="1"/>
  <c r="T153" i="1" s="1"/>
  <c r="T160" i="1" a="1"/>
  <c r="T160" i="1" s="1"/>
  <c r="T175" i="1" a="1"/>
  <c r="T175" i="1" s="1"/>
  <c r="T156" i="1" a="1"/>
  <c r="T156" i="1" s="1"/>
  <c r="T176" i="1" a="1"/>
  <c r="T176" i="1" s="1"/>
  <c r="T179" i="1" a="1"/>
  <c r="T179" i="1" s="1"/>
  <c r="T127" i="1" a="1"/>
  <c r="T127" i="1" s="1"/>
  <c r="R126" i="1" a="1"/>
  <c r="R126" i="1" s="1"/>
  <c r="R159" i="1" a="1"/>
  <c r="R159" i="1" s="1"/>
  <c r="R194" i="1" a="1"/>
  <c r="R194" i="1" s="1"/>
  <c r="R120" i="1" a="1"/>
  <c r="R120" i="1" s="1"/>
  <c r="R154" i="1" a="1"/>
  <c r="R154" i="1" s="1"/>
  <c r="R106" i="1" a="1"/>
  <c r="R106" i="1" s="1"/>
  <c r="R152" i="1" a="1"/>
  <c r="R152" i="1" s="1"/>
  <c r="R116" i="1" a="1"/>
  <c r="R116" i="1" s="1"/>
  <c r="R186" i="1" a="1"/>
  <c r="R186" i="1" s="1"/>
  <c r="R185" i="1" a="1"/>
  <c r="R185" i="1" s="1"/>
  <c r="R101" i="1" a="1"/>
  <c r="R101" i="1" s="1"/>
  <c r="R100" i="1" a="1"/>
  <c r="R100" i="1" s="1"/>
  <c r="R124" i="1" a="1"/>
  <c r="R124" i="1" s="1"/>
  <c r="R119" i="1" a="1"/>
  <c r="R119" i="1" s="1"/>
  <c r="R117" i="1" a="1"/>
  <c r="R117" i="1" s="1"/>
  <c r="R107" i="1" a="1"/>
  <c r="R107" i="1" s="1"/>
  <c r="R125" i="1" a="1"/>
  <c r="R125" i="1" s="1"/>
  <c r="R109" i="1" a="1"/>
  <c r="R109" i="1" s="1"/>
  <c r="R108" i="1" a="1"/>
  <c r="R108" i="1" s="1"/>
  <c r="R122" i="1" a="1"/>
  <c r="R122" i="1" s="1"/>
  <c r="R129" i="1" a="1"/>
  <c r="R129" i="1" s="1"/>
  <c r="R128" i="1" a="1"/>
  <c r="R128" i="1" s="1"/>
  <c r="R151" i="1" a="1"/>
  <c r="R151" i="1" s="1"/>
  <c r="R104" i="1" a="1"/>
  <c r="R104" i="1" s="1"/>
  <c r="R112" i="1" a="1"/>
  <c r="R112" i="1" s="1"/>
  <c r="R192" i="1" a="1"/>
  <c r="R192" i="1" s="1"/>
  <c r="R193" i="1" a="1"/>
  <c r="R193" i="1" s="1"/>
  <c r="R127" i="1" a="1"/>
  <c r="R127" i="1" s="1"/>
  <c r="R195" i="1" a="1"/>
  <c r="R195" i="1" s="1"/>
  <c r="R103" i="1" a="1"/>
  <c r="R103" i="1" s="1"/>
  <c r="R132" i="1" a="1"/>
  <c r="R132" i="1" s="1"/>
  <c r="R157" i="1" a="1"/>
  <c r="R157" i="1" s="1"/>
  <c r="R115" i="1" a="1"/>
  <c r="R115" i="1" s="1"/>
  <c r="R130" i="1" a="1"/>
  <c r="R130" i="1" s="1"/>
  <c r="R187" i="1" a="1"/>
  <c r="R187" i="1" s="1"/>
  <c r="R118" i="1" a="1"/>
  <c r="R118" i="1" s="1"/>
  <c r="R114" i="1" a="1"/>
  <c r="R114" i="1" s="1"/>
  <c r="R102" i="1" a="1"/>
  <c r="R102" i="1" s="1"/>
  <c r="R148" i="1" a="1"/>
  <c r="R148" i="1" s="1"/>
  <c r="R110" i="1" a="1"/>
  <c r="R110" i="1" s="1"/>
  <c r="R134" i="1" a="1"/>
  <c r="R134" i="1" s="1"/>
  <c r="R188" i="1" a="1"/>
  <c r="R188" i="1" s="1"/>
  <c r="R189" i="1" a="1"/>
  <c r="R189" i="1" s="1"/>
  <c r="R149" i="1" a="1"/>
  <c r="R149" i="1" s="1"/>
  <c r="R131" i="1" a="1"/>
  <c r="R131" i="1" s="1"/>
  <c r="R191" i="1" a="1"/>
  <c r="R191" i="1" s="1"/>
  <c r="R156" i="1" a="1"/>
  <c r="R156" i="1" s="1"/>
  <c r="R133" i="1" a="1"/>
  <c r="R133" i="1" s="1"/>
  <c r="R121" i="1" a="1"/>
  <c r="R121" i="1" s="1"/>
  <c r="R190" i="1" a="1"/>
  <c r="R190" i="1" s="1"/>
  <c r="O195" i="1" a="1"/>
  <c r="O195" i="1" s="1"/>
  <c r="O191" i="1" a="1"/>
  <c r="O191" i="1" s="1"/>
  <c r="O187" i="1" a="1"/>
  <c r="O187" i="1" s="1"/>
  <c r="O185" i="1" a="1"/>
  <c r="O185" i="1" s="1"/>
  <c r="P185" i="1" s="1"/>
  <c r="O194" i="1" a="1"/>
  <c r="O194" i="1" s="1"/>
  <c r="P194" i="1" s="1"/>
  <c r="O190" i="1" a="1"/>
  <c r="O190" i="1" s="1"/>
  <c r="P190" i="1" s="1"/>
  <c r="O193" i="1" a="1"/>
  <c r="O193" i="1" s="1"/>
  <c r="P193" i="1" s="1"/>
  <c r="O189" i="1" a="1"/>
  <c r="O189" i="1" s="1"/>
  <c r="P189" i="1" s="1"/>
  <c r="O186" i="1" a="1"/>
  <c r="O186" i="1" s="1"/>
  <c r="O188" i="1" a="1"/>
  <c r="O188" i="1" s="1"/>
  <c r="O184" i="1" a="1"/>
  <c r="O184" i="1" s="1"/>
  <c r="P184" i="1" s="1"/>
  <c r="O192" i="1" a="1"/>
  <c r="O192" i="1" s="1"/>
  <c r="P192" i="1" s="1"/>
  <c r="L183" i="1" a="1"/>
  <c r="L183" i="1" s="1"/>
  <c r="L190" i="1" a="1"/>
  <c r="L190" i="1" s="1"/>
  <c r="L184" i="1" a="1"/>
  <c r="L184" i="1" s="1"/>
  <c r="L131" i="1" a="1"/>
  <c r="L131" i="1" s="1"/>
  <c r="L193" i="1" a="1"/>
  <c r="L193" i="1" s="1"/>
  <c r="L191" i="1" a="1"/>
  <c r="L191" i="1" s="1"/>
  <c r="L122" i="1" a="1"/>
  <c r="L122" i="1" s="1"/>
  <c r="L182" i="1" a="1"/>
  <c r="L182" i="1" s="1"/>
  <c r="L118" i="1" a="1"/>
  <c r="L118" i="1" s="1"/>
  <c r="L177" i="1" a="1"/>
  <c r="L177" i="1" s="1"/>
  <c r="L124" i="1" a="1"/>
  <c r="L124" i="1" s="1"/>
  <c r="L192" i="1" a="1"/>
  <c r="L192" i="1" s="1"/>
  <c r="L116" i="1" a="1"/>
  <c r="L116" i="1" s="1"/>
  <c r="L130" i="1" a="1"/>
  <c r="L130" i="1" s="1"/>
  <c r="L175" i="1" a="1"/>
  <c r="L175" i="1" s="1"/>
  <c r="O134" i="1" a="1"/>
  <c r="O134" i="1" s="1"/>
  <c r="P134" i="1" s="1"/>
  <c r="O130" i="1" a="1"/>
  <c r="O130" i="1" s="1"/>
  <c r="P130" i="1" s="1"/>
  <c r="O135" i="1" a="1"/>
  <c r="O135" i="1" s="1"/>
  <c r="P135" i="1" s="1"/>
  <c r="O125" i="1" a="1"/>
  <c r="O125" i="1" s="1"/>
  <c r="P125" i="1" s="1"/>
  <c r="O133" i="1" a="1"/>
  <c r="O133" i="1" s="1"/>
  <c r="P133" i="1" s="1"/>
  <c r="O129" i="1" a="1"/>
  <c r="O129" i="1" s="1"/>
  <c r="P129" i="1" s="1"/>
  <c r="O126" i="1" a="1"/>
  <c r="O126" i="1" s="1"/>
  <c r="P126" i="1" s="1"/>
  <c r="O124" i="1" a="1"/>
  <c r="O124" i="1" s="1"/>
  <c r="P124" i="1" s="1"/>
  <c r="O127" i="1" a="1"/>
  <c r="O127" i="1" s="1"/>
  <c r="P127" i="1" s="1"/>
  <c r="O132" i="1" a="1"/>
  <c r="O132" i="1" s="1"/>
  <c r="P132" i="1" s="1"/>
  <c r="O128" i="1" a="1"/>
  <c r="O128" i="1" s="1"/>
  <c r="P128" i="1" s="1"/>
  <c r="O131" i="1" a="1"/>
  <c r="O131" i="1" s="1"/>
  <c r="P131" i="1" s="1"/>
  <c r="L187" i="1" a="1"/>
  <c r="L187" i="1" s="1"/>
  <c r="L135" i="1" a="1"/>
  <c r="L135" i="1" s="1"/>
  <c r="L123" i="1" a="1"/>
  <c r="L123" i="1" s="1"/>
  <c r="L120" i="1" a="1"/>
  <c r="L120" i="1" s="1"/>
  <c r="L117" i="1" a="1"/>
  <c r="L117" i="1" s="1"/>
  <c r="L176" i="1" a="1"/>
  <c r="L176" i="1" s="1"/>
  <c r="L186" i="1" a="1"/>
  <c r="L186" i="1" s="1"/>
  <c r="L185" i="1" a="1"/>
  <c r="L185" i="1" s="1"/>
  <c r="O118" i="1" a="1"/>
  <c r="O118" i="1" s="1"/>
  <c r="P118" i="1" s="1"/>
  <c r="O121" i="1" a="1"/>
  <c r="O121" i="1" s="1"/>
  <c r="P121" i="1" s="1"/>
  <c r="O117" i="1" a="1"/>
  <c r="O117" i="1" s="1"/>
  <c r="P117" i="1" s="1"/>
  <c r="O114" i="1" a="1"/>
  <c r="O114" i="1" s="1"/>
  <c r="O112" i="1" a="1"/>
  <c r="O112" i="1" s="1"/>
  <c r="P112" i="1" s="1"/>
  <c r="O120" i="1" a="1"/>
  <c r="O120" i="1" s="1"/>
  <c r="P120" i="1" s="1"/>
  <c r="O116" i="1" a="1"/>
  <c r="O116" i="1" s="1"/>
  <c r="P116" i="1" s="1"/>
  <c r="O122" i="1" a="1"/>
  <c r="O122" i="1" s="1"/>
  <c r="P122" i="1" s="1"/>
  <c r="O123" i="1" a="1"/>
  <c r="O123" i="1" s="1"/>
  <c r="P123" i="1" s="1"/>
  <c r="O119" i="1" a="1"/>
  <c r="O119" i="1" s="1"/>
  <c r="P119" i="1" s="1"/>
  <c r="O115" i="1" a="1"/>
  <c r="O115" i="1" s="1"/>
  <c r="P115" i="1" s="1"/>
  <c r="O113" i="1" a="1"/>
  <c r="O113" i="1" s="1"/>
  <c r="O183" i="1" a="1"/>
  <c r="O183" i="1" s="1"/>
  <c r="P183" i="1" s="1"/>
  <c r="O182" i="1" a="1"/>
  <c r="O182" i="1" s="1"/>
  <c r="P182" i="1" s="1"/>
  <c r="O178" i="1" a="1"/>
  <c r="O178" i="1" s="1"/>
  <c r="O179" i="1" a="1"/>
  <c r="O179" i="1" s="1"/>
  <c r="P179" i="1" s="1"/>
  <c r="O181" i="1" a="1"/>
  <c r="O181" i="1" s="1"/>
  <c r="P181" i="1" s="1"/>
  <c r="O177" i="1" a="1"/>
  <c r="O177" i="1" s="1"/>
  <c r="P177" i="1" s="1"/>
  <c r="O174" i="1" a="1"/>
  <c r="O174" i="1" s="1"/>
  <c r="P174" i="1" s="1"/>
  <c r="O175" i="1" a="1"/>
  <c r="O175" i="1" s="1"/>
  <c r="P175" i="1" s="1"/>
  <c r="O172" i="1" a="1"/>
  <c r="O172" i="1" s="1"/>
  <c r="P172" i="1" s="1"/>
  <c r="O180" i="1" a="1"/>
  <c r="O180" i="1" s="1"/>
  <c r="O176" i="1" a="1"/>
  <c r="O176" i="1" s="1"/>
  <c r="P176" i="1" s="1"/>
  <c r="O173" i="1" a="1"/>
  <c r="O173" i="1" s="1"/>
  <c r="P173" i="1" s="1"/>
  <c r="L121" i="1" a="1"/>
  <c r="L121" i="1" s="1"/>
  <c r="L132" i="1" a="1"/>
  <c r="L132" i="1" s="1"/>
  <c r="L129" i="1" a="1"/>
  <c r="L129" i="1" s="1"/>
  <c r="L189" i="1" a="1"/>
  <c r="L189" i="1" s="1"/>
  <c r="L174" i="1" a="1"/>
  <c r="L174" i="1" s="1"/>
  <c r="O140" i="1" a="1"/>
  <c r="O140" i="1" s="1"/>
  <c r="P140" i="1" s="1"/>
  <c r="O147" i="1" a="1"/>
  <c r="O147" i="1" s="1"/>
  <c r="P147" i="1" s="1"/>
  <c r="O143" i="1" a="1"/>
  <c r="O143" i="1" s="1"/>
  <c r="P143" i="1" s="1"/>
  <c r="O139" i="1" a="1"/>
  <c r="O139" i="1" s="1"/>
  <c r="P139" i="1" s="1"/>
  <c r="O137" i="1" a="1"/>
  <c r="O137" i="1" s="1"/>
  <c r="P137" i="1" s="1"/>
  <c r="O146" i="1" a="1"/>
  <c r="O146" i="1" s="1"/>
  <c r="P146" i="1" s="1"/>
  <c r="O142" i="1" a="1"/>
  <c r="O142" i="1" s="1"/>
  <c r="O144" i="1" a="1"/>
  <c r="O144" i="1" s="1"/>
  <c r="P144" i="1" s="1"/>
  <c r="O145" i="1" a="1"/>
  <c r="O145" i="1" s="1"/>
  <c r="P145" i="1" s="1"/>
  <c r="O141" i="1" a="1"/>
  <c r="O141" i="1" s="1"/>
  <c r="O138" i="1" a="1"/>
  <c r="O138" i="1" s="1"/>
  <c r="P138" i="1" s="1"/>
  <c r="O136" i="1" a="1"/>
  <c r="O136" i="1" s="1"/>
  <c r="P136" i="1" s="1"/>
  <c r="L194" i="1" a="1"/>
  <c r="L194" i="1" s="1"/>
  <c r="L134" i="1" a="1"/>
  <c r="L134" i="1" s="1"/>
  <c r="L133" i="1" a="1"/>
  <c r="L133" i="1" s="1"/>
  <c r="L126" i="1" a="1"/>
  <c r="L126" i="1" s="1"/>
  <c r="L113" i="1" a="1"/>
  <c r="L113" i="1" s="1"/>
  <c r="L112" i="1" a="1"/>
  <c r="L112" i="1" s="1"/>
  <c r="V53" i="1" a="1"/>
  <c r="V53" i="1" s="1"/>
  <c r="V52" i="1" a="1"/>
  <c r="V52" i="1" s="1"/>
  <c r="V65" i="1" a="1"/>
  <c r="V65" i="1" s="1"/>
  <c r="V64" i="1" a="1"/>
  <c r="V64" i="1" s="1"/>
  <c r="U65" i="1" a="1"/>
  <c r="U65" i="1" s="1"/>
  <c r="U64" i="1" a="1"/>
  <c r="U64" i="1" s="1"/>
  <c r="U53" i="1" a="1"/>
  <c r="U53" i="1" s="1"/>
  <c r="U52" i="1" a="1"/>
  <c r="U52" i="1" s="1"/>
  <c r="AY21" i="2"/>
  <c r="AY18" i="2"/>
  <c r="S68" i="1" a="1"/>
  <c r="S68" i="1" s="1"/>
  <c r="S69" i="1" a="1"/>
  <c r="S69" i="1" s="1"/>
  <c r="S80" i="1" a="1"/>
  <c r="S80" i="1" s="1"/>
  <c r="S81" i="1" a="1"/>
  <c r="S81" i="1" s="1"/>
  <c r="S50" i="1" a="1"/>
  <c r="S50" i="1" s="1"/>
  <c r="S51" i="1" a="1"/>
  <c r="S51" i="1" s="1"/>
  <c r="S71" i="1" a="1"/>
  <c r="S71" i="1" s="1"/>
  <c r="S70" i="1" a="1"/>
  <c r="S70" i="1" s="1"/>
  <c r="AY15" i="2"/>
  <c r="S8" i="1" a="1"/>
  <c r="S8" i="1" s="1"/>
  <c r="S9" i="1" a="1"/>
  <c r="S9" i="1" s="1"/>
  <c r="S23" i="1" a="1"/>
  <c r="S23" i="1" s="1"/>
  <c r="S22" i="1" a="1"/>
  <c r="S22" i="1" s="1"/>
  <c r="S28" i="1" a="1"/>
  <c r="S28" i="1" s="1"/>
  <c r="S29" i="1" a="1"/>
  <c r="S29" i="1" s="1"/>
  <c r="S36" i="1" a="1"/>
  <c r="S36" i="1" s="1"/>
  <c r="S37" i="1" a="1"/>
  <c r="S37" i="1" s="1"/>
  <c r="S43" i="1" a="1"/>
  <c r="S43" i="1" s="1"/>
  <c r="S42" i="1" a="1"/>
  <c r="S42" i="1" s="1"/>
  <c r="S45" i="1" a="1"/>
  <c r="S45" i="1" s="1"/>
  <c r="S44" i="1" a="1"/>
  <c r="S44" i="1" s="1"/>
  <c r="S14" i="1" a="1"/>
  <c r="S14" i="1" s="1"/>
  <c r="S15" i="1" a="1"/>
  <c r="S15" i="1" s="1"/>
  <c r="S10" i="1" a="1"/>
  <c r="S10" i="1" s="1"/>
  <c r="S11" i="1" a="1"/>
  <c r="S11" i="1" s="1"/>
  <c r="S13" i="1" a="1"/>
  <c r="S13" i="1" s="1"/>
  <c r="S12" i="1" a="1"/>
  <c r="S12" i="1" s="1"/>
  <c r="S17" i="1" a="1"/>
  <c r="S17" i="1" s="1"/>
  <c r="S16" i="1" a="1"/>
  <c r="S16" i="1" s="1"/>
  <c r="S39" i="1" a="1"/>
  <c r="S39" i="1" s="1"/>
  <c r="S38" i="1" a="1"/>
  <c r="S38" i="1" s="1"/>
  <c r="T53" i="1" a="1"/>
  <c r="T53" i="1" s="1"/>
  <c r="T52" i="1" a="1"/>
  <c r="T52" i="1" s="1"/>
  <c r="T65" i="1" a="1"/>
  <c r="T65" i="1" s="1"/>
  <c r="T64" i="1" a="1"/>
  <c r="T64" i="1" s="1"/>
  <c r="T51" i="1" a="1"/>
  <c r="T51" i="1" s="1"/>
  <c r="T50" i="1" a="1"/>
  <c r="T50" i="1" s="1"/>
  <c r="T55" i="1" a="1"/>
  <c r="T55" i="1" s="1"/>
  <c r="T54" i="1" a="1"/>
  <c r="T54" i="1" s="1"/>
  <c r="R78" i="1" a="1"/>
  <c r="R78" i="1" s="1"/>
  <c r="R79" i="1" a="1"/>
  <c r="R79" i="1" s="1"/>
  <c r="R75" i="1" a="1"/>
  <c r="R75" i="1" s="1"/>
  <c r="R74" i="1" a="1"/>
  <c r="R74" i="1" s="1"/>
  <c r="AR14" i="11"/>
  <c r="R61" i="1" a="1"/>
  <c r="R61" i="1" s="1"/>
  <c r="R60" i="1" a="1"/>
  <c r="R60" i="1" s="1"/>
  <c r="R77" i="1" a="1"/>
  <c r="R77" i="1" s="1"/>
  <c r="R76" i="1" a="1"/>
  <c r="R76" i="1" s="1"/>
  <c r="R68" i="1" a="1"/>
  <c r="R68" i="1" s="1"/>
  <c r="R69" i="1" a="1"/>
  <c r="R69" i="1" s="1"/>
  <c r="R73" i="1" a="1"/>
  <c r="R73" i="1" s="1"/>
  <c r="R72" i="1" a="1"/>
  <c r="R72" i="1" s="1"/>
  <c r="R81" i="1" a="1"/>
  <c r="R81" i="1" s="1"/>
  <c r="R80" i="1" a="1"/>
  <c r="R80" i="1" s="1"/>
  <c r="R55" i="1" a="1"/>
  <c r="R55" i="1" s="1"/>
  <c r="R54" i="1" a="1"/>
  <c r="R54" i="1" s="1"/>
  <c r="R64" i="1" a="1"/>
  <c r="R64" i="1" s="1"/>
  <c r="R65" i="1" a="1"/>
  <c r="R65" i="1" s="1"/>
  <c r="R50" i="1" a="1"/>
  <c r="R50" i="1" s="1"/>
  <c r="R51" i="1" a="1"/>
  <c r="R51" i="1" s="1"/>
  <c r="R70" i="1" a="1"/>
  <c r="R70" i="1" s="1"/>
  <c r="R71" i="1" a="1"/>
  <c r="R71" i="1" s="1"/>
  <c r="R27" i="1" a="1"/>
  <c r="R27" i="1" s="1"/>
  <c r="R26" i="1" a="1"/>
  <c r="R26" i="1" s="1"/>
  <c r="R19" i="1" a="1"/>
  <c r="R19" i="1" s="1"/>
  <c r="R18" i="1" a="1"/>
  <c r="R18" i="1" s="1"/>
  <c r="R4" i="1" a="1"/>
  <c r="R4" i="1" s="1"/>
  <c r="R5" i="1" a="1"/>
  <c r="R5" i="1" s="1"/>
  <c r="R44" i="1" a="1"/>
  <c r="R44" i="1" s="1"/>
  <c r="R45" i="1" a="1"/>
  <c r="R45" i="1" s="1"/>
  <c r="R41" i="1" a="1"/>
  <c r="R41" i="1" s="1"/>
  <c r="R40" i="1" a="1"/>
  <c r="R40" i="1" s="1"/>
  <c r="R11" i="1" a="1"/>
  <c r="R11" i="1" s="1"/>
  <c r="R10" i="1" a="1"/>
  <c r="R10" i="1" s="1"/>
  <c r="R3" i="1" a="1"/>
  <c r="R3" i="1" s="1"/>
  <c r="R2" i="1" a="1"/>
  <c r="R2" i="1" s="1"/>
  <c r="R36" i="1" a="1"/>
  <c r="R36" i="1" s="1"/>
  <c r="R37" i="1" a="1"/>
  <c r="R37" i="1" s="1"/>
  <c r="R8" i="1" a="1"/>
  <c r="R8" i="1" s="1"/>
  <c r="R9" i="1" a="1"/>
  <c r="R9" i="1" s="1"/>
  <c r="R17" i="1" a="1"/>
  <c r="R17" i="1" s="1"/>
  <c r="R16" i="1" a="1"/>
  <c r="R16" i="1" s="1"/>
  <c r="R43" i="1" a="1"/>
  <c r="R43" i="1" s="1"/>
  <c r="R42" i="1" a="1"/>
  <c r="R42" i="1" s="1"/>
  <c r="R28" i="1" a="1"/>
  <c r="R28" i="1" s="1"/>
  <c r="R29" i="1" a="1"/>
  <c r="R29" i="1" s="1"/>
  <c r="R14" i="1" a="1"/>
  <c r="R14" i="1" s="1"/>
  <c r="R15" i="1" a="1"/>
  <c r="R15" i="1" s="1"/>
  <c r="R12" i="1" a="1"/>
  <c r="R12" i="1" s="1"/>
  <c r="R13" i="1" a="1"/>
  <c r="R13" i="1" s="1"/>
  <c r="R35" i="1" a="1"/>
  <c r="R35" i="1" s="1"/>
  <c r="R34" i="1" a="1"/>
  <c r="R34" i="1" s="1"/>
  <c r="R30" i="1" a="1"/>
  <c r="R30" i="1" s="1"/>
  <c r="R31" i="1" a="1"/>
  <c r="R31" i="1" s="1"/>
  <c r="R33" i="1" a="1"/>
  <c r="R33" i="1" s="1"/>
  <c r="R32" i="1" a="1"/>
  <c r="R32" i="1" s="1"/>
  <c r="Q172" i="1" a="1"/>
  <c r="Q172" i="1" s="1"/>
  <c r="Q183" i="1" a="1"/>
  <c r="Q183" i="1" s="1"/>
  <c r="Q180" i="1" a="1"/>
  <c r="Q180" i="1" s="1"/>
  <c r="Q177" i="1" a="1"/>
  <c r="Q177" i="1" s="1"/>
  <c r="Q173" i="1" a="1"/>
  <c r="Q173" i="1" s="1"/>
  <c r="Q182" i="1" a="1"/>
  <c r="Q182" i="1" s="1"/>
  <c r="Q179" i="1" a="1"/>
  <c r="Q179" i="1" s="1"/>
  <c r="Q181" i="1" a="1"/>
  <c r="Q181" i="1" s="1"/>
  <c r="Q174" i="1" a="1"/>
  <c r="Q174" i="1" s="1"/>
  <c r="Q178" i="1" a="1"/>
  <c r="Q178" i="1" s="1"/>
  <c r="Q175" i="1" a="1"/>
  <c r="Q175" i="1" s="1"/>
  <c r="Q176" i="1" a="1"/>
  <c r="Q176" i="1" s="1"/>
  <c r="Q131" i="1" a="1"/>
  <c r="Q131" i="1" s="1"/>
  <c r="Q134" i="1" a="1"/>
  <c r="Q134" i="1" s="1"/>
  <c r="Q126" i="1" a="1"/>
  <c r="Q126" i="1" s="1"/>
  <c r="Q128" i="1" a="1"/>
  <c r="Q128" i="1" s="1"/>
  <c r="Q129" i="1" a="1"/>
  <c r="Q129" i="1" s="1"/>
  <c r="Q132" i="1" a="1"/>
  <c r="Q132" i="1" s="1"/>
  <c r="Q133" i="1" a="1"/>
  <c r="Q133" i="1" s="1"/>
  <c r="Q125" i="1" a="1"/>
  <c r="Q125" i="1" s="1"/>
  <c r="Q135" i="1" a="1"/>
  <c r="Q135" i="1" s="1"/>
  <c r="Q127" i="1" a="1"/>
  <c r="Q127" i="1" s="1"/>
  <c r="Q130" i="1" a="1"/>
  <c r="Q130" i="1" s="1"/>
  <c r="Q124" i="1" a="1"/>
  <c r="Q124" i="1" s="1"/>
  <c r="Q187" i="1" a="1"/>
  <c r="Q187" i="1" s="1"/>
  <c r="Q188" i="1" a="1"/>
  <c r="Q188" i="1" s="1"/>
  <c r="Q184" i="1" a="1"/>
  <c r="Q184" i="1" s="1"/>
  <c r="Q194" i="1" a="1"/>
  <c r="Q194" i="1" s="1"/>
  <c r="Q191" i="1" a="1"/>
  <c r="Q191" i="1" s="1"/>
  <c r="Q185" i="1" a="1"/>
  <c r="Q185" i="1" s="1"/>
  <c r="Q190" i="1" a="1"/>
  <c r="Q190" i="1" s="1"/>
  <c r="Q192" i="1" a="1"/>
  <c r="Q192" i="1" s="1"/>
  <c r="Q189" i="1" a="1"/>
  <c r="Q189" i="1" s="1"/>
  <c r="Q186" i="1" a="1"/>
  <c r="Q186" i="1" s="1"/>
  <c r="Q193" i="1" a="1"/>
  <c r="Q193" i="1" s="1"/>
  <c r="Q195" i="1" a="1"/>
  <c r="Q195" i="1" s="1"/>
  <c r="Q159" i="1" a="1"/>
  <c r="Q159" i="1" s="1"/>
  <c r="Q156" i="1" a="1"/>
  <c r="Q156" i="1" s="1"/>
  <c r="Q149" i="1" a="1"/>
  <c r="Q149" i="1" s="1"/>
  <c r="Q157" i="1" a="1"/>
  <c r="Q157" i="1" s="1"/>
  <c r="Q153" i="1" a="1"/>
  <c r="Q153" i="1" s="1"/>
  <c r="Q150" i="1" a="1"/>
  <c r="Q150" i="1" s="1"/>
  <c r="Q155" i="1" a="1"/>
  <c r="Q155" i="1" s="1"/>
  <c r="Q152" i="1" a="1"/>
  <c r="Q152" i="1" s="1"/>
  <c r="Q158" i="1" a="1"/>
  <c r="Q158" i="1" s="1"/>
  <c r="Q148" i="1" a="1"/>
  <c r="Q148" i="1" s="1"/>
  <c r="Q154" i="1" a="1"/>
  <c r="Q154" i="1" s="1"/>
  <c r="Q151" i="1" a="1"/>
  <c r="Q151" i="1" s="1"/>
  <c r="Q104" i="1" a="1"/>
  <c r="Q104" i="1" s="1"/>
  <c r="Q103" i="1" a="1"/>
  <c r="Q103" i="1" s="1"/>
  <c r="Q111" i="1" a="1"/>
  <c r="Q111" i="1" s="1"/>
  <c r="Q106" i="1" a="1"/>
  <c r="Q106" i="1" s="1"/>
  <c r="Q105" i="1" a="1"/>
  <c r="Q105" i="1" s="1"/>
  <c r="Q100" i="1" a="1"/>
  <c r="Q100" i="1" s="1"/>
  <c r="Q107" i="1" a="1"/>
  <c r="Q107" i="1" s="1"/>
  <c r="Q101" i="1" a="1"/>
  <c r="Q101" i="1" s="1"/>
  <c r="Q108" i="1" a="1"/>
  <c r="Q108" i="1" s="1"/>
  <c r="Q102" i="1" a="1"/>
  <c r="Q102" i="1" s="1"/>
  <c r="Q109" i="1" a="1"/>
  <c r="Q109" i="1" s="1"/>
  <c r="Q110" i="1" a="1"/>
  <c r="Q110" i="1" s="1"/>
  <c r="Q140" i="1" a="1"/>
  <c r="Q140" i="1" s="1"/>
  <c r="Q137" i="1" a="1"/>
  <c r="Q137" i="1" s="1"/>
  <c r="Q136" i="1" a="1"/>
  <c r="Q136" i="1" s="1"/>
  <c r="Q143" i="1" a="1"/>
  <c r="Q143" i="1" s="1"/>
  <c r="Q146" i="1" a="1"/>
  <c r="Q146" i="1" s="1"/>
  <c r="Q138" i="1" a="1"/>
  <c r="Q138" i="1" s="1"/>
  <c r="Q142" i="1" a="1"/>
  <c r="Q142" i="1" s="1"/>
  <c r="Q141" i="1" a="1"/>
  <c r="Q141" i="1" s="1"/>
  <c r="Q144" i="1" a="1"/>
  <c r="Q144" i="1" s="1"/>
  <c r="Q147" i="1" a="1"/>
  <c r="Q147" i="1" s="1"/>
  <c r="Q139" i="1" a="1"/>
  <c r="Q139" i="1" s="1"/>
  <c r="Q145" i="1" a="1"/>
  <c r="Q145" i="1" s="1"/>
  <c r="AK14" i="11"/>
  <c r="Q55" i="1" a="1"/>
  <c r="Q55" i="1" s="1"/>
  <c r="Q54" i="1" a="1"/>
  <c r="Q54" i="1" s="1"/>
  <c r="Q73" i="1" a="1"/>
  <c r="Q73" i="1" s="1"/>
  <c r="Q72" i="1" a="1"/>
  <c r="Q72" i="1" s="1"/>
  <c r="Q69" i="1" a="1"/>
  <c r="Q69" i="1" s="1"/>
  <c r="Q68" i="1" a="1"/>
  <c r="Q68" i="1" s="1"/>
  <c r="Q78" i="1" a="1"/>
  <c r="Q78" i="1" s="1"/>
  <c r="Q79" i="1" a="1"/>
  <c r="Q79" i="1" s="1"/>
  <c r="Q80" i="1" a="1"/>
  <c r="Q80" i="1" s="1"/>
  <c r="Q81" i="1" a="1"/>
  <c r="Q81" i="1" s="1"/>
  <c r="AK21" i="2"/>
  <c r="Q51" i="1" a="1"/>
  <c r="Q51" i="1" s="1"/>
  <c r="Q50" i="1" a="1"/>
  <c r="Q50" i="1" s="1"/>
  <c r="Q70" i="1" a="1"/>
  <c r="Q70" i="1" s="1"/>
  <c r="Q71" i="1" a="1"/>
  <c r="Q71" i="1" s="1"/>
  <c r="Q74" i="1" a="1"/>
  <c r="Q74" i="1" s="1"/>
  <c r="Q75" i="1" a="1"/>
  <c r="Q75" i="1" s="1"/>
  <c r="Q47" i="1" a="1"/>
  <c r="Q47" i="1" s="1"/>
  <c r="Q46" i="1" a="1"/>
  <c r="Q46" i="1" s="1"/>
  <c r="Q20" i="1" a="1"/>
  <c r="Q20" i="1" s="1"/>
  <c r="Q21" i="1" a="1"/>
  <c r="Q21" i="1" s="1"/>
  <c r="Q36" i="1" a="1"/>
  <c r="Q36" i="1" s="1"/>
  <c r="Q37" i="1" a="1"/>
  <c r="Q37" i="1" s="1"/>
  <c r="Q27" i="1" a="1"/>
  <c r="Q27" i="1" s="1"/>
  <c r="Q26" i="1" a="1"/>
  <c r="Q26" i="1" s="1"/>
  <c r="Q12" i="1" a="1"/>
  <c r="Q12" i="1" s="1"/>
  <c r="Q13" i="1" a="1"/>
  <c r="Q13" i="1" s="1"/>
  <c r="Q5" i="1" a="1"/>
  <c r="Q5" i="1" s="1"/>
  <c r="Q4" i="1" a="1"/>
  <c r="Q4" i="1" s="1"/>
  <c r="Q16" i="1" a="1"/>
  <c r="Q16" i="1" s="1"/>
  <c r="Q17" i="1" a="1"/>
  <c r="Q17" i="1" s="1"/>
  <c r="Q23" i="1" a="1"/>
  <c r="Q23" i="1" s="1"/>
  <c r="Q22" i="1" a="1"/>
  <c r="Q22" i="1" s="1"/>
  <c r="Q44" i="1" a="1"/>
  <c r="Q44" i="1" s="1"/>
  <c r="Q45" i="1" a="1"/>
  <c r="Q45" i="1" s="1"/>
  <c r="Q43" i="1" a="1"/>
  <c r="Q43" i="1" s="1"/>
  <c r="Q42" i="1" a="1"/>
  <c r="Q42" i="1" s="1"/>
  <c r="Q15" i="1" a="1"/>
  <c r="Q15" i="1" s="1"/>
  <c r="Q14" i="1" a="1"/>
  <c r="Q14" i="1" s="1"/>
  <c r="Q48" i="1" a="1"/>
  <c r="Q48" i="1" s="1"/>
  <c r="Q49" i="1" a="1"/>
  <c r="Q49" i="1" s="1"/>
  <c r="Q39" i="1" a="1"/>
  <c r="Q39" i="1" s="1"/>
  <c r="Q38" i="1" a="1"/>
  <c r="Q38" i="1" s="1"/>
  <c r="Q10" i="1" a="1"/>
  <c r="Q10" i="1" s="1"/>
  <c r="Q11" i="1" a="1"/>
  <c r="Q11" i="1" s="1"/>
  <c r="Q32" i="1" a="1"/>
  <c r="Q32" i="1" s="1"/>
  <c r="Q33" i="1" a="1"/>
  <c r="Q33" i="1" s="1"/>
  <c r="Q7" i="1" a="1"/>
  <c r="Q7" i="1" s="1"/>
  <c r="Q6" i="1" a="1"/>
  <c r="Q6" i="1" s="1"/>
  <c r="L65" i="1" a="1"/>
  <c r="L65" i="1" s="1"/>
  <c r="L64" i="1" a="1"/>
  <c r="L64" i="1" s="1"/>
  <c r="L69" i="1" a="1"/>
  <c r="L69" i="1" s="1"/>
  <c r="L68" i="1" a="1"/>
  <c r="L68" i="1" s="1"/>
  <c r="L59" i="1" a="1"/>
  <c r="L59" i="1" s="1"/>
  <c r="L58" i="1" a="1"/>
  <c r="L58" i="1" s="1"/>
  <c r="L77" i="1" a="1"/>
  <c r="L77" i="1" s="1"/>
  <c r="L76" i="1" a="1"/>
  <c r="L76" i="1" s="1"/>
  <c r="L74" i="1" a="1"/>
  <c r="L74" i="1" s="1"/>
  <c r="L75" i="1" a="1"/>
  <c r="L75" i="1" s="1"/>
  <c r="L73" i="1" a="1"/>
  <c r="L73" i="1" s="1"/>
  <c r="L72" i="1" a="1"/>
  <c r="L72" i="1" s="1"/>
  <c r="L79" i="1" a="1"/>
  <c r="L79" i="1" s="1"/>
  <c r="L78" i="1" a="1"/>
  <c r="L78" i="1" s="1"/>
  <c r="L70" i="1" a="1"/>
  <c r="L70" i="1" s="1"/>
  <c r="L71" i="1" a="1"/>
  <c r="L71" i="1" s="1"/>
  <c r="L80" i="1" a="1"/>
  <c r="L80" i="1" s="1"/>
  <c r="L81" i="1" a="1"/>
  <c r="L81" i="1" s="1"/>
  <c r="L50" i="1" a="1"/>
  <c r="L50" i="1" s="1"/>
  <c r="L51" i="1" a="1"/>
  <c r="L51" i="1" s="1"/>
  <c r="L9" i="1" a="1"/>
  <c r="L9" i="1" s="1"/>
  <c r="L8" i="1" a="1"/>
  <c r="L8" i="1" s="1"/>
  <c r="L49" i="1" a="1"/>
  <c r="L49" i="1" s="1"/>
  <c r="L48" i="1" a="1"/>
  <c r="L48" i="1" s="1"/>
  <c r="L23" i="1" a="1"/>
  <c r="L23" i="1" s="1"/>
  <c r="L22" i="1" a="1"/>
  <c r="L22" i="1" s="1"/>
  <c r="L30" i="1" a="1"/>
  <c r="L30" i="1" s="1"/>
  <c r="L31" i="1" a="1"/>
  <c r="L31" i="1" s="1"/>
  <c r="L41" i="1" a="1"/>
  <c r="L41" i="1" s="1"/>
  <c r="L40" i="1" a="1"/>
  <c r="L40" i="1" s="1"/>
  <c r="L24" i="1" a="1"/>
  <c r="L24" i="1" s="1"/>
  <c r="L25" i="1" a="1"/>
  <c r="L25" i="1" s="1"/>
  <c r="L44" i="1" a="1"/>
  <c r="L44" i="1" s="1"/>
  <c r="L45" i="1" a="1"/>
  <c r="L45" i="1" s="1"/>
  <c r="L20" i="1" a="1"/>
  <c r="L20" i="1" s="1"/>
  <c r="L21" i="1" a="1"/>
  <c r="L21" i="1" s="1"/>
  <c r="L12" i="1" a="1"/>
  <c r="L12" i="1" s="1"/>
  <c r="L13" i="1" a="1"/>
  <c r="L13" i="1" s="1"/>
  <c r="L36" i="1" a="1"/>
  <c r="L36" i="1" s="1"/>
  <c r="L37" i="1" a="1"/>
  <c r="L37" i="1" s="1"/>
  <c r="L33" i="1" a="1"/>
  <c r="L33" i="1" s="1"/>
  <c r="L32" i="1" a="1"/>
  <c r="L32" i="1" s="1"/>
  <c r="L14" i="1" a="1"/>
  <c r="L14" i="1" s="1"/>
  <c r="L15" i="1" a="1"/>
  <c r="L15" i="1" s="1"/>
  <c r="L34" i="1" a="1"/>
  <c r="L34" i="1" s="1"/>
  <c r="L35" i="1" a="1"/>
  <c r="L35" i="1" s="1"/>
  <c r="L42" i="1" a="1"/>
  <c r="L42" i="1" s="1"/>
  <c r="L43" i="1" a="1"/>
  <c r="L43" i="1" s="1"/>
  <c r="L18" i="1" a="1"/>
  <c r="L18" i="1" s="1"/>
  <c r="L19" i="1" a="1"/>
  <c r="L19" i="1" s="1"/>
  <c r="L2" i="1" a="1"/>
  <c r="L2" i="1" s="1"/>
  <c r="L3" i="1" a="1"/>
  <c r="L3" i="1" s="1"/>
  <c r="L28" i="1" a="1"/>
  <c r="L28" i="1" s="1"/>
  <c r="L29" i="1" a="1"/>
  <c r="L29" i="1" s="1"/>
  <c r="L38" i="1" a="1"/>
  <c r="L38" i="1" s="1"/>
  <c r="L39" i="1" a="1"/>
  <c r="L39" i="1" s="1"/>
  <c r="L4" i="1" a="1"/>
  <c r="L4" i="1" s="1"/>
  <c r="L5" i="1" a="1"/>
  <c r="L5" i="1" s="1"/>
  <c r="L16" i="1" a="1"/>
  <c r="L16" i="1" s="1"/>
  <c r="L17" i="1" a="1"/>
  <c r="L17" i="1" s="1"/>
  <c r="L10" i="1" a="1"/>
  <c r="L10" i="1" s="1"/>
  <c r="L11" i="1" a="1"/>
  <c r="L11" i="1" s="1"/>
  <c r="L7" i="1" a="1"/>
  <c r="L7" i="1" s="1"/>
  <c r="L6" i="1" a="1"/>
  <c r="L6" i="1" s="1"/>
  <c r="P142" i="1"/>
  <c r="P163" i="1"/>
  <c r="P113" i="1"/>
  <c r="AY20" i="2"/>
  <c r="AI15" i="2"/>
  <c r="Z15" i="2"/>
  <c r="BI20" i="2"/>
  <c r="BB20" i="2"/>
  <c r="AR20" i="2"/>
  <c r="BD15" i="2"/>
  <c r="BA14" i="2"/>
  <c r="AI14" i="2"/>
  <c r="AX14" i="2"/>
  <c r="Z14" i="2"/>
  <c r="AD18" i="2"/>
  <c r="X16" i="2"/>
  <c r="BK14" i="2"/>
  <c r="AX15" i="2"/>
  <c r="P180" i="1"/>
  <c r="P171" i="1"/>
  <c r="BI17" i="2"/>
  <c r="BB17" i="2"/>
  <c r="AY17" i="2" s="1"/>
  <c r="BI16" i="2"/>
  <c r="BB16" i="2"/>
  <c r="AY16" i="2" s="1"/>
  <c r="AD17" i="2"/>
  <c r="AR16" i="2"/>
  <c r="BF17" i="2"/>
  <c r="AK20" i="2"/>
  <c r="AO16" i="2"/>
  <c r="AK16" i="2" s="1"/>
  <c r="AN17" i="2"/>
  <c r="AM14" i="2"/>
  <c r="AJ14" i="2"/>
  <c r="AD20" i="2"/>
  <c r="P114" i="1"/>
  <c r="BE15" i="2"/>
  <c r="BH14" i="2"/>
  <c r="U14" i="2"/>
  <c r="W14" i="2" s="1"/>
  <c r="BI19" i="2"/>
  <c r="BB19" i="2"/>
  <c r="P164" i="1"/>
  <c r="P165" i="1"/>
  <c r="P178" i="1"/>
  <c r="AR15" i="2"/>
  <c r="AD19" i="2"/>
  <c r="AR19" i="2"/>
  <c r="AK15" i="2"/>
  <c r="AK19" i="2"/>
  <c r="P186" i="1"/>
  <c r="P195" i="1"/>
  <c r="P191" i="1"/>
  <c r="P188" i="1"/>
  <c r="P187" i="1"/>
  <c r="P141" i="1"/>
  <c r="AD15" i="2"/>
  <c r="S148" i="1" l="1" a="1"/>
  <c r="S148" i="1" s="1"/>
  <c r="S150" i="1" a="1"/>
  <c r="S150" i="1" s="1"/>
  <c r="S149" i="1" a="1"/>
  <c r="S149" i="1" s="1"/>
  <c r="S157" i="1" a="1"/>
  <c r="S157" i="1" s="1"/>
  <c r="S151" i="1" a="1"/>
  <c r="S151" i="1" s="1"/>
  <c r="S153" i="1" a="1"/>
  <c r="S153" i="1" s="1"/>
  <c r="S154" i="1" a="1"/>
  <c r="S154" i="1" s="1"/>
  <c r="S159" i="1" a="1"/>
  <c r="S159" i="1" s="1"/>
  <c r="S152" i="1" a="1"/>
  <c r="S152" i="1" s="1"/>
  <c r="S156" i="1" a="1"/>
  <c r="S156" i="1" s="1"/>
  <c r="S158" i="1" a="1"/>
  <c r="S158" i="1" s="1"/>
  <c r="S155" i="1" a="1"/>
  <c r="S155" i="1" s="1"/>
  <c r="T101" i="1" a="1"/>
  <c r="T101" i="1" s="1"/>
  <c r="T103" i="1" a="1"/>
  <c r="T103" i="1" s="1"/>
  <c r="T104" i="1" a="1"/>
  <c r="T104" i="1" s="1"/>
  <c r="T106" i="1" a="1"/>
  <c r="T106" i="1" s="1"/>
  <c r="T100" i="1" a="1"/>
  <c r="T100" i="1" s="1"/>
  <c r="T111" i="1" a="1"/>
  <c r="T111" i="1" s="1"/>
  <c r="T102" i="1" a="1"/>
  <c r="T102" i="1" s="1"/>
  <c r="T109" i="1" a="1"/>
  <c r="T109" i="1" s="1"/>
  <c r="T108" i="1" a="1"/>
  <c r="T108" i="1" s="1"/>
  <c r="T105" i="1" a="1"/>
  <c r="T105" i="1" s="1"/>
  <c r="T110" i="1" a="1"/>
  <c r="T110" i="1" s="1"/>
  <c r="T107" i="1" a="1"/>
  <c r="T107" i="1" s="1"/>
  <c r="O102" i="1" a="1"/>
  <c r="O102" i="1" s="1"/>
  <c r="P102" i="1" s="1"/>
  <c r="O108" i="1" a="1"/>
  <c r="O108" i="1" s="1"/>
  <c r="O104" i="1" a="1"/>
  <c r="O104" i="1" s="1"/>
  <c r="O100" i="1" a="1"/>
  <c r="O100" i="1" s="1"/>
  <c r="O109" i="1" a="1"/>
  <c r="O109" i="1" s="1"/>
  <c r="P109" i="1" s="1"/>
  <c r="O101" i="1" a="1"/>
  <c r="O101" i="1" s="1"/>
  <c r="O111" i="1" a="1"/>
  <c r="O111" i="1" s="1"/>
  <c r="P111" i="1" s="1"/>
  <c r="O107" i="1" a="1"/>
  <c r="O107" i="1" s="1"/>
  <c r="P107" i="1" s="1"/>
  <c r="O103" i="1" a="1"/>
  <c r="O103" i="1" s="1"/>
  <c r="P103" i="1" s="1"/>
  <c r="O110" i="1" a="1"/>
  <c r="O110" i="1" s="1"/>
  <c r="P110" i="1" s="1"/>
  <c r="O106" i="1" a="1"/>
  <c r="O106" i="1" s="1"/>
  <c r="O105" i="1" a="1"/>
  <c r="O105" i="1" s="1"/>
  <c r="L105" i="1" a="1"/>
  <c r="L105" i="1" s="1"/>
  <c r="L104" i="1" a="1"/>
  <c r="L104" i="1" s="1"/>
  <c r="L110" i="1" a="1"/>
  <c r="L110" i="1" s="1"/>
  <c r="L102" i="1" a="1"/>
  <c r="L102" i="1" s="1"/>
  <c r="L100" i="1" a="1"/>
  <c r="L100" i="1" s="1"/>
  <c r="L103" i="1" a="1"/>
  <c r="L103" i="1" s="1"/>
  <c r="L109" i="1" a="1"/>
  <c r="L109" i="1" s="1"/>
  <c r="L108" i="1" a="1"/>
  <c r="L108" i="1" s="1"/>
  <c r="L107" i="1" a="1"/>
  <c r="L107" i="1" s="1"/>
  <c r="L101" i="1" a="1"/>
  <c r="L101" i="1" s="1"/>
  <c r="L111" i="1" a="1"/>
  <c r="L111" i="1" s="1"/>
  <c r="L106" i="1" a="1"/>
  <c r="L106" i="1" s="1"/>
  <c r="O158" i="1" a="1"/>
  <c r="O158" i="1" s="1"/>
  <c r="P158" i="1" s="1"/>
  <c r="O154" i="1" a="1"/>
  <c r="O154" i="1" s="1"/>
  <c r="O156" i="1" a="1"/>
  <c r="O156" i="1" s="1"/>
  <c r="O155" i="1" a="1"/>
  <c r="O155" i="1" s="1"/>
  <c r="O150" i="1" a="1"/>
  <c r="O150" i="1" s="1"/>
  <c r="O157" i="1" a="1"/>
  <c r="O157" i="1" s="1"/>
  <c r="P157" i="1" s="1"/>
  <c r="O153" i="1" a="1"/>
  <c r="O153" i="1" s="1"/>
  <c r="P153" i="1" s="1"/>
  <c r="O151" i="1" a="1"/>
  <c r="O151" i="1" s="1"/>
  <c r="P151" i="1" s="1"/>
  <c r="O148" i="1" a="1"/>
  <c r="O148" i="1" s="1"/>
  <c r="P148" i="1" s="1"/>
  <c r="O149" i="1" a="1"/>
  <c r="O149" i="1" s="1"/>
  <c r="O159" i="1" a="1"/>
  <c r="O159" i="1" s="1"/>
  <c r="O152" i="1" a="1"/>
  <c r="O152" i="1" s="1"/>
  <c r="L148" i="1" a="1"/>
  <c r="L148" i="1" s="1"/>
  <c r="L149" i="1" a="1"/>
  <c r="L149" i="1" s="1"/>
  <c r="L153" i="1" a="1"/>
  <c r="L153" i="1" s="1"/>
  <c r="L151" i="1" a="1"/>
  <c r="L151" i="1" s="1"/>
  <c r="L158" i="1" a="1"/>
  <c r="L158" i="1" s="1"/>
  <c r="L156" i="1" a="1"/>
  <c r="L156" i="1" s="1"/>
  <c r="L150" i="1" a="1"/>
  <c r="L150" i="1" s="1"/>
  <c r="L154" i="1" a="1"/>
  <c r="L154" i="1" s="1"/>
  <c r="L152" i="1" a="1"/>
  <c r="L152" i="1" s="1"/>
  <c r="L159" i="1" a="1"/>
  <c r="L159" i="1" s="1"/>
  <c r="L155" i="1" a="1"/>
  <c r="L155" i="1" s="1"/>
  <c r="L157" i="1" a="1"/>
  <c r="L157" i="1" s="1"/>
  <c r="S61" i="1" a="1"/>
  <c r="S61" i="1" s="1"/>
  <c r="S60" i="1" a="1"/>
  <c r="S60" i="1" s="1"/>
  <c r="S59" i="1" a="1"/>
  <c r="S59" i="1" s="1"/>
  <c r="S58" i="1" a="1"/>
  <c r="S58" i="1" s="1"/>
  <c r="S62" i="1" a="1"/>
  <c r="S62" i="1" s="1"/>
  <c r="S63" i="1" a="1"/>
  <c r="S63" i="1" s="1"/>
  <c r="S52" i="1" a="1"/>
  <c r="S52" i="1" s="1"/>
  <c r="S53" i="1" a="1"/>
  <c r="S53" i="1" s="1"/>
  <c r="S76" i="1" a="1"/>
  <c r="S76" i="1" s="1"/>
  <c r="S77" i="1" a="1"/>
  <c r="S77" i="1" s="1"/>
  <c r="S79" i="1" a="1"/>
  <c r="S79" i="1" s="1"/>
  <c r="S78" i="1" a="1"/>
  <c r="S78" i="1" s="1"/>
  <c r="S55" i="1" a="1"/>
  <c r="S55" i="1" s="1"/>
  <c r="S54" i="1" a="1"/>
  <c r="S54" i="1" s="1"/>
  <c r="S73" i="1" a="1"/>
  <c r="S73" i="1" s="1"/>
  <c r="S72" i="1" a="1"/>
  <c r="S72" i="1" s="1"/>
  <c r="S75" i="1" a="1"/>
  <c r="S75" i="1" s="1"/>
  <c r="S74" i="1" a="1"/>
  <c r="S74" i="1" s="1"/>
  <c r="S64" i="1" a="1"/>
  <c r="S64" i="1" s="1"/>
  <c r="S65" i="1" a="1"/>
  <c r="S65" i="1" s="1"/>
  <c r="S35" i="1" a="1"/>
  <c r="S35" i="1" s="1"/>
  <c r="S34" i="1" a="1"/>
  <c r="S34" i="1" s="1"/>
  <c r="S5" i="1" a="1"/>
  <c r="S5" i="1" s="1"/>
  <c r="S4" i="1" a="1"/>
  <c r="S4" i="1" s="1"/>
  <c r="S3" i="1" a="1"/>
  <c r="S3" i="1" s="1"/>
  <c r="S2" i="1" a="1"/>
  <c r="S2" i="1" s="1"/>
  <c r="T75" i="1" a="1"/>
  <c r="T75" i="1" s="1"/>
  <c r="T74" i="1" a="1"/>
  <c r="T74" i="1" s="1"/>
  <c r="T72" i="1" a="1"/>
  <c r="T72" i="1" s="1"/>
  <c r="T73" i="1" a="1"/>
  <c r="T73" i="1" s="1"/>
  <c r="T61" i="1" a="1"/>
  <c r="T61" i="1" s="1"/>
  <c r="T60" i="1" a="1"/>
  <c r="T60" i="1" s="1"/>
  <c r="T78" i="1" a="1"/>
  <c r="T78" i="1" s="1"/>
  <c r="T79" i="1" a="1"/>
  <c r="T79" i="1" s="1"/>
  <c r="T76" i="1" a="1"/>
  <c r="T76" i="1" s="1"/>
  <c r="T77" i="1" a="1"/>
  <c r="T77" i="1" s="1"/>
  <c r="BF20" i="2"/>
  <c r="R58" i="1" a="1"/>
  <c r="R58" i="1" s="1"/>
  <c r="R59" i="1" a="1"/>
  <c r="R59" i="1" s="1"/>
  <c r="R56" i="1" a="1"/>
  <c r="R56" i="1" s="1"/>
  <c r="R57" i="1" a="1"/>
  <c r="R57" i="1" s="1"/>
  <c r="R62" i="1" a="1"/>
  <c r="R62" i="1" s="1"/>
  <c r="R63" i="1" a="1"/>
  <c r="R63" i="1" s="1"/>
  <c r="R53" i="1" a="1"/>
  <c r="R53" i="1" s="1"/>
  <c r="R52" i="1" a="1"/>
  <c r="R52" i="1" s="1"/>
  <c r="Q59" i="1" a="1"/>
  <c r="Q59" i="1" s="1"/>
  <c r="Q58" i="1" a="1"/>
  <c r="Q58" i="1" s="1"/>
  <c r="Q62" i="1" a="1"/>
  <c r="Q62" i="1" s="1"/>
  <c r="Q63" i="1" a="1"/>
  <c r="Q63" i="1" s="1"/>
  <c r="Q76" i="1" a="1"/>
  <c r="Q76" i="1" s="1"/>
  <c r="Q77" i="1" a="1"/>
  <c r="Q77" i="1" s="1"/>
  <c r="Q52" i="1" a="1"/>
  <c r="Q52" i="1" s="1"/>
  <c r="Q53" i="1" a="1"/>
  <c r="Q53" i="1" s="1"/>
  <c r="AK17" i="2"/>
  <c r="Q64" i="1" a="1"/>
  <c r="Q64" i="1" s="1"/>
  <c r="Q65" i="1" a="1"/>
  <c r="Q65" i="1" s="1"/>
  <c r="Q56" i="1" a="1"/>
  <c r="Q56" i="1" s="1"/>
  <c r="Q57" i="1" a="1"/>
  <c r="Q57" i="1" s="1"/>
  <c r="Q35" i="1" a="1"/>
  <c r="Q35" i="1" s="1"/>
  <c r="Q34" i="1" a="1"/>
  <c r="Q34" i="1" s="1"/>
  <c r="Q2" i="1" a="1"/>
  <c r="Q2" i="1" s="1"/>
  <c r="Q3" i="1" a="1"/>
  <c r="Q3" i="1" s="1"/>
  <c r="L53" i="1" a="1"/>
  <c r="L53" i="1" s="1"/>
  <c r="L52" i="1" a="1"/>
  <c r="L52" i="1" s="1"/>
  <c r="L57" i="1" a="1"/>
  <c r="L57" i="1" s="1"/>
  <c r="L56" i="1" a="1"/>
  <c r="L56" i="1" s="1"/>
  <c r="L55" i="1" a="1"/>
  <c r="L55" i="1" s="1"/>
  <c r="L54" i="1" a="1"/>
  <c r="L54" i="1" s="1"/>
  <c r="L60" i="1" a="1"/>
  <c r="L60" i="1" s="1"/>
  <c r="L61" i="1" a="1"/>
  <c r="L61" i="1" s="1"/>
  <c r="L63" i="1" a="1"/>
  <c r="L63" i="1" s="1"/>
  <c r="L62" i="1" a="1"/>
  <c r="L62" i="1" s="1"/>
  <c r="P104" i="1"/>
  <c r="P100" i="1"/>
  <c r="P106" i="1"/>
  <c r="P108" i="1"/>
  <c r="P105" i="1"/>
  <c r="P101" i="1"/>
  <c r="BF19" i="2"/>
  <c r="P152" i="1"/>
  <c r="P159" i="1"/>
  <c r="P156" i="1"/>
  <c r="P150" i="1"/>
  <c r="P154" i="1"/>
  <c r="P149" i="1"/>
  <c r="P155" i="1"/>
  <c r="BF16" i="2"/>
  <c r="AY19" i="2"/>
  <c r="S57" i="1" l="1" a="1"/>
  <c r="S57" i="1" s="1"/>
  <c r="S56" i="1" a="1"/>
  <c r="S56" i="1" s="1"/>
  <c r="T57" i="1" a="1"/>
  <c r="T57" i="1" s="1"/>
  <c r="T56" i="1" a="1"/>
  <c r="T56" i="1" s="1"/>
  <c r="T59" i="1" a="1"/>
  <c r="T59" i="1" s="1"/>
  <c r="T58" i="1" a="1"/>
  <c r="T58" i="1" s="1"/>
  <c r="T63" i="1" a="1"/>
  <c r="T63" i="1" s="1"/>
  <c r="T62" i="1" a="1"/>
  <c r="T62" i="1" s="1"/>
  <c r="Q60" i="1" a="1"/>
  <c r="Q60" i="1" s="1"/>
  <c r="Q61" i="1" a="1"/>
  <c r="Q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tc={04541BF4-F584-4A94-9102-487F712E3587}</author>
    <author>tc={40A8407F-E96A-43C5-93E7-229BB3D1FCF6}</author>
    <author>tc={0437DE3C-3FBB-4E3F-AD1A-A4495E8E5B4B}</author>
    <author>tc={276071BD-5B62-456F-9D7F-2FBF409D1AE2}</author>
    <author>tc={780B95DA-36FD-4F15-9D09-10967D51EFE0}</author>
    <author>tc={162C7670-E7F5-4310-BCB2-0C604FF50A34}</author>
    <author>tc={3FA137A2-1FF7-4DB1-81DA-01D3D763CD5B}</author>
    <author>tc={CB7C79FF-ED10-46EF-8436-9E3000E7A415}</author>
    <author>tc={26799908-9381-48A2-AAD9-A71331D94D92}</author>
    <author>tc={43FC2211-EE90-40A9-BAE8-A513647E5990}</author>
    <author>tc={18E64B1E-256A-406E-A2EB-E10113CCE1CD}</author>
    <author>tc={1930BCBB-786C-42E5-BE12-C47DBEB18116}</author>
    <author>tc={D52CA007-3ED6-4799-9D1B-C894FAF9660F}</author>
    <author>tc={BCF6565D-ACFD-453D-B37D-4E3FD0083241}</author>
    <author>tc={90615DBC-D48B-4F9A-9077-DB0A7DFB846A}</author>
    <author>tc={DC31E6CD-7818-431D-99B2-33EF8D039688}</author>
    <author>tc={A6A6C382-0AC3-4F80-BCEE-7A155A36C4F0}</author>
    <author>tc={02EEA0A5-F241-48B5-A83C-D5420EC4C83F}</author>
  </authors>
  <commentList>
    <comment ref="H1" authorId="0" shapeId="0" xr:uid="{04541BF4-F584-4A94-9102-487F712E35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for non-hydronic SH_codes have been introduced here. Values for ‘HYD’ cases are given here, but have already been introduced in technologies.csv</t>
      </text>
    </comment>
    <comment ref="I1" authorId="1" shapeId="0" xr:uid="{40A8407F-E96A-43C5-93E7-229BB3D1FCF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for non-hydronic SH-R are introduced here</t>
      </text>
    </comment>
    <comment ref="J1" authorId="2" shapeId="0" xr:uid="{0437DE3C-3FBB-4E3F-AD1A-A4495E8E5B4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only auxiliary to connect with given EPD sizes</t>
      </text>
    </comment>
    <comment ref="L2" authorId="3" shapeId="0" xr:uid="{276071BD-5B62-456F-9D7F-2FBF409D1AE2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Depends on SH_code. Join based on Hshld_code, Location, SH_code</t>
      </text>
    </comment>
    <comment ref="Q2" authorId="4" shapeId="0" xr:uid="{780B95DA-36FD-4F15-9D09-10967D51EFE0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Depends on SH_code. Join based on Hshld_code, Location, SH_code</t>
      </text>
    </comment>
    <comment ref="W2" authorId="5" shapeId="0" xr:uid="{162C7670-E7F5-4310-BCB2-0C604FF50A34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Depends on SH_code. Join based on Hshld_code, Location, SH_code</t>
      </text>
    </comment>
    <comment ref="AB2" authorId="6" shapeId="0" xr:uid="{3FA137A2-1FF7-4DB1-81DA-01D3D763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Depends on SH_code. Join based on Hshld_code, Location, SH_code</t>
      </text>
    </comment>
    <comment ref="L82" authorId="7" shapeId="0" xr:uid="{CB7C79FF-ED10-46EF-8436-9E3000E7A4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DW R</t>
      </text>
    </comment>
    <comment ref="W82" authorId="8" shapeId="0" xr:uid="{26799908-9381-48A2-AAD9-A71331D94D92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DW R</t>
      </text>
    </comment>
    <comment ref="L91" authorId="9" shapeId="0" xr:uid="{43FC2211-EE90-40A9-BAE8-A513647E599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DW HP</t>
      </text>
    </comment>
    <comment ref="W91" authorId="10" shapeId="0" xr:uid="{18E64B1E-256A-406E-A2EB-E10113CCE1C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DW HP</t>
      </text>
    </comment>
    <comment ref="B100" authorId="11" shapeId="0" xr:uid="{1930BCBB-786C-42E5-BE12-C47DBEB18116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type and insulation are also needed for fan coil considerations</t>
      </text>
    </comment>
    <comment ref="E100" authorId="12" shapeId="0" xr:uid="{D52CA007-3ED6-4799-9D1B-C894FAF9660F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code is needed because fan coil sizes depend on weather</t>
      </text>
    </comment>
    <comment ref="L100" authorId="13" shapeId="0" xr:uid="{BCF6565D-ACFD-453D-B37D-4E3FD0083241}">
      <text>
        <t>[Threaded comment]
Your version of Excel allows you to read this threaded comment; however, any edits to it will get removed if the file is opened in a newer version of Excel. Learn more: https://go.microsoft.com/fwlink/?linkid=870924
Comment:
    Sums HP, Tank, and Fan Coil Units, 200 already included in SHDW system</t>
      </text>
    </comment>
    <comment ref="W100" authorId="14" shapeId="0" xr:uid="{90615DBC-D48B-4F9A-9077-DB0A7DFB846A}">
      <text>
        <t>[Threaded comment]
Your version of Excel allows you to read this threaded comment; however, any edits to it will get removed if the file is opened in a newer version of Excel. Learn more: https://go.microsoft.com/fwlink/?linkid=870924
Comment:
    Sums HP, Tank, and Fan Coil Units, 200 already included in SHDW system</t>
      </text>
    </comment>
    <comment ref="E148" authorId="15" shapeId="0" xr:uid="{DC31E6CD-7818-431D-99B2-33EF8D039688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code is needed because fan coil sizes depend on weather</t>
      </text>
    </comment>
    <comment ref="L148" authorId="16" shapeId="0" xr:uid="{A6A6C382-0AC3-4F80-BCEE-7A155A36C4F0}">
      <text>
        <t>[Threaded comment]
Your version of Excel allows you to read this threaded comment; however, any edits to it will get removed if the file is opened in a newer version of Excel. Learn more: https://go.microsoft.com/fwlink/?linkid=870924
Comment:
    Sums HP, Tank, and Fan Coil Units</t>
      </text>
    </comment>
    <comment ref="W148" authorId="17" shapeId="0" xr:uid="{02EEA0A5-F241-48B5-A83C-D5420EC4C83F}">
      <text>
        <t>[Threaded comment]
Your version of Excel allows you to read this threaded comment; however, any edits to it will get removed if the file is opened in a newer version of Excel. Learn more: https://go.microsoft.com/fwlink/?linkid=870924
Comment:
    Sums HP, Tank, and Fan Coil Units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tc={304A639D-B98A-4EEE-821F-B8E6BD652248}</author>
    <author>tc={E9A8836B-CD26-44B7-9C56-5BEE7AC7F59C}</author>
    <author>tc={A642C2AF-EAC4-49A9-9579-FFF41160C2EB}</author>
    <author>tc={CDDA0816-77B8-4547-B388-5BABC641A2EA}</author>
    <author>tc={D2F5113B-A61B-46DC-9ACD-C3A3BF8E899F}</author>
    <author>tc={7E3CCCCB-5BDE-408F-B224-CF8202A233C7}</author>
    <author>tc={7D1AAC10-6B02-44F5-B4D3-A5E519E12A34}</author>
    <author>tc={2B02EFBA-8EA7-4C8D-A77D-753F25038BA1}</author>
    <author>tc={63AC4FBC-D74E-40E5-B71F-0378A2C2097D}</author>
    <author>tc={8DEC0AC1-9C52-42C6-BE0B-1D6F51F04BFC}</author>
    <author>tc={FDF00B22-8A88-4257-8136-17FA6DAFD781}</author>
    <author>tc={F6BDB6D8-DF99-4C13-AB09-3D82F9CA50E8}</author>
  </authors>
  <commentList>
    <comment ref="H1" authorId="0" shapeId="0" xr:uid="{304A639D-B98A-4EEE-821F-B8E6BD6522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for non-hydronic SH_codes have been introduced here. Values for ‘HYD’ cases are given here, but have already been introduced in technologies.csv</t>
      </text>
    </comment>
    <comment ref="I1" authorId="1" shapeId="0" xr:uid="{E9A8836B-CD26-44B7-9C56-5BEE7AC7F59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for non-hydronic SH-R are introduced here</t>
      </text>
    </comment>
    <comment ref="J1" authorId="2" shapeId="0" xr:uid="{A642C2AF-EAC4-49A9-9579-FFF41160C2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only auxiliary to connect with given EPD sizes</t>
      </text>
    </comment>
    <comment ref="L2" authorId="3" shapeId="0" xr:uid="{CDDA0816-77B8-4547-B388-5BABC641A2EA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Depends on SH_code. Join based on Hshld_code, Location, SH_code</t>
      </text>
    </comment>
    <comment ref="Q2" authorId="4" shapeId="0" xr:uid="{D2F5113B-A61B-46DC-9ACD-C3A3BF8E899F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Depends on SH_code. Join based on Hshld_code, Location, SH_code</t>
      </text>
    </comment>
    <comment ref="L82" authorId="5" shapeId="0" xr:uid="{7E3CCCCB-5BDE-408F-B224-CF8202A233C7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DW R</t>
      </text>
    </comment>
    <comment ref="L91" authorId="6" shapeId="0" xr:uid="{7D1AAC10-6B02-44F5-B4D3-A5E519E12A3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DW HP</t>
      </text>
    </comment>
    <comment ref="B100" authorId="7" shapeId="0" xr:uid="{2B02EFBA-8EA7-4C8D-A77D-753F25038BA1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type and insulation are also needed for fan coil considerations</t>
      </text>
    </comment>
    <comment ref="E100" authorId="8" shapeId="0" xr:uid="{63AC4FBC-D74E-40E5-B71F-0378A2C2097D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code is needed because fan coil sizes depend on weather</t>
      </text>
    </comment>
    <comment ref="L100" authorId="9" shapeId="0" xr:uid="{8DEC0AC1-9C52-42C6-BE0B-1D6F51F04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Sums HP, Tank, and Fan Coil Units, 200 already included in SHDW system</t>
      </text>
    </comment>
    <comment ref="E148" authorId="10" shapeId="0" xr:uid="{FDF00B22-8A88-4257-8136-17FA6DAFD781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code is needed because fan coil sizes depend on weather</t>
      </text>
    </comment>
    <comment ref="L148" authorId="11" shapeId="0" xr:uid="{F6BDB6D8-DF99-4C13-AB09-3D82F9CA50E8}">
      <text>
        <t>[Threaded comment]
Your version of Excel allows you to read this threaded comment; however, any edits to it will get removed if the file is opened in a newer version of Excel. Learn more: https://go.microsoft.com/fwlink/?linkid=870924
Comment:
    Sums HP, Tank, and Fan Coil Units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tc={9DB2F5E7-6629-468D-9756-10BB95020384}</author>
  </authors>
  <commentList>
    <comment ref="A1" authorId="0" shapeId="0" xr:uid="{9DB2F5E7-6629-468D-9756-10BB95020384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Capacity for all bedrooms?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tc={E3E709CF-4B10-4CEE-8270-44279E6D7D38}</author>
    <author>tc={F9149D1C-7D17-4B1A-B0C4-7D339A720742}</author>
    <author>tc={AC9C6346-EB59-43E1-8DA7-7CB8CAC426DB}</author>
    <author>tc={EB270895-BE1A-440C-A41C-4545E1199F1F}</author>
    <author>tc={11DF779D-7017-473F-9216-D700E5D4FE3E}</author>
    <author>tc={13741FC6-33F3-4FF7-A73F-0F5B68EE03A3}</author>
    <author>tc={20836F92-CA19-426A-9D73-C5F40B749FE7}</author>
    <author>tc={CCD61295-BDDE-4B87-A7A2-F7A270E93BC1}</author>
    <author>tc={7C8B4F9B-E257-404B-8C30-9B16CC020747}</author>
    <author>tc={B51DE3DA-1E46-4950-A9E1-527D00B29434}</author>
    <author>tc={E976FD95-C171-4399-84A0-85BDF75DD45B}</author>
  </authors>
  <commentList>
    <comment ref="E2" authorId="0" shapeId="0" xr:uid="{E3E709CF-4B10-4CEE-8270-44279E6D7D38}">
      <text>
        <t>[Threaded comment]
Your version of Excel allows you to read this threaded comment; however, any edits to it will get removed if the file is opened in a newer version of Excel. Learn more: https://go.microsoft.com/fwlink/?linkid=870924
Comment:
    Cells in orange can be modified if there are changes in estimated capacities</t>
      </text>
    </comment>
    <comment ref="K10" authorId="1" shapeId="0" xr:uid="{F9149D1C-7D17-4B1A-B0C4-7D339A72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that 16 is not available, hence adjusted to maximum available</t>
      </text>
    </comment>
    <comment ref="N13" authorId="2" shapeId="0" xr:uid="{AC9C6346-EB59-43E1-8DA7-7CB8CAC426DB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to match available sizes (i.e. 0.5 increases, and minimum 5)</t>
      </text>
    </comment>
    <comment ref="I14" authorId="3" shapeId="0" xr:uid="{EB270895-BE1A-440C-A41C-4545E1199F1F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do not change these cells in red</t>
      </text>
    </comment>
    <comment ref="AH14" authorId="4" shapeId="0" xr:uid="{11DF779D-7017-473F-9216-D700E5D4FE3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AO14" authorId="5" shapeId="0" xr:uid="{13741FC6-33F3-4FF7-A73F-0F5B68EE03A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AV14" authorId="6" shapeId="0" xr:uid="{20836F92-CA19-426A-9D73-C5F40B749FE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BC14" authorId="7" shapeId="0" xr:uid="{CCD61295-BDDE-4B87-A7A2-F7A270E93BC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BJ14" authorId="8" shapeId="0" xr:uid="{7C8B4F9B-E257-404B-8C30-9B16CC02074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Q18" authorId="9" shapeId="0" xr:uid="{B51DE3DA-1E46-4950-A9E1-527D00B294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0.5 for 1 (Minimum size)</t>
      </text>
    </comment>
    <comment ref="N19" authorId="10" shapeId="0" xr:uid="{E976FD95-C171-4399-84A0-85BDF75DD45B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is 5 for HP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tc={48C7C9A8-5442-4A75-8608-17030B9C506C}</author>
    <author>tc={671BCC01-C8C2-49D6-B304-A56F36B8BE5F}</author>
    <author>tc={96EA9BC4-5BAE-424F-A2F0-1600AF317842}</author>
    <author>tc={4563FA78-25CD-4E32-A1CA-A796065DD55F}</author>
    <author>tc={E2945B06-CAA0-44DF-B3B0-87DC5AD0D024}</author>
    <author>tc={85410583-777E-488E-BE73-4162787489BC}</author>
    <author>tc={DA73E36C-1E35-4030-AE5E-1779BDEC820F}</author>
    <author>tc={87FE333C-DC48-4CCB-924B-008C77E95D48}</author>
    <author>tc={6D2812C3-DAF3-437C-A389-D333C08891D4}</author>
    <author>tc={0CA1643A-EB89-44FC-9D94-E108D2FEC258}</author>
    <author>tc={EDD02FE7-AA51-43FF-8BED-3F5C3510348F}</author>
  </authors>
  <commentList>
    <comment ref="E2" authorId="0" shapeId="0" xr:uid="{48C7C9A8-5442-4A75-8608-17030B9C506C}">
      <text>
        <t>[Threaded comment]
Your version of Excel allows you to read this threaded comment; however, any edits to it will get removed if the file is opened in a newer version of Excel. Learn more: https://go.microsoft.com/fwlink/?linkid=870924
Comment:
    Cells in orange can be modified if there are changes in estimated capacities</t>
      </text>
    </comment>
    <comment ref="K10" authorId="1" shapeId="0" xr:uid="{671BCC01-C8C2-49D6-B304-A56F36B8B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that 16 is not available, hence adjusted to maximum available</t>
      </text>
    </comment>
    <comment ref="N13" authorId="2" shapeId="0" xr:uid="{96EA9BC4-5BAE-424F-A2F0-1600AF317842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to match available sizes (i.e. 0.5 increases, and minimum 5)</t>
      </text>
    </comment>
    <comment ref="I14" authorId="3" shapeId="0" xr:uid="{4563FA78-25CD-4E32-A1CA-A796065D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do not change these cells in red</t>
      </text>
    </comment>
    <comment ref="AH14" authorId="4" shapeId="0" xr:uid="{E2945B06-CAA0-44DF-B3B0-87DC5AD0D02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AO14" authorId="5" shapeId="0" xr:uid="{85410583-777E-488E-BE73-4162787489B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AV14" authorId="6" shapeId="0" xr:uid="{DA73E36C-1E35-4030-AE5E-1779BDEC820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BC14" authorId="7" shapeId="0" xr:uid="{87FE333C-DC48-4CCB-924B-008C77E95D4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BJ14" authorId="8" shapeId="0" xr:uid="{6D2812C3-DAF3-437C-A389-D333C08891D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Q18" authorId="9" shapeId="0" xr:uid="{0CA1643A-EB89-44FC-9D94-E108D2FEC2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0.5 for 1 (Minimum size)</t>
      </text>
    </comment>
    <comment ref="N19" authorId="10" shapeId="0" xr:uid="{EDD02FE7-AA51-43FF-8BED-3F5C3510348F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is 5 for HP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tc={BA88CBED-3237-4406-B65D-7EDD5EA00F35}</author>
    <author>tc={B73C5BB2-0149-4C5F-8DE7-D97444452470}</author>
    <author>tc={006017C0-98EC-4581-8EF1-C7128294F1AB}</author>
    <author>tc={2AB6C97A-2520-4E8C-8B6E-710A0E2B73DA}</author>
    <author>tc={95516AFC-1E35-4156-AE9A-9571271FA6F1}</author>
    <author>tc={04A8AB01-1115-4BA6-BA2A-A47F948AEA71}</author>
    <author>tc={B574E8B5-EFE7-4F51-9A65-5792DF465176}</author>
    <author>tc={2B6C0158-F5A8-4B22-986E-2EDBA92930D0}</author>
    <author>tc={BD100004-F30D-42D4-A955-993BD992BE34}</author>
    <author>tc={A05F7E97-133A-4B27-A9C7-BD109DC4BBEA}</author>
    <author>tc={E3ABD905-5F1B-45D9-B8FD-356E02CFFB15}</author>
  </authors>
  <commentList>
    <comment ref="E2" authorId="0" shapeId="0" xr:uid="{BA88CBED-3237-4406-B65D-7EDD5EA00F35}">
      <text>
        <t>[Threaded comment]
Your version of Excel allows you to read this threaded comment; however, any edits to it will get removed if the file is opened in a newer version of Excel. Learn more: https://go.microsoft.com/fwlink/?linkid=870924
Comment:
    Cells in orange can be modified if there are changes in estimated capacities</t>
      </text>
    </comment>
    <comment ref="K10" authorId="1" shapeId="0" xr:uid="{B73C5BB2-0149-4C5F-8DE7-D974444524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that 16 is not available, hence adjusted to maximum available</t>
      </text>
    </comment>
    <comment ref="N13" authorId="2" shapeId="0" xr:uid="{006017C0-98EC-4581-8EF1-C7128294F1AB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to match available sizes (i.e. 0.5 increases, and minimum 5)</t>
      </text>
    </comment>
    <comment ref="I14" authorId="3" shapeId="0" xr:uid="{2AB6C97A-2520-4E8C-8B6E-710A0E2B73DA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do not change these cells in red</t>
      </text>
    </comment>
    <comment ref="AH14" authorId="4" shapeId="0" xr:uid="{95516AFC-1E35-4156-AE9A-9571271FA6F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AO14" authorId="5" shapeId="0" xr:uid="{04A8AB01-1115-4BA6-BA2A-A47F948AEA7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AV14" authorId="6" shapeId="0" xr:uid="{B574E8B5-EFE7-4F51-9A65-5792DF46517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BC14" authorId="7" shapeId="0" xr:uid="{2B6C0158-F5A8-4B22-986E-2EDBA92930D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BJ14" authorId="8" shapeId="0" xr:uid="{BD100004-F30D-42D4-A955-993BD992BE3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four for Mass, second four for Modern</t>
      </text>
    </comment>
    <comment ref="Q18" authorId="9" shapeId="0" xr:uid="{A05F7E97-133A-4B27-A9C7-BD109DC4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0.5 for 1 (Minimum size)</t>
      </text>
    </comment>
    <comment ref="N19" authorId="10" shapeId="0" xr:uid="{E3ABD905-5F1B-45D9-B8FD-356E02CFFB15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is 5 for HP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Gallardo Ocampo</author>
  </authors>
  <commentList>
    <comment ref="H6" authorId="0" shapeId="0" xr:uid="{694559A1-F602-4540-9357-5F3B396A3C05}">
      <text>
        <r>
          <rPr>
            <b/>
            <sz val="9"/>
            <color indexed="81"/>
            <rFont val="Tahoma"/>
            <charset val="1"/>
          </rPr>
          <t>Patricio Gallardo Ocampo:</t>
        </r>
        <r>
          <rPr>
            <sz val="9"/>
            <color indexed="81"/>
            <rFont val="Tahoma"/>
            <charset val="1"/>
          </rPr>
          <t xml:space="preserve">
these figures in purple boxes change with sensitivity analysis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<sst xmlns="http://schemas.openxmlformats.org/spreadsheetml/2006/main" count="2018" uniqueCount="119">
  <si>
    <t>Hshld_code</t>
  </si>
  <si>
    <t>Loc_code</t>
  </si>
  <si>
    <t>Mass-Nom-Ideal</t>
  </si>
  <si>
    <t>AK</t>
  </si>
  <si>
    <t>Mass-Nom-Real</t>
  </si>
  <si>
    <t>Mass-H1-Real</t>
  </si>
  <si>
    <t>Mass-H1-Ideal</t>
  </si>
  <si>
    <t>Mod-Nom-Real</t>
  </si>
  <si>
    <t>Mod-Nom-Ideal</t>
  </si>
  <si>
    <t>Mod-H1-Real</t>
  </si>
  <si>
    <t>Mod-H1-Ideal</t>
  </si>
  <si>
    <t>CH</t>
  </si>
  <si>
    <t>SH_code</t>
  </si>
  <si>
    <t>R</t>
  </si>
  <si>
    <t>Rl</t>
  </si>
  <si>
    <t>Rb</t>
  </si>
  <si>
    <t>HP</t>
  </si>
  <si>
    <t>HPl</t>
  </si>
  <si>
    <t>Combined Living / Kitchen / Dining (kW)</t>
  </si>
  <si>
    <t>Bdrm 1 (kW)</t>
  </si>
  <si>
    <t>Bdrm 2 (kW)</t>
  </si>
  <si>
    <t>Total (kW)</t>
  </si>
  <si>
    <t>Living (kW)</t>
  </si>
  <si>
    <t>Kitchen Living Dining (kW)</t>
  </si>
  <si>
    <t>Bdrm 3 (kW)</t>
  </si>
  <si>
    <t>Bdrm 4 (kW)</t>
  </si>
  <si>
    <t>Embedded Emissions kgCO2e</t>
  </si>
  <si>
    <t>kW</t>
  </si>
  <si>
    <t>SH-R</t>
  </si>
  <si>
    <t>litres</t>
  </si>
  <si>
    <t>DW-R</t>
  </si>
  <si>
    <t>DW-HP</t>
  </si>
  <si>
    <t>SHDW-AWHP</t>
  </si>
  <si>
    <t>SHDW-FCU</t>
  </si>
  <si>
    <t>SHDW-BUF</t>
  </si>
  <si>
    <t>SH_R</t>
  </si>
  <si>
    <t>SH_HP</t>
  </si>
  <si>
    <t>Mass</t>
  </si>
  <si>
    <t>Mod</t>
  </si>
  <si>
    <t>Location</t>
  </si>
  <si>
    <t>Type</t>
  </si>
  <si>
    <t>Insulation</t>
  </si>
  <si>
    <t>Nom</t>
  </si>
  <si>
    <t>H1</t>
  </si>
  <si>
    <t>Hshld_subcode</t>
  </si>
  <si>
    <t>SH_Rb</t>
  </si>
  <si>
    <t>SH_Rl</t>
  </si>
  <si>
    <t>SH_HPl</t>
  </si>
  <si>
    <t>Estimated_Total</t>
  </si>
  <si>
    <t>Total_adjusted</t>
  </si>
  <si>
    <t>Emissions</t>
  </si>
  <si>
    <t>Cap</t>
  </si>
  <si>
    <t>DW_code</t>
  </si>
  <si>
    <t>Tank_Volume (L)</t>
  </si>
  <si>
    <t>HYD200</t>
  </si>
  <si>
    <t>HYD500</t>
  </si>
  <si>
    <t>Hyd_Cap_kW_Adj</t>
  </si>
  <si>
    <t>HYD1000</t>
  </si>
  <si>
    <t>Emissions Fan Coil</t>
  </si>
  <si>
    <t>SH_HYD</t>
  </si>
  <si>
    <t>PLEASE DO NOT CHANGE CODE IN CELLS. BE AWARE THAT CODE DOES NOT NECESSARILY APPLIES TO ALL CELLS WITHIN A COLUMN; THEY ARE CASE/SCENARIO SPECIFIC. CELLS IN BLUE CAN BE COPIED AS VALUES (NO FORMAT OR FORMULAS) TO A CSV FILE TO BE USED FOR FURTHER PROCESSING WITH TECHNOLOGIES.CSV</t>
  </si>
  <si>
    <t>house_type</t>
  </si>
  <si>
    <t>insulation</t>
  </si>
  <si>
    <t>HP_cap</t>
  </si>
  <si>
    <t>Ro</t>
  </si>
  <si>
    <t>HPo</t>
  </si>
  <si>
    <t>R_cap</t>
  </si>
  <si>
    <t>Lifetime Est</t>
  </si>
  <si>
    <t>SH-HP (SS)</t>
  </si>
  <si>
    <t>SH-HP (MS2)</t>
  </si>
  <si>
    <t>SH-HP (MS4)</t>
  </si>
  <si>
    <t>SH_HPb</t>
  </si>
  <si>
    <t>NA</t>
  </si>
  <si>
    <t>Mass-H1-AK-HPl/Mod-H1-AK-HPl</t>
  </si>
  <si>
    <t>Mass-H1-CH-HPl</t>
  </si>
  <si>
    <t>Mass-Nom-AK-HPl</t>
  </si>
  <si>
    <t>Mod-H1-CH-HPl</t>
  </si>
  <si>
    <t>Mass-Nom-CH-HPl</t>
  </si>
  <si>
    <t>Mod-Nom-CH-HPl</t>
  </si>
  <si>
    <t>Mass-H1-AK-HPb</t>
  </si>
  <si>
    <t>Mod-H1-CH-HPb</t>
  </si>
  <si>
    <t>Mass-Nom-AK-HPb</t>
  </si>
  <si>
    <t>Mass-Nom-CH-HPb</t>
  </si>
  <si>
    <t>Mod-H1-AK-HPb</t>
  </si>
  <si>
    <t>Mod-Nom-AK-HPb</t>
  </si>
  <si>
    <t>Mod-Nom-CH-HPb</t>
  </si>
  <si>
    <t>Combination</t>
  </si>
  <si>
    <t>Mass-H1-AK-HPl</t>
  </si>
  <si>
    <t>Mod-H1-AK-HPl</t>
  </si>
  <si>
    <t>Mass-H1-CH-HPb</t>
  </si>
  <si>
    <t>Mod-Nom-AK-HPl</t>
  </si>
  <si>
    <t>HPb</t>
  </si>
  <si>
    <t>House_Ins_Loc</t>
  </si>
  <si>
    <t>Manufacture</t>
  </si>
  <si>
    <t>Distribution</t>
  </si>
  <si>
    <t>Installation</t>
  </si>
  <si>
    <t>EOL</t>
  </si>
  <si>
    <t>B2-B5</t>
  </si>
  <si>
    <t>Hyd_Manufacture_HP</t>
  </si>
  <si>
    <t>Hyd_Manufacture_Tank</t>
  </si>
  <si>
    <t>Hyd_Manufacture_FC</t>
  </si>
  <si>
    <t>Hyd_Manufacture</t>
  </si>
  <si>
    <t>Other</t>
  </si>
  <si>
    <t>EOL_R</t>
  </si>
  <si>
    <t>EOL_S</t>
  </si>
  <si>
    <t>Other_S</t>
  </si>
  <si>
    <t>B2-B5_R</t>
  </si>
  <si>
    <t>Embedded Energy MJ</t>
  </si>
  <si>
    <t>Energy</t>
  </si>
  <si>
    <t>Energy Fan Coil</t>
  </si>
  <si>
    <t>Manufacture_MJ</t>
  </si>
  <si>
    <t>Distribution_MJ</t>
  </si>
  <si>
    <t>Installation_MJ</t>
  </si>
  <si>
    <t>EOL_MJ</t>
  </si>
  <si>
    <t>Other_MJ</t>
  </si>
  <si>
    <t>Hyd_Manufacture_MJ_HP</t>
  </si>
  <si>
    <t>Hyd_Manufacture_MJ_Tank</t>
  </si>
  <si>
    <t>Hyd_Manufacture_MJ_FC</t>
  </si>
  <si>
    <t>Hyd_Manufacture_MJ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</si>
</sst>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wrapText="1"/>
    </xf>
    <xf numFmtId="2" fontId="0" fillId="4" borderId="0" xfId="0" applyNumberFormat="1" applyFill="1"/>
    <xf numFmtId="2" fontId="0" fillId="5" borderId="0" xfId="0" applyNumberFormat="1" applyFill="1"/>
    <xf numFmtId="0" fontId="0" fillId="6" borderId="0" xfId="0" applyFill="1"/>
    <xf numFmtId="0" fontId="0" fillId="7" borderId="0" xfId="0" applyFill="1"/>
    <xf numFmtId="2" fontId="0" fillId="7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o Gallardo Ocampo" id="{E7918B3F-965A-4841-868A-78AAA1BE0171}" userId="S::patricio.gallardoocampo@canterbury.ac.nz::fbc4e8df-f15e-4b2d-bbc2-bf5ae30e9d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6-12T23:33:37.56" personId="{E7918B3F-965A-4841-868A-78AAA1BE0171}" id="{04541BF4-F584-4A94-9102-487F712E3587}">
    <text>Values for non-hydronic SH_codes have been introduced here. Values for ‘HYD’ cases are given here, but have already been introduced in technologies.csv</text>
  </threadedComment>
  <threadedComment ref="I1" dT="2025-06-15T22:19:14.99" personId="{E7918B3F-965A-4841-868A-78AAA1BE0171}" id="{40A8407F-E96A-43C5-93E7-229BB3D1FCF6}">
    <text>Values for non-hydronic SH-R are introduced here</text>
  </threadedComment>
  <threadedComment ref="J1" dT="2025-06-12T02:06:31.85" personId="{E7918B3F-965A-4841-868A-78AAA1BE0171}" id="{0437DE3C-3FBB-4E3F-AD1A-A4495E8E5B4B}">
    <text>This is only auxiliary to connect with given EPD sizes</text>
  </threadedComment>
  <threadedComment ref="L2" dT="2025-06-12T02:38:24.95" personId="{E7918B3F-965A-4841-868A-78AAA1BE0171}" id="{276071BD-5B62-456F-9D7F-2FBF409D1AE2}">
    <text>Depends on SH_code. Join based on Hshld_code, Location, SH_code</text>
  </threadedComment>
  <threadedComment ref="Q2" dT="2025-06-12T02:38:24.95" personId="{E7918B3F-965A-4841-868A-78AAA1BE0171}" id="{780B95DA-36FD-4F15-9D09-10967D51EFE0}">
    <text>Depends on SH_code. Join based on Hshld_code, Location, SH_code</text>
  </threadedComment>
  <threadedComment ref="W2" dT="2025-06-12T02:38:24.95" personId="{E7918B3F-965A-4841-868A-78AAA1BE0171}" id="{162C7670-E7F5-4310-BCB2-0C604FF50A34}">
    <text>Depends on SH_code. Join based on Hshld_code, Location, SH_code</text>
  </threadedComment>
  <threadedComment ref="AB2" dT="2025-06-12T02:38:24.95" personId="{E7918B3F-965A-4841-868A-78AAA1BE0171}" id="{3FA137A2-1FF7-4DB1-81DA-01D3D763CD5B}">
    <text>Depends on SH_code. Join based on Hshld_code, Location, SH_code</text>
  </threadedComment>
  <threadedComment ref="L82" dT="2025-06-12T02:37:56.16" personId="{E7918B3F-965A-4841-868A-78AAA1BE0171}" id="{CB7C79FF-ED10-46EF-8436-9E3000E7A415}">
    <text>Lookup DW R</text>
  </threadedComment>
  <threadedComment ref="W82" dT="2025-06-12T02:37:56.16" personId="{E7918B3F-965A-4841-868A-78AAA1BE0171}" id="{26799908-9381-48A2-AAD9-A71331D94D92}">
    <text>Lookup DW R</text>
  </threadedComment>
  <threadedComment ref="L91" dT="2025-06-13T01:47:27.61" personId="{E7918B3F-965A-4841-868A-78AAA1BE0171}" id="{43FC2211-EE90-40A9-BAE8-A513647E5990}">
    <text>Lookup DW HP</text>
  </threadedComment>
  <threadedComment ref="W91" dT="2025-06-13T01:47:27.61" personId="{E7918B3F-965A-4841-868A-78AAA1BE0171}" id="{18E64B1E-256A-406E-A2EB-E10113CCE1CD}">
    <text>Lookup DW HP</text>
  </threadedComment>
  <threadedComment ref="B100" dT="2025-06-12T03:19:15.45" personId="{E7918B3F-965A-4841-868A-78AAA1BE0171}" id="{1930BCBB-786C-42E5-BE12-C47DBEB18116}">
    <text>House type and insulation are also needed for fan coil considerations</text>
  </threadedComment>
  <threadedComment ref="E100" dT="2025-06-12T03:13:36.79" personId="{E7918B3F-965A-4841-868A-78AAA1BE0171}" id="{D52CA007-3ED6-4799-9D1B-C894FAF9660F}">
    <text>Location code is needed because fan coil sizes depend on weather</text>
  </threadedComment>
  <threadedComment ref="L100" dT="2025-06-12T03:25:50.70" personId="{E7918B3F-965A-4841-868A-78AAA1BE0171}" id="{BCF6565D-ACFD-453D-B37D-4E3FD0083241}">
    <text>Sums HP, Tank, and Fan Coil Units, 200 already included in SHDW system</text>
  </threadedComment>
  <threadedComment ref="W100" dT="2025-06-12T03:25:50.70" personId="{E7918B3F-965A-4841-868A-78AAA1BE0171}" id="{90615DBC-D48B-4F9A-9077-DB0A7DFB846A}">
    <text>Sums HP, Tank, and Fan Coil Units, 200 already included in SHDW system</text>
  </threadedComment>
  <threadedComment ref="E148" dT="2025-06-12T03:13:36.79" personId="{E7918B3F-965A-4841-868A-78AAA1BE0171}" id="{DC31E6CD-7818-431D-99B2-33EF8D039688}">
    <text>Location code is needed because fan coil sizes depend on weather</text>
  </threadedComment>
  <threadedComment ref="L148" dT="2025-06-12T03:25:50.70" personId="{E7918B3F-965A-4841-868A-78AAA1BE0171}" id="{A6A6C382-0AC3-4F80-BCEE-7A155A36C4F0}">
    <text>Sums HP, Tank, and Fan Coil Units</text>
  </threadedComment>
  <threadedComment ref="W148" dT="2025-06-12T03:25:50.70" personId="{E7918B3F-965A-4841-868A-78AAA1BE0171}" id="{02EEA0A5-F241-48B5-A83C-D5420EC4C83F}">
    <text>Sums HP, Tank, and Fan Coil Units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5-06-12T23:33:37.56" personId="{E7918B3F-965A-4841-868A-78AAA1BE0171}" id="{304A639D-B98A-4EEE-821F-B8E6BD652248}">
    <text>Values for non-hydronic SH_codes have been introduced here. Values for ‘HYD’ cases are given here, but have already been introduced in technologies.csv</text>
  </threadedComment>
  <threadedComment ref="I1" dT="2025-06-15T22:19:14.99" personId="{E7918B3F-965A-4841-868A-78AAA1BE0171}" id="{E9A8836B-CD26-44B7-9C56-5BEE7AC7F59C}">
    <text>Values for non-hydronic SH-R are introduced here</text>
  </threadedComment>
  <threadedComment ref="J1" dT="2025-06-12T02:06:31.85" personId="{E7918B3F-965A-4841-868A-78AAA1BE0171}" id="{A642C2AF-EAC4-49A9-9579-FFF41160C2EB}">
    <text>This is only auxiliary to connect with given EPD sizes</text>
  </threadedComment>
  <threadedComment ref="L2" dT="2025-06-12T02:38:24.95" personId="{E7918B3F-965A-4841-868A-78AAA1BE0171}" id="{CDDA0816-77B8-4547-B388-5BABC641A2EA}">
    <text>Depends on SH_code. Join based on Hshld_code, Location, SH_code</text>
  </threadedComment>
  <threadedComment ref="Q2" dT="2025-06-12T02:38:24.95" personId="{E7918B3F-965A-4841-868A-78AAA1BE0171}" id="{D2F5113B-A61B-46DC-9ACD-C3A3BF8E899F}">
    <text>Depends on SH_code. Join based on Hshld_code, Location, SH_code</text>
  </threadedComment>
  <threadedComment ref="L82" dT="2025-06-12T02:37:56.16" personId="{E7918B3F-965A-4841-868A-78AAA1BE0171}" id="{7E3CCCCB-5BDE-408F-B224-CF8202A233C7}">
    <text>Lookup DW R</text>
  </threadedComment>
  <threadedComment ref="L91" dT="2025-06-13T01:47:27.61" personId="{E7918B3F-965A-4841-868A-78AAA1BE0171}" id="{7D1AAC10-6B02-44F5-B4D3-A5E519E12A34}">
    <text>Lookup DW HP</text>
  </threadedComment>
  <threadedComment ref="B100" dT="2025-06-12T03:19:15.45" personId="{E7918B3F-965A-4841-868A-78AAA1BE0171}" id="{2B02EFBA-8EA7-4C8D-A77D-753F25038BA1}">
    <text>House type and insulation are also needed for fan coil considerations</text>
  </threadedComment>
  <threadedComment ref="E100" dT="2025-06-12T03:13:36.79" personId="{E7918B3F-965A-4841-868A-78AAA1BE0171}" id="{63AC4FBC-D74E-40E5-B71F-0378A2C2097D}">
    <text>Location code is needed because fan coil sizes depend on weather</text>
  </threadedComment>
  <threadedComment ref="L100" dT="2025-06-12T03:25:50.70" personId="{E7918B3F-965A-4841-868A-78AAA1BE0171}" id="{8DEC0AC1-9C52-42C6-BE0B-1D6F51F04BFC}">
    <text>Sums HP, Tank, and Fan Coil Units, 200 already included in SHDW system</text>
  </threadedComment>
  <threadedComment ref="E148" dT="2025-06-12T03:13:36.79" personId="{E7918B3F-965A-4841-868A-78AAA1BE0171}" id="{FDF00B22-8A88-4257-8136-17FA6DAFD781}">
    <text>Location code is needed because fan coil sizes depend on weather</text>
  </threadedComment>
  <threadedComment ref="L148" dT="2025-06-12T03:25:50.70" personId="{E7918B3F-965A-4841-868A-78AAA1BE0171}" id="{F6BDB6D8-DF99-4C13-AB09-3D82F9CA50E8}">
    <text>Sums HP, Tank, and Fan Coil Units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5-07-20T21:23:59.13" personId="{E7918B3F-965A-4841-868A-78AAA1BE0171}" id="{9DB2F5E7-6629-468D-9756-10BB95020384}">
    <text>Capacity for all bedrooms?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2" dT="2025-06-12T23:35:05.95" personId="{E7918B3F-965A-4841-868A-78AAA1BE0171}" id="{E3E709CF-4B10-4CEE-8270-44279E6D7D38}">
    <text>Cells in orange can be modified if there are changes in estimated capacities</text>
  </threadedComment>
  <threadedComment ref="K10" dT="2025-06-12T00:27:18.90" personId="{E7918B3F-965A-4841-868A-78AAA1BE0171}" id="{F9149D1C-7D17-4B1A-B0C4-7D339A720742}">
    <text>Note that 16 is not available, hence adjusted to maximum available</text>
  </threadedComment>
  <threadedComment ref="N13" dT="2025-06-12T00:25:33.79" personId="{E7918B3F-965A-4841-868A-78AAA1BE0171}" id="{AC9C6346-EB59-43E1-8DA7-7CB8CAC426DB}">
    <text>Adjusted to match available sizes (i.e. 0.5 increases, and minimum 5)</text>
  </threadedComment>
  <threadedComment ref="I14" dT="2025-06-12T23:36:00.82" personId="{E7918B3F-965A-4841-868A-78AAA1BE0171}" id="{EB270895-BE1A-440C-A41C-4545E1199F1F}">
    <text>Please do not change these cells in red</text>
  </threadedComment>
  <threadedComment ref="AH14" dT="2025-07-18T01:05:09.56" personId="{E7918B3F-965A-4841-868A-78AAA1BE0171}" id="{11DF779D-7017-473F-9216-D700E5D4FE3E}">
    <text>First four for Mass, second four for Modern</text>
  </threadedComment>
  <threadedComment ref="AO14" dT="2025-07-18T01:05:09.56" personId="{E7918B3F-965A-4841-868A-78AAA1BE0171}" id="{13741FC6-33F3-4FF7-A73F-0F5B68EE03A3}">
    <text>First four for Mass, second four for Modern</text>
  </threadedComment>
  <threadedComment ref="AV14" dT="2025-07-18T01:05:09.56" personId="{E7918B3F-965A-4841-868A-78AAA1BE0171}" id="{20836F92-CA19-426A-9D73-C5F40B749FE7}">
    <text>First four for Mass, second four for Modern</text>
  </threadedComment>
  <threadedComment ref="BC14" dT="2025-07-18T01:05:09.56" personId="{E7918B3F-965A-4841-868A-78AAA1BE0171}" id="{CCD61295-BDDE-4B87-A7A2-F7A270E93BC1}">
    <text>First four for Mass, second four for Modern</text>
  </threadedComment>
  <threadedComment ref="BJ14" dT="2025-07-18T01:05:09.56" personId="{E7918B3F-965A-4841-868A-78AAA1BE0171}" id="{7C8B4F9B-E257-404B-8C30-9B16CC020747}">
    <text>First four for Mass, second four for Modern</text>
  </threadedComment>
  <threadedComment ref="Q18" dT="2025-06-12T00:26:26.06" personId="{E7918B3F-965A-4841-868A-78AAA1BE0171}" id="{B51DE3DA-1E46-4950-A9E1-527D00B29434}">
    <text>Replace 0.5 for 1 (Minimum size)</text>
  </threadedComment>
  <threadedComment ref="N19" dT="2025-06-12T20:41:55.27" personId="{E7918B3F-965A-4841-868A-78AAA1BE0171}" id="{E976FD95-C171-4399-84A0-85BDF75DD45B}">
    <text>Minimum is 5 for HP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5-06-12T23:35:05.95" personId="{E7918B3F-965A-4841-868A-78AAA1BE0171}" id="{48C7C9A8-5442-4A75-8608-17030B9C506C}">
    <text>Cells in orange can be modified if there are changes in estimated capacities</text>
  </threadedComment>
  <threadedComment ref="K10" dT="2025-06-12T00:27:18.90" personId="{E7918B3F-965A-4841-868A-78AAA1BE0171}" id="{671BCC01-C8C2-49D6-B304-A56F36B8BE5F}">
    <text>Note that 16 is not available, hence adjusted to maximum available</text>
  </threadedComment>
  <threadedComment ref="N13" dT="2025-06-12T00:25:33.79" personId="{E7918B3F-965A-4841-868A-78AAA1BE0171}" id="{96EA9BC4-5BAE-424F-A2F0-1600AF317842}">
    <text>Adjusted to match available sizes (i.e. 0.5 increases, and minimum 5)</text>
  </threadedComment>
  <threadedComment ref="I14" dT="2025-06-12T23:36:00.82" personId="{E7918B3F-965A-4841-868A-78AAA1BE0171}" id="{4563FA78-25CD-4E32-A1CA-A796065DD55F}">
    <text>Please do not change these cells in red</text>
  </threadedComment>
  <threadedComment ref="AH14" dT="2025-07-18T01:05:09.56" personId="{E7918B3F-965A-4841-868A-78AAA1BE0171}" id="{E2945B06-CAA0-44DF-B3B0-87DC5AD0D024}">
    <text>First four for Mass, second four for Modern</text>
  </threadedComment>
  <threadedComment ref="AO14" dT="2025-07-18T01:05:09.56" personId="{E7918B3F-965A-4841-868A-78AAA1BE0171}" id="{85410583-777E-488E-BE73-4162787489BC}">
    <text>First four for Mass, second four for Modern</text>
  </threadedComment>
  <threadedComment ref="AV14" dT="2025-07-18T01:05:09.56" personId="{E7918B3F-965A-4841-868A-78AAA1BE0171}" id="{DA73E36C-1E35-4030-AE5E-1779BDEC820F}">
    <text>First four for Mass, second four for Modern</text>
  </threadedComment>
  <threadedComment ref="BC14" dT="2025-07-18T01:05:09.56" personId="{E7918B3F-965A-4841-868A-78AAA1BE0171}" id="{87FE333C-DC48-4CCB-924B-008C77E95D48}">
    <text>First four for Mass, second four for Modern</text>
  </threadedComment>
  <threadedComment ref="BJ14" dT="2025-07-18T01:05:09.56" personId="{E7918B3F-965A-4841-868A-78AAA1BE0171}" id="{6D2812C3-DAF3-437C-A389-D333C08891D4}">
    <text>First four for Mass, second four for Modern</text>
  </threadedComment>
  <threadedComment ref="Q18" dT="2025-06-12T00:26:26.06" personId="{E7918B3F-965A-4841-868A-78AAA1BE0171}" id="{0CA1643A-EB89-44FC-9D94-E108D2FEC258}">
    <text>Replace 0.5 for 1 (Minimum size)</text>
  </threadedComment>
  <threadedComment ref="N19" dT="2025-06-12T20:41:55.27" personId="{E7918B3F-965A-4841-868A-78AAA1BE0171}" id="{EDD02FE7-AA51-43FF-8BED-3F5C3510348F}">
    <text>Minimum is 5 for HP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6-12T23:35:05.95" personId="{E7918B3F-965A-4841-868A-78AAA1BE0171}" id="{BA88CBED-3237-4406-B65D-7EDD5EA00F35}">
    <text>Cells in orange can be modified if there are changes in estimated capacities</text>
  </threadedComment>
  <threadedComment ref="K10" dT="2025-06-12T00:27:18.90" personId="{E7918B3F-965A-4841-868A-78AAA1BE0171}" id="{B73C5BB2-0149-4C5F-8DE7-D97444452470}">
    <text>Note that 16 is not available, hence adjusted to maximum available</text>
  </threadedComment>
  <threadedComment ref="N13" dT="2025-06-12T00:25:33.79" personId="{E7918B3F-965A-4841-868A-78AAA1BE0171}" id="{006017C0-98EC-4581-8EF1-C7128294F1AB}">
    <text>Adjusted to match available sizes (i.e. 0.5 increases, and minimum 5)</text>
  </threadedComment>
  <threadedComment ref="I14" dT="2025-06-12T23:36:00.82" personId="{E7918B3F-965A-4841-868A-78AAA1BE0171}" id="{2AB6C97A-2520-4E8C-8B6E-710A0E2B73DA}">
    <text>Please do not change these cells in red</text>
  </threadedComment>
  <threadedComment ref="AH14" dT="2025-07-18T01:05:09.56" personId="{E7918B3F-965A-4841-868A-78AAA1BE0171}" id="{95516AFC-1E35-4156-AE9A-9571271FA6F1}">
    <text>First four for Mass, second four for Modern</text>
  </threadedComment>
  <threadedComment ref="AO14" dT="2025-07-18T01:05:09.56" personId="{E7918B3F-965A-4841-868A-78AAA1BE0171}" id="{04A8AB01-1115-4BA6-BA2A-A47F948AEA71}">
    <text>First four for Mass, second four for Modern</text>
  </threadedComment>
  <threadedComment ref="AV14" dT="2025-07-18T01:05:09.56" personId="{E7918B3F-965A-4841-868A-78AAA1BE0171}" id="{B574E8B5-EFE7-4F51-9A65-5792DF465176}">
    <text>First four for Mass, second four for Modern</text>
  </threadedComment>
  <threadedComment ref="BC14" dT="2025-07-18T01:05:09.56" personId="{E7918B3F-965A-4841-868A-78AAA1BE0171}" id="{2B6C0158-F5A8-4B22-986E-2EDBA92930D0}">
    <text>First four for Mass, second four for Modern</text>
  </threadedComment>
  <threadedComment ref="BJ14" dT="2025-07-18T01:05:09.56" personId="{E7918B3F-965A-4841-868A-78AAA1BE0171}" id="{BD100004-F30D-42D4-A955-993BD992BE34}">
    <text>First four for Mass, second four for Modern</text>
  </threadedComment>
  <threadedComment ref="Q18" dT="2025-06-12T00:26:26.06" personId="{E7918B3F-965A-4841-868A-78AAA1BE0171}" id="{A05F7E97-133A-4B27-A9C7-BD109DC4BBEA}">
    <text>Replace 0.5 for 1 (Minimum size)</text>
  </threadedComment>
  <threadedComment ref="N19" dT="2025-06-12T20:41:55.27" personId="{E7918B3F-965A-4841-868A-78AAA1BE0171}" id="{E3ABD905-5F1B-45D9-B8FD-356E02CFFB15}">
    <text>Minimum is 5 for HP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7A73-6BF3-47E5-AC1E-D181D8CC1E63}">
  <sheetPr codeName="Sheet1"/>
  <dimension ref="A1:AG195"/>
  <sheetViews>
    <sheetView workbookViewId="0">
      <pane ySplit="1" topLeftCell="A2" activePane="bottomLeft" state="frozen"/>
      <selection activeCell="F1" sqref="F1"/>
      <selection pane="bottomLeft" activeCell="W2" sqref="W2"/>
    </sheetView>
  </sheetViews>
  <sheetFormatPr defaultRowHeight="15" x14ac:dyDescent="0.25"/>
  <cols>
    <col min="1" max="1" width="16" bestFit="1" customWidth="1"/>
    <col min="2" max="4" width="16" customWidth="1"/>
    <col min="8" max="8" width="11.7109375" bestFit="1" customWidth="1"/>
    <col min="9" max="9" width="11.7109375" customWidth="1"/>
    <col min="10" max="10" width="16" bestFit="1" customWidth="1"/>
    <col min="12" max="12" width="12.140625" bestFit="1" customWidth="1"/>
    <col min="13" max="13" width="9.42578125" bestFit="1" customWidth="1"/>
    <col min="14" max="14" width="9.7109375" bestFit="1" customWidth="1"/>
    <col min="16" max="16" width="9.42578125" bestFit="1" customWidth="1"/>
    <col min="17" max="22" width="9.42578125" customWidth="1"/>
    <col min="23" max="23" width="15.42578125" bestFit="1" customWidth="1"/>
    <col min="24" max="24" width="19.85546875" customWidth="1"/>
    <col min="27" max="27" width="19.7109375" bestFit="1" customWidth="1"/>
  </cols>
  <sheetData>
    <row r="1" spans="1:33" ht="15.95" customHeight="1" x14ac:dyDescent="0.25">
      <c r="A1" s="5" t="s">
        <v>0</v>
      </c>
      <c r="B1" s="5" t="s">
        <v>44</v>
      </c>
      <c r="C1" s="5" t="s">
        <v>61</v>
      </c>
      <c r="D1" s="5" t="s">
        <v>62</v>
      </c>
      <c r="E1" s="5" t="s">
        <v>1</v>
      </c>
      <c r="F1" s="5" t="s">
        <v>12</v>
      </c>
      <c r="G1" s="5" t="s">
        <v>52</v>
      </c>
      <c r="H1" s="5" t="s">
        <v>63</v>
      </c>
      <c r="I1" s="5" t="s">
        <v>66</v>
      </c>
      <c r="J1" s="5" t="s">
        <v>56</v>
      </c>
      <c r="K1" s="5" t="s">
        <v>53</v>
      </c>
      <c r="L1" s="5" t="s">
        <v>93</v>
      </c>
      <c r="M1" s="5" t="s">
        <v>98</v>
      </c>
      <c r="N1" s="5" t="s">
        <v>99</v>
      </c>
      <c r="O1" s="5" t="s">
        <v>100</v>
      </c>
      <c r="P1" s="5" t="s">
        <v>101</v>
      </c>
      <c r="Q1" s="5" t="s">
        <v>94</v>
      </c>
      <c r="R1" s="5" t="s">
        <v>95</v>
      </c>
      <c r="S1" s="5" t="s">
        <v>96</v>
      </c>
      <c r="T1" s="5" t="s">
        <v>102</v>
      </c>
      <c r="U1" s="5" t="s">
        <v>104</v>
      </c>
      <c r="V1" s="5" t="s">
        <v>105</v>
      </c>
      <c r="W1" s="5" t="s">
        <v>110</v>
      </c>
      <c r="X1" s="5" t="s">
        <v>115</v>
      </c>
      <c r="Y1" s="5" t="s">
        <v>116</v>
      </c>
      <c r="Z1" s="5" t="s">
        <v>117</v>
      </c>
      <c r="AA1" s="5" t="s">
        <v>118</v>
      </c>
      <c r="AB1" s="5" t="s">
        <v>111</v>
      </c>
      <c r="AC1" s="5" t="s">
        <v>112</v>
      </c>
      <c r="AD1" s="5" t="s">
        <v>113</v>
      </c>
      <c r="AE1" s="5" t="s">
        <v>114</v>
      </c>
      <c r="AG1" s="6" t="s">
        <v>60</v>
      </c>
    </row>
    <row r="2" spans="1:33" x14ac:dyDescent="0.25">
      <c r="A2" s="5" t="s">
        <v>4</v>
      </c>
      <c r="B2" s="5" t="str">
        <f>_xlfn.TEXTBEFORE(A2, "-", 2)</f>
        <v>Mass-Nom</v>
      </c>
      <c r="C2" s="5" t="str">
        <f>_xlfn.TEXTBEFORE(A2, "-", 1)</f>
        <v>Mass</v>
      </c>
      <c r="D2" s="5" t="str">
        <f>_xlfn.TEXTAFTER(B2, "-", 1)</f>
        <v>Nom</v>
      </c>
      <c r="E2" s="5" t="s">
        <v>3</v>
      </c>
      <c r="F2" s="5" t="s">
        <v>13</v>
      </c>
      <c r="G2" s="5"/>
      <c r="H2" s="5"/>
      <c r="I2" s="5" cm="1">
        <f t="array" ref="I2">_xlfn.SWITCH(F2,"R",_xlfn.XLOOKUP(E2&amp;"|"&amp;B2,
        Calculate_cap_emi!$I$14:$I$21&amp;"|"&amp;Calculate_cap_emi!$L$14:$L$21,
        Calculate_cap_emi!$W$14:$W$21, "Not found", 0),"Rb",_xlfn.XLOOKUP(E2&amp;"|"&amp;B2,
        Calculate_cap_emi!$I$14:$I$21&amp;"|"&amp;Calculate_cap_emi!$L$14:$L$21,
        Calculate_cap_emi!$Y$14:$Y$21, "Not found", 0),"Rl",_xlfn.XLOOKUP(E2&amp;"|"&amp;B2,
        Calculate_cap_emi!$I$14:$I$21&amp;"|"&amp;Calculate_cap_emi!$L$14:$L$21,
        Calculate_cap_emi!$Z$14:$Z$21, "Not found", 0),0)</f>
        <v>11</v>
      </c>
      <c r="J2" s="5"/>
      <c r="K2" s="5"/>
      <c r="L2" s="5" cm="1">
        <f t="array" ref="L2">_xlfn.SWITCH(F2,"R",_xlfn.XLOOKUP(E2&amp;"|"&amp;B2,
        Calculate_cap_emi!$I$14:$I$21&amp;"|"&amp;Calculate_cap_emi!$L$14:$L$21,
        Calculate_cap_emi!$AC$14:$AC$21, "Not found", 0),"Rb",_xlfn.XLOOKUP(E2&amp;"|"&amp;B2,
        Calculate_cap_emi!$I$14:$I$21&amp;"|"&amp;Calculate_cap_emi!$L$14:$L$21,
        Calculate_cap_emi!$AE$14:$AE$21, "Not found", 0),"Rl",_xlfn.XLOOKUP(E2&amp;"|"&amp;B2,
        Calculate_cap_emi!$I$14:$I$21&amp;"|"&amp;Calculate_cap_emi!$L$14:$L$21,
        Calculate_cap_emi!$AF$14:$AF$21, "Not found", 0),"HP",_xlfn.XLOOKUP(E2&amp;"|"&amp;B2,
        Calculate_cap_emi!$I$14:$I$21&amp;"|"&amp;Calculate_cap_emi!$L$14:$L$21,
        Calculate_cap_emi!$AD$14:$AD$21, "Not found", 0),"HPl",_xlfn.XLOOKUP(E2&amp;"|"&amp;B2,
        Calculate_cap_emi!$I$14:$I$21&amp;"|"&amp;Calculate_cap_emi!$L$14:$L$21,
        Calculate_cap_emi!$AG$14:$AG$21, "Not found", 0),"Missing")</f>
        <v>945.71810051217631</v>
      </c>
      <c r="M2" s="5"/>
      <c r="N2" s="5"/>
      <c r="O2" s="5"/>
      <c r="P2" s="5"/>
      <c r="Q2" s="5" cm="1">
        <f t="array" ref="Q2">_xlfn.SWITCH(F2,"R",_xlfn.XLOOKUP(E2&amp;"|"&amp;B2,
        Calculate_cap_emi!$I$14:$I$21&amp;"|"&amp;Calculate_cap_emi!$L$14:$L$21,
        Calculate_cap_emi!$AJ$14:$AJ$21, "Not found", 0),"Rb",_xlfn.XLOOKUP(E2&amp;"|"&amp;B2,
        Calculate_cap_emi!$I$14:$I$21&amp;"|"&amp;Calculate_cap_emi!$L$14:$L$21,
        Calculate_cap_emi!$AL$14:$AL$21, "Not found", 0),"Rl",_xlfn.XLOOKUP(E2&amp;"|"&amp;B2,
        Calculate_cap_emi!$I$14:$I$21&amp;"|"&amp;Calculate_cap_emi!$L$14:$L$21,
        Calculate_cap_emi!$AM$14:$AM$21, "Not found", 0),"HP",_xlfn.XLOOKUP(E2&amp;"|"&amp;B2,
        Calculate_cap_emi!$I$14:$I$21&amp;"|"&amp;Calculate_cap_emi!$L$14:$L$21,
        Calculate_cap_emi!$AK$14:$AK$21, "Not found", 0),"HPl",_xlfn.XLOOKUP(E2&amp;"|"&amp;B2,
        Calculate_cap_emi!$I$14:$I$21&amp;"|"&amp;Calculate_cap_emi!$L$14:$L$21,
        Calculate_cap_emi!$AN$14:$AN$21, "Not found", 0),"Missing")</f>
        <v>46.407925197529416</v>
      </c>
      <c r="R2" s="5" cm="1">
        <f t="array" ref="R2">_xlfn.SWITCH(F2,"R",_xlfn.XLOOKUP(E2&amp;"|"&amp;B2,
        Calculate_cap_emi!$I$14:$I$21&amp;"|"&amp;Calculate_cap_emi!$L$14:$L$21,
        Calculate_cap_emi!$AQ$14:$AQ$21, "Not found", 0),"Rb",_xlfn.XLOOKUP(E2&amp;"|"&amp;B2,
        Calculate_cap_emi!$I$14:$I$21&amp;"|"&amp;Calculate_cap_emi!$L$14:$L$21,
        Calculate_cap_emi!$AS$14:$AS$21, "Not found", 0),"Rl",_xlfn.XLOOKUP(E2&amp;"|"&amp;B2,
        Calculate_cap_emi!$I$14:$I$21&amp;"|"&amp;Calculate_cap_emi!$L$14:$L$21,
        Calculate_cap_emi!$AT$14:$AT$21, "Not found", 0),"HP",_xlfn.XLOOKUP(E2&amp;"|"&amp;B2,
        Calculate_cap_emi!$I$14:$I$21&amp;"|"&amp;Calculate_cap_emi!$L$14:$L$21,
        Calculate_cap_emi!$AR$14:$AR$21, "Not found", 0),"HPl",_xlfn.XLOOKUP(E2&amp;"|"&amp;B2,
        Calculate_cap_emi!$I$14:$I$21&amp;"|"&amp;Calculate_cap_emi!$L$14:$L$21,
        Calculate_cap_emi!$AU$14:$AU$21, "Not found", 0),"Missing")</f>
        <v>4.6974619796122736</v>
      </c>
      <c r="S2" s="5" cm="1">
        <f t="array" ref="S2">_xlfn.SWITCH(F2,"R",_xlfn.XLOOKUP(E2&amp;"|"&amp;B2,
        Calculate_cap_emi!$I$14:$I$21&amp;"|"&amp;Calculate_cap_emi!$L$14:$L$21,
        Calculate_cap_emi!$AX$14:$AX$21, "Not found", 0),"Rb",_xlfn.XLOOKUP(E2&amp;"|"&amp;B2,
        Calculate_cap_emi!$I$14:$I$21&amp;"|"&amp;Calculate_cap_emi!$L$14:$L$21,
        Calculate_cap_emi!$AZ$14:$AZ$21, "Not found", 0),"Rl",_xlfn.XLOOKUP(E2&amp;"|"&amp;B2,
        Calculate_cap_emi!$I$14:$I$21&amp;"|"&amp;Calculate_cap_emi!$L$14:$L$21,
        Calculate_cap_emi!$BA$14:$BA$21, "Not found", 0),"HP",_xlfn.XLOOKUP(E2&amp;"|"&amp;B2,
        Calculate_cap_emi!$I$14:$I$21&amp;"|"&amp;Calculate_cap_emi!$L$14:$L$21,
        Calculate_cap_emi!$AY$14:$AY$21, "Not found", 0),"HPl",_xlfn.XLOOKUP(E2&amp;"|"&amp;B2,
        Calculate_cap_emi!$I$14:$I$21&amp;"|"&amp;Calculate_cap_emi!$L$14:$L$21,
        Calculate_cap_emi!$BB$14:$BB$21, "Not found", 0),"Missing")</f>
        <v>54.92303662226724</v>
      </c>
      <c r="T2" s="5" cm="1">
        <f t="array" ref="T2">_xlfn.SWITCH(F2,"R",_xlfn.XLOOKUP(E2&amp;"|"&amp;B2,
        Calculate_cap_emi!$I$14:$I$21&amp;"|"&amp;Calculate_cap_emi!$L$14:$L$21,
        Calculate_cap_emi!$BE$14:$BE$21, "Not found", 0),"Rb",_xlfn.XLOOKUP(E2&amp;"|"&amp;B2,
        Calculate_cap_emi!$I$14:$I$21&amp;"|"&amp;Calculate_cap_emi!$L$14:$L$21,
        Calculate_cap_emi!$BG$14:$BG$21, "Not found", 0),"Rl",_xlfn.XLOOKUP(E2&amp;"|"&amp;B2,
        Calculate_cap_emi!$I$14:$I$21&amp;"|"&amp;Calculate_cap_emi!$L$14:$L$21,
        Calculate_cap_emi!$BH$14:$BH$21, "Not found", 0),"HP",_xlfn.XLOOKUP(E2&amp;"|"&amp;B2,
        Calculate_cap_emi!$I$14:$I$21&amp;"|"&amp;Calculate_cap_emi!$L$14:$L$21,
        Calculate_cap_emi!$BF$14:$BF$21, "Not found", 0),"HPl",_xlfn.XLOOKUP(E2&amp;"|"&amp;B2,
        Calculate_cap_emi!$I$14:$I$21&amp;"|"&amp;Calculate_cap_emi!$L$14:$L$21,
        Calculate_cap_emi!$BI$14:$BI$21, "Not found", 0),"Missing")</f>
        <v>0</v>
      </c>
      <c r="U2" s="5" cm="1">
        <f t="array" ref="U2">_xlfn.SWITCH(F2,"R",_xlfn.XLOOKUP(E2&amp;"|"&amp;B2,
        Calculate_cap_emi_sens!$I$14:$I$21&amp;"|"&amp;Calculate_cap_emi_sens!$L$14:$L$21,
        Calculate_cap_emi_sens!$AX$14:$AX$21, "Not found", 0),"Rb",_xlfn.XLOOKUP(E2&amp;"|"&amp;B2,
        Calculate_cap_emi_sens!$I$14:$I$21&amp;"|"&amp;Calculate_cap_emi_sens!$L$14:$L$21,
        Calculate_cap_emi_sens!$AZ$14:$AZ$21, "Not found", 0),"Rl",_xlfn.XLOOKUP(E2&amp;"|"&amp;B2,
        Calculate_cap_emi_sens!$I$14:$I$21&amp;"|"&amp;Calculate_cap_emi_sens!$L$14:$L$21,
        Calculate_cap_emi_sens!$BA$14:$BA$21, "Not found", 0),"HP",_xlfn.XLOOKUP(E2&amp;"|"&amp;B2,
        Calculate_cap_emi_sens!$I$14:$I$21&amp;"|"&amp;Calculate_cap_emi_sens!$L$14:$L$21,
        Calculate_cap_emi_sens!$AY$14:$AY$21, "Not found", 0),"HPl",_xlfn.XLOOKUP(E2&amp;"|"&amp;B2,
        Calculate_cap_emi_sens!$I$14:$I$21&amp;"|"&amp;Calculate_cap_emi_sens!$L$14:$L$21,
        Calculate_cap_emi_sens!$BB$14:$BB$21, "Not found", 0),"Missing")</f>
        <v>54.92303662226724</v>
      </c>
      <c r="V2" s="5" cm="1">
        <f t="array" ref="V2">_xlfn.SWITCH(F2,"R",_xlfn.XLOOKUP(E2&amp;"|"&amp;B2,
        Calculate_cap_emi_sens!$I$14:$I$21&amp;"|"&amp;Calculate_cap_emi_sens!$L$14:$L$21,
        Calculate_cap_emi_sens!$BE$14:$BE$21, "Not found", 0),"Rb",_xlfn.XLOOKUP(E2&amp;"|"&amp;B2,
        Calculate_cap_emi_sens!$I$14:$I$21&amp;"|"&amp;Calculate_cap_emi_sens!$L$14:$L$21,
        Calculate_cap_emi_sens!$BG$14:$BG$21, "Not found", 0),"Rl",_xlfn.XLOOKUP(E2&amp;"|"&amp;B2,
        Calculate_cap_emi_sens!$I$14:$I$21&amp;"|"&amp;Calculate_cap_emi_sens!$L$14:$L$21,
        Calculate_cap_emi_sens!$BH$14:$BH$21, "Not found", 0),"HP",_xlfn.XLOOKUP(E2&amp;"|"&amp;B2,
        Calculate_cap_emi_sens!$I$14:$I$21&amp;"|"&amp;Calculate_cap_emi_sens!$L$14:$L$21,
        Calculate_cap_emi_sens!$BF$14:$BF$21, "Not found", 0),"HPl",_xlfn.XLOOKUP(E2&amp;"|"&amp;B2,
        Calculate_cap_emi_sens!$I$14:$I$21&amp;"|"&amp;Calculate_cap_emi_sens!$L$14:$L$21,
        Calculate_cap_emi_sens!$BI$14:$BI$21, "Not found", 0),"Missing")</f>
        <v>0</v>
      </c>
      <c r="W2" s="5">
        <f>Results_proc_ener!L2</f>
        <v>24893.256098739545</v>
      </c>
      <c r="X2" s="5">
        <f>Results_proc_ener!M2</f>
        <v>0</v>
      </c>
      <c r="Y2" s="5">
        <f>Results_proc_ener!N2</f>
        <v>0</v>
      </c>
      <c r="Z2" s="5">
        <f>Results_proc_ener!O2</f>
        <v>0</v>
      </c>
      <c r="AA2" s="5">
        <f>Results_proc_ener!P2</f>
        <v>0</v>
      </c>
      <c r="AB2" s="5">
        <f>Results_proc_ener!Q2</f>
        <v>982.8569241823501</v>
      </c>
      <c r="AC2" s="5">
        <f>Results_proc_ener!R2</f>
        <v>17.878346159169151</v>
      </c>
      <c r="AD2" s="5">
        <f>Results_proc_ener!S2</f>
        <v>101.6259057567496</v>
      </c>
      <c r="AE2" s="5">
        <f>Results_proc_ener!T2</f>
        <v>0</v>
      </c>
    </row>
    <row r="3" spans="1:33" x14ac:dyDescent="0.25">
      <c r="A3" s="5" t="s">
        <v>2</v>
      </c>
      <c r="B3" s="5" t="str">
        <f t="shared" ref="B3:B66" si="0">_xlfn.TEXTBEFORE(A3, "-", 2)</f>
        <v>Mass-Nom</v>
      </c>
      <c r="C3" s="5" t="str">
        <f t="shared" ref="C3:C66" si="1">_xlfn.TEXTBEFORE(A3, "-", 1)</f>
        <v>Mass</v>
      </c>
      <c r="D3" s="5" t="str">
        <f t="shared" ref="D3:D66" si="2">_xlfn.TEXTAFTER(B3, "-", 1)</f>
        <v>Nom</v>
      </c>
      <c r="E3" s="5" t="s">
        <v>3</v>
      </c>
      <c r="F3" s="5" t="s">
        <v>13</v>
      </c>
      <c r="G3" s="5"/>
      <c r="H3" s="5"/>
      <c r="I3" s="5" cm="1">
        <f t="array" ref="I3">_xlfn.SWITCH(F3,"R",_xlfn.XLOOKUP(E3&amp;"|"&amp;B3,
        Calculate_cap_emi!$I$14:$I$21&amp;"|"&amp;Calculate_cap_emi!$L$14:$L$21,
        Calculate_cap_emi!$W$14:$W$21, "Not found", 0),"Rb",_xlfn.XLOOKUP(E3&amp;"|"&amp;B3,
        Calculate_cap_emi!$I$14:$I$21&amp;"|"&amp;Calculate_cap_emi!$L$14:$L$21,
        Calculate_cap_emi!$Y$14:$Y$21, "Not found", 0),"Rl",_xlfn.XLOOKUP(E3&amp;"|"&amp;B3,
        Calculate_cap_emi!$I$14:$I$21&amp;"|"&amp;Calculate_cap_emi!$L$14:$L$21,
        Calculate_cap_emi!$Z$14:$Z$21, "Not found", 0),0)</f>
        <v>11</v>
      </c>
      <c r="J3" s="5"/>
      <c r="K3" s="5"/>
      <c r="L3" s="5" cm="1">
        <f t="array" ref="L3">_xlfn.SWITCH(F3,"R",_xlfn.XLOOKUP(E3&amp;"|"&amp;B3,
        Calculate_cap_emi!$I$14:$I$21&amp;"|"&amp;Calculate_cap_emi!$L$14:$L$21,
        Calculate_cap_emi!$AC$14:$AC$21, "Not found", 0),"Rb",_xlfn.XLOOKUP(E3&amp;"|"&amp;B3,
        Calculate_cap_emi!$I$14:$I$21&amp;"|"&amp;Calculate_cap_emi!$L$14:$L$21,
        Calculate_cap_emi!$AE$14:$AE$21, "Not found", 0),"Rl",_xlfn.XLOOKUP(E3&amp;"|"&amp;B3,
        Calculate_cap_emi!$I$14:$I$21&amp;"|"&amp;Calculate_cap_emi!$L$14:$L$21,
        Calculate_cap_emi!$AF$14:$AF$21, "Not found", 0),"HP",_xlfn.XLOOKUP(E3&amp;"|"&amp;B3,
        Calculate_cap_emi!$I$14:$I$21&amp;"|"&amp;Calculate_cap_emi!$L$14:$L$21,
        Calculate_cap_emi!$AD$14:$AD$21, "Not found", 0),"HPl",_xlfn.XLOOKUP(E3&amp;"|"&amp;B3,
        Calculate_cap_emi!$I$14:$I$21&amp;"|"&amp;Calculate_cap_emi!$L$14:$L$21,
        Calculate_cap_emi!$AG$14:$AG$21, "Not found", 0),"Missing")</f>
        <v>945.71810051217631</v>
      </c>
      <c r="M3" s="5"/>
      <c r="N3" s="5"/>
      <c r="O3" s="5"/>
      <c r="P3" s="5"/>
      <c r="Q3" s="5" cm="1">
        <f t="array" ref="Q3">_xlfn.SWITCH(F3,"R",_xlfn.XLOOKUP(E3&amp;"|"&amp;B3,
        Calculate_cap_emi!$I$14:$I$21&amp;"|"&amp;Calculate_cap_emi!$L$14:$L$21,
        Calculate_cap_emi!$AJ$14:$AJ$21, "Not found", 0),"Rb",_xlfn.XLOOKUP(E3&amp;"|"&amp;B3,
        Calculate_cap_emi!$I$14:$I$21&amp;"|"&amp;Calculate_cap_emi!$L$14:$L$21,
        Calculate_cap_emi!$AL$14:$AL$21, "Not found", 0),"Rl",_xlfn.XLOOKUP(E3&amp;"|"&amp;B3,
        Calculate_cap_emi!$I$14:$I$21&amp;"|"&amp;Calculate_cap_emi!$L$14:$L$21,
        Calculate_cap_emi!$AM$14:$AM$21, "Not found", 0),"HP",_xlfn.XLOOKUP(E3&amp;"|"&amp;B3,
        Calculate_cap_emi!$I$14:$I$21&amp;"|"&amp;Calculate_cap_emi!$L$14:$L$21,
        Calculate_cap_emi!$AK$14:$AK$21, "Not found", 0),"HPl",_xlfn.XLOOKUP(E3&amp;"|"&amp;B3,
        Calculate_cap_emi!$I$14:$I$21&amp;"|"&amp;Calculate_cap_emi!$L$14:$L$21,
        Calculate_cap_emi!$AN$14:$AN$21, "Not found", 0),"Missing")</f>
        <v>46.407925197529416</v>
      </c>
      <c r="R3" s="5" cm="1">
        <f t="array" ref="R3">_xlfn.SWITCH(F3,"R",_xlfn.XLOOKUP(E3&amp;"|"&amp;B3,
        Calculate_cap_emi!$I$14:$I$21&amp;"|"&amp;Calculate_cap_emi!$L$14:$L$21,
        Calculate_cap_emi!$AQ$14:$AQ$21, "Not found", 0),"Rb",_xlfn.XLOOKUP(E3&amp;"|"&amp;B3,
        Calculate_cap_emi!$I$14:$I$21&amp;"|"&amp;Calculate_cap_emi!$L$14:$L$21,
        Calculate_cap_emi!$AS$14:$AS$21, "Not found", 0),"Rl",_xlfn.XLOOKUP(E3&amp;"|"&amp;B3,
        Calculate_cap_emi!$I$14:$I$21&amp;"|"&amp;Calculate_cap_emi!$L$14:$L$21,
        Calculate_cap_emi!$AT$14:$AT$21, "Not found", 0),"HP",_xlfn.XLOOKUP(E3&amp;"|"&amp;B3,
        Calculate_cap_emi!$I$14:$I$21&amp;"|"&amp;Calculate_cap_emi!$L$14:$L$21,
        Calculate_cap_emi!$AR$14:$AR$21, "Not found", 0),"HPl",_xlfn.XLOOKUP(E3&amp;"|"&amp;B3,
        Calculate_cap_emi!$I$14:$I$21&amp;"|"&amp;Calculate_cap_emi!$L$14:$L$21,
        Calculate_cap_emi!$AU$14:$AU$21, "Not found", 0),"Missing")</f>
        <v>4.6974619796122736</v>
      </c>
      <c r="S3" s="5" cm="1">
        <f t="array" ref="S3">_xlfn.SWITCH(F3,"R",_xlfn.XLOOKUP(E3&amp;"|"&amp;B3,
        Calculate_cap_emi!$I$14:$I$21&amp;"|"&amp;Calculate_cap_emi!$L$14:$L$21,
        Calculate_cap_emi!$AX$14:$AX$21, "Not found", 0),"Rb",_xlfn.XLOOKUP(E3&amp;"|"&amp;B3,
        Calculate_cap_emi!$I$14:$I$21&amp;"|"&amp;Calculate_cap_emi!$L$14:$L$21,
        Calculate_cap_emi!$AZ$14:$AZ$21, "Not found", 0),"Rl",_xlfn.XLOOKUP(E3&amp;"|"&amp;B3,
        Calculate_cap_emi!$I$14:$I$21&amp;"|"&amp;Calculate_cap_emi!$L$14:$L$21,
        Calculate_cap_emi!$BA$14:$BA$21, "Not found", 0),"HP",_xlfn.XLOOKUP(E3&amp;"|"&amp;B3,
        Calculate_cap_emi!$I$14:$I$21&amp;"|"&amp;Calculate_cap_emi!$L$14:$L$21,
        Calculate_cap_emi!$AY$14:$AY$21, "Not found", 0),"HPl",_xlfn.XLOOKUP(E3&amp;"|"&amp;B3,
        Calculate_cap_emi!$I$14:$I$21&amp;"|"&amp;Calculate_cap_emi!$L$14:$L$21,
        Calculate_cap_emi!$BB$14:$BB$21, "Not found", 0),"Missing")</f>
        <v>54.92303662226724</v>
      </c>
      <c r="T3" s="5" cm="1">
        <f t="array" ref="T3">_xlfn.SWITCH(F3,"R",_xlfn.XLOOKUP(E3&amp;"|"&amp;B3,
        Calculate_cap_emi!$I$14:$I$21&amp;"|"&amp;Calculate_cap_emi!$L$14:$L$21,
        Calculate_cap_emi!$BE$14:$BE$21, "Not found", 0),"Rb",_xlfn.XLOOKUP(E3&amp;"|"&amp;B3,
        Calculate_cap_emi!$I$14:$I$21&amp;"|"&amp;Calculate_cap_emi!$L$14:$L$21,
        Calculate_cap_emi!$BG$14:$BG$21, "Not found", 0),"Rl",_xlfn.XLOOKUP(E3&amp;"|"&amp;B3,
        Calculate_cap_emi!$I$14:$I$21&amp;"|"&amp;Calculate_cap_emi!$L$14:$L$21,
        Calculate_cap_emi!$BH$14:$BH$21, "Not found", 0),"HP",_xlfn.XLOOKUP(E3&amp;"|"&amp;B3,
        Calculate_cap_emi!$I$14:$I$21&amp;"|"&amp;Calculate_cap_emi!$L$14:$L$21,
        Calculate_cap_emi!$BF$14:$BF$21, "Not found", 0),"HPl",_xlfn.XLOOKUP(E3&amp;"|"&amp;B3,
        Calculate_cap_emi!$I$14:$I$21&amp;"|"&amp;Calculate_cap_emi!$L$14:$L$21,
        Calculate_cap_emi!$BI$14:$BI$21, "Not found", 0),"Missing")</f>
        <v>0</v>
      </c>
      <c r="U3" s="5" cm="1">
        <f t="array" ref="U3">_xlfn.SWITCH(F3,"R",_xlfn.XLOOKUP(E3&amp;"|"&amp;B3,
        Calculate_cap_emi_sens!$I$14:$I$21&amp;"|"&amp;Calculate_cap_emi_sens!$L$14:$L$21,
        Calculate_cap_emi_sens!$AX$14:$AX$21, "Not found", 0),"Rb",_xlfn.XLOOKUP(E3&amp;"|"&amp;B3,
        Calculate_cap_emi_sens!$I$14:$I$21&amp;"|"&amp;Calculate_cap_emi_sens!$L$14:$L$21,
        Calculate_cap_emi_sens!$AZ$14:$AZ$21, "Not found", 0),"Rl",_xlfn.XLOOKUP(E3&amp;"|"&amp;B3,
        Calculate_cap_emi_sens!$I$14:$I$21&amp;"|"&amp;Calculate_cap_emi_sens!$L$14:$L$21,
        Calculate_cap_emi_sens!$BA$14:$BA$21, "Not found", 0),"HP",_xlfn.XLOOKUP(E3&amp;"|"&amp;B3,
        Calculate_cap_emi_sens!$I$14:$I$21&amp;"|"&amp;Calculate_cap_emi_sens!$L$14:$L$21,
        Calculate_cap_emi_sens!$AY$14:$AY$21, "Not found", 0),"HPl",_xlfn.XLOOKUP(E3&amp;"|"&amp;B3,
        Calculate_cap_emi_sens!$I$14:$I$21&amp;"|"&amp;Calculate_cap_emi_sens!$L$14:$L$21,
        Calculate_cap_emi_sens!$BB$14:$BB$21, "Not found", 0),"Missing")</f>
        <v>54.92303662226724</v>
      </c>
      <c r="V3" s="5" cm="1">
        <f t="array" ref="V3">_xlfn.SWITCH(F3,"R",_xlfn.XLOOKUP(E3&amp;"|"&amp;B3,
        Calculate_cap_emi_sens!$I$14:$I$21&amp;"|"&amp;Calculate_cap_emi_sens!$L$14:$L$21,
        Calculate_cap_emi_sens!$BE$14:$BE$21, "Not found", 0),"Rb",_xlfn.XLOOKUP(E3&amp;"|"&amp;B3,
        Calculate_cap_emi_sens!$I$14:$I$21&amp;"|"&amp;Calculate_cap_emi_sens!$L$14:$L$21,
        Calculate_cap_emi_sens!$BG$14:$BG$21, "Not found", 0),"Rl",_xlfn.XLOOKUP(E3&amp;"|"&amp;B3,
        Calculate_cap_emi_sens!$I$14:$I$21&amp;"|"&amp;Calculate_cap_emi_sens!$L$14:$L$21,
        Calculate_cap_emi_sens!$BH$14:$BH$21, "Not found", 0),"HP",_xlfn.XLOOKUP(E3&amp;"|"&amp;B3,
        Calculate_cap_emi_sens!$I$14:$I$21&amp;"|"&amp;Calculate_cap_emi_sens!$L$14:$L$21,
        Calculate_cap_emi_sens!$BF$14:$BF$21, "Not found", 0),"HPl",_xlfn.XLOOKUP(E3&amp;"|"&amp;B3,
        Calculate_cap_emi_sens!$I$14:$I$21&amp;"|"&amp;Calculate_cap_emi_sens!$L$14:$L$21,
        Calculate_cap_emi_sens!$BI$14:$BI$21, "Not found", 0),"Missing")</f>
        <v>0</v>
      </c>
      <c r="W3" s="5">
        <f>Results_proc_ener!L3</f>
        <v>24893.256098739545</v>
      </c>
      <c r="X3" s="5">
        <f>Results_proc_ener!M3</f>
        <v>0</v>
      </c>
      <c r="Y3" s="5">
        <f>Results_proc_ener!N3</f>
        <v>0</v>
      </c>
      <c r="Z3" s="5">
        <f>Results_proc_ener!O3</f>
        <v>0</v>
      </c>
      <c r="AA3" s="5">
        <f>Results_proc_ener!P3</f>
        <v>0</v>
      </c>
      <c r="AB3" s="5">
        <f>Results_proc_ener!Q3</f>
        <v>982.8569241823501</v>
      </c>
      <c r="AC3" s="5">
        <f>Results_proc_ener!R3</f>
        <v>17.878346159169151</v>
      </c>
      <c r="AD3" s="5">
        <f>Results_proc_ener!S3</f>
        <v>101.6259057567496</v>
      </c>
      <c r="AE3" s="5">
        <f>Results_proc_ener!T3</f>
        <v>0</v>
      </c>
    </row>
    <row r="4" spans="1:33" x14ac:dyDescent="0.25">
      <c r="A4" s="5" t="s">
        <v>5</v>
      </c>
      <c r="B4" s="5" t="str">
        <f t="shared" si="0"/>
        <v>Mass-H1</v>
      </c>
      <c r="C4" s="5" t="str">
        <f t="shared" si="1"/>
        <v>Mass</v>
      </c>
      <c r="D4" s="5" t="str">
        <f t="shared" si="2"/>
        <v>H1</v>
      </c>
      <c r="E4" s="5" t="s">
        <v>3</v>
      </c>
      <c r="F4" s="5" t="s">
        <v>13</v>
      </c>
      <c r="G4" s="5"/>
      <c r="H4" s="5"/>
      <c r="I4" s="5" cm="1">
        <f t="array" ref="I4">_xlfn.SWITCH(F4,"R",_xlfn.XLOOKUP(E4&amp;"|"&amp;B4,
        Calculate_cap_emi!$I$14:$I$21&amp;"|"&amp;Calculate_cap_emi!$L$14:$L$21,
        Calculate_cap_emi!$W$14:$W$21, "Not found", 0),"Rb",_xlfn.XLOOKUP(E4&amp;"|"&amp;B4,
        Calculate_cap_emi!$I$14:$I$21&amp;"|"&amp;Calculate_cap_emi!$L$14:$L$21,
        Calculate_cap_emi!$Y$14:$Y$21, "Not found", 0),"Rl",_xlfn.XLOOKUP(E4&amp;"|"&amp;B4,
        Calculate_cap_emi!$I$14:$I$21&amp;"|"&amp;Calculate_cap_emi!$L$14:$L$21,
        Calculate_cap_emi!$Z$14:$Z$21, "Not found", 0),0)</f>
        <v>7</v>
      </c>
      <c r="J4" s="5"/>
      <c r="K4" s="5"/>
      <c r="L4" s="5" cm="1">
        <f t="array" ref="L4">_xlfn.SWITCH(F4,"R",_xlfn.XLOOKUP(E4&amp;"|"&amp;B4,
        Calculate_cap_emi!$I$14:$I$21&amp;"|"&amp;Calculate_cap_emi!$L$14:$L$21,
        Calculate_cap_emi!$AC$14:$AC$21, "Not found", 0),"Rb",_xlfn.XLOOKUP(E4&amp;"|"&amp;B4,
        Calculate_cap_emi!$I$14:$I$21&amp;"|"&amp;Calculate_cap_emi!$L$14:$L$21,
        Calculate_cap_emi!$AE$14:$AE$21, "Not found", 0),"Rl",_xlfn.XLOOKUP(E4&amp;"|"&amp;B4,
        Calculate_cap_emi!$I$14:$I$21&amp;"|"&amp;Calculate_cap_emi!$L$14:$L$21,
        Calculate_cap_emi!$AF$14:$AF$21, "Not found", 0),"HP",_xlfn.XLOOKUP(E4&amp;"|"&amp;B4,
        Calculate_cap_emi!$I$14:$I$21&amp;"|"&amp;Calculate_cap_emi!$L$14:$L$21,
        Calculate_cap_emi!$AD$14:$AD$21, "Not found", 0),"HPl",_xlfn.XLOOKUP(E4&amp;"|"&amp;B4,
        Calculate_cap_emi!$I$14:$I$21&amp;"|"&amp;Calculate_cap_emi!$L$14:$L$21,
        Calculate_cap_emi!$AG$14:$AG$21, "Not found", 0),"Missing")</f>
        <v>762.75654779699664</v>
      </c>
      <c r="M4" s="5"/>
      <c r="N4" s="5"/>
      <c r="O4" s="5"/>
      <c r="P4" s="5"/>
      <c r="Q4" s="5" cm="1">
        <f t="array" ref="Q4">_xlfn.SWITCH(F4,"R",_xlfn.XLOOKUP(E4&amp;"|"&amp;B4,
        Calculate_cap_emi!$I$14:$I$21&amp;"|"&amp;Calculate_cap_emi!$L$14:$L$21,
        Calculate_cap_emi!$AJ$14:$AJ$21, "Not found", 0),"Rb",_xlfn.XLOOKUP(E4&amp;"|"&amp;B4,
        Calculate_cap_emi!$I$14:$I$21&amp;"|"&amp;Calculate_cap_emi!$L$14:$L$21,
        Calculate_cap_emi!$AL$14:$AL$21, "Not found", 0),"Rl",_xlfn.XLOOKUP(E4&amp;"|"&amp;B4,
        Calculate_cap_emi!$I$14:$I$21&amp;"|"&amp;Calculate_cap_emi!$L$14:$L$21,
        Calculate_cap_emi!$AM$14:$AM$21, "Not found", 0),"HP",_xlfn.XLOOKUP(E4&amp;"|"&amp;B4,
        Calculate_cap_emi!$I$14:$I$21&amp;"|"&amp;Calculate_cap_emi!$L$14:$L$21,
        Calculate_cap_emi!$AK$14:$AK$21, "Not found", 0),"HPl",_xlfn.XLOOKUP(E4&amp;"|"&amp;B4,
        Calculate_cap_emi!$I$14:$I$21&amp;"|"&amp;Calculate_cap_emi!$L$14:$L$21,
        Calculate_cap_emi!$AN$14:$AN$21, "Not found", 0),"Missing")</f>
        <v>34.392676545952938</v>
      </c>
      <c r="R4" s="5" cm="1">
        <f t="array" ref="R4">_xlfn.SWITCH(F4,"R",_xlfn.XLOOKUP(E4&amp;"|"&amp;B4,
        Calculate_cap_emi!$I$14:$I$21&amp;"|"&amp;Calculate_cap_emi!$L$14:$L$21,
        Calculate_cap_emi!$AQ$14:$AQ$21, "Not found", 0),"Rb",_xlfn.XLOOKUP(E4&amp;"|"&amp;B4,
        Calculate_cap_emi!$I$14:$I$21&amp;"|"&amp;Calculate_cap_emi!$L$14:$L$21,
        Calculate_cap_emi!$AS$14:$AS$21, "Not found", 0),"Rl",_xlfn.XLOOKUP(E4&amp;"|"&amp;B4,
        Calculate_cap_emi!$I$14:$I$21&amp;"|"&amp;Calculate_cap_emi!$L$14:$L$21,
        Calculate_cap_emi!$AT$14:$AT$21, "Not found", 0),"HP",_xlfn.XLOOKUP(E4&amp;"|"&amp;B4,
        Calculate_cap_emi!$I$14:$I$21&amp;"|"&amp;Calculate_cap_emi!$L$14:$L$21,
        Calculate_cap_emi!$AR$14:$AR$21, "Not found", 0),"HPl",_xlfn.XLOOKUP(E4&amp;"|"&amp;B4,
        Calculate_cap_emi!$I$14:$I$21&amp;"|"&amp;Calculate_cap_emi!$L$14:$L$21,
        Calculate_cap_emi!$AU$14:$AU$21, "Not found", 0),"Missing")</f>
        <v>4.2216804469476452</v>
      </c>
      <c r="S4" s="5" cm="1">
        <f t="array" ref="S4">_xlfn.SWITCH(F4,"R",_xlfn.XLOOKUP(E4&amp;"|"&amp;B4,
        Calculate_cap_emi!$I$14:$I$21&amp;"|"&amp;Calculate_cap_emi!$L$14:$L$21,
        Calculate_cap_emi!$AX$14:$AX$21, "Not found", 0),"Rb",_xlfn.XLOOKUP(E4&amp;"|"&amp;B4,
        Calculate_cap_emi!$I$14:$I$21&amp;"|"&amp;Calculate_cap_emi!$L$14:$L$21,
        Calculate_cap_emi!$AZ$14:$AZ$21, "Not found", 0),"Rl",_xlfn.XLOOKUP(E4&amp;"|"&amp;B4,
        Calculate_cap_emi!$I$14:$I$21&amp;"|"&amp;Calculate_cap_emi!$L$14:$L$21,
        Calculate_cap_emi!$BA$14:$BA$21, "Not found", 0),"HP",_xlfn.XLOOKUP(E4&amp;"|"&amp;B4,
        Calculate_cap_emi!$I$14:$I$21&amp;"|"&amp;Calculate_cap_emi!$L$14:$L$21,
        Calculate_cap_emi!$AY$14:$AY$21, "Not found", 0),"HPl",_xlfn.XLOOKUP(E4&amp;"|"&amp;B4,
        Calculate_cap_emi!$I$14:$I$21&amp;"|"&amp;Calculate_cap_emi!$L$14:$L$21,
        Calculate_cap_emi!$BB$14:$BB$21, "Not found", 0),"Missing")</f>
        <v>40.801368799829156</v>
      </c>
      <c r="T4" s="5" cm="1">
        <f t="array" ref="T4">_xlfn.SWITCH(F4,"R",_xlfn.XLOOKUP(E4&amp;"|"&amp;B4,
        Calculate_cap_emi!$I$14:$I$21&amp;"|"&amp;Calculate_cap_emi!$L$14:$L$21,
        Calculate_cap_emi!$BE$14:$BE$21, "Not found", 0),"Rb",_xlfn.XLOOKUP(E4&amp;"|"&amp;B4,
        Calculate_cap_emi!$I$14:$I$21&amp;"|"&amp;Calculate_cap_emi!$L$14:$L$21,
        Calculate_cap_emi!$BG$14:$BG$21, "Not found", 0),"Rl",_xlfn.XLOOKUP(E4&amp;"|"&amp;B4,
        Calculate_cap_emi!$I$14:$I$21&amp;"|"&amp;Calculate_cap_emi!$L$14:$L$21,
        Calculate_cap_emi!$BH$14:$BH$21, "Not found", 0),"HP",_xlfn.XLOOKUP(E4&amp;"|"&amp;B4,
        Calculate_cap_emi!$I$14:$I$21&amp;"|"&amp;Calculate_cap_emi!$L$14:$L$21,
        Calculate_cap_emi!$BF$14:$BF$21, "Not found", 0),"HPl",_xlfn.XLOOKUP(E4&amp;"|"&amp;B4,
        Calculate_cap_emi!$I$14:$I$21&amp;"|"&amp;Calculate_cap_emi!$L$14:$L$21,
        Calculate_cap_emi!$BI$14:$BI$21, "Not found", 0),"Missing")</f>
        <v>0</v>
      </c>
      <c r="U4" s="5" cm="1">
        <f t="array" ref="U4">_xlfn.SWITCH(F4,"R",_xlfn.XLOOKUP(E4&amp;"|"&amp;B4,
        Calculate_cap_emi_sens!$I$14:$I$21&amp;"|"&amp;Calculate_cap_emi_sens!$L$14:$L$21,
        Calculate_cap_emi_sens!$AX$14:$AX$21, "Not found", 0),"Rb",_xlfn.XLOOKUP(E4&amp;"|"&amp;B4,
        Calculate_cap_emi_sens!$I$14:$I$21&amp;"|"&amp;Calculate_cap_emi_sens!$L$14:$L$21,
        Calculate_cap_emi_sens!$AZ$14:$AZ$21, "Not found", 0),"Rl",_xlfn.XLOOKUP(E4&amp;"|"&amp;B4,
        Calculate_cap_emi_sens!$I$14:$I$21&amp;"|"&amp;Calculate_cap_emi_sens!$L$14:$L$21,
        Calculate_cap_emi_sens!$BA$14:$BA$21, "Not found", 0),"HP",_xlfn.XLOOKUP(E4&amp;"|"&amp;B4,
        Calculate_cap_emi_sens!$I$14:$I$21&amp;"|"&amp;Calculate_cap_emi_sens!$L$14:$L$21,
        Calculate_cap_emi_sens!$AY$14:$AY$21, "Not found", 0),"HPl",_xlfn.XLOOKUP(E4&amp;"|"&amp;B4,
        Calculate_cap_emi_sens!$I$14:$I$21&amp;"|"&amp;Calculate_cap_emi_sens!$L$14:$L$21,
        Calculate_cap_emi_sens!$BB$14:$BB$21, "Not found", 0),"Missing")</f>
        <v>40.801368799829156</v>
      </c>
      <c r="V4" s="5" cm="1">
        <f t="array" ref="V4">_xlfn.SWITCH(F4,"R",_xlfn.XLOOKUP(E4&amp;"|"&amp;B4,
        Calculate_cap_emi_sens!$I$14:$I$21&amp;"|"&amp;Calculate_cap_emi_sens!$L$14:$L$21,
        Calculate_cap_emi_sens!$BE$14:$BE$21, "Not found", 0),"Rb",_xlfn.XLOOKUP(E4&amp;"|"&amp;B4,
        Calculate_cap_emi_sens!$I$14:$I$21&amp;"|"&amp;Calculate_cap_emi_sens!$L$14:$L$21,
        Calculate_cap_emi_sens!$BG$14:$BG$21, "Not found", 0),"Rl",_xlfn.XLOOKUP(E4&amp;"|"&amp;B4,
        Calculate_cap_emi_sens!$I$14:$I$21&amp;"|"&amp;Calculate_cap_emi_sens!$L$14:$L$21,
        Calculate_cap_emi_sens!$BH$14:$BH$21, "Not found", 0),"HP",_xlfn.XLOOKUP(E4&amp;"|"&amp;B4,
        Calculate_cap_emi_sens!$I$14:$I$21&amp;"|"&amp;Calculate_cap_emi_sens!$L$14:$L$21,
        Calculate_cap_emi_sens!$BF$14:$BF$21, "Not found", 0),"HPl",_xlfn.XLOOKUP(E4&amp;"|"&amp;B4,
        Calculate_cap_emi_sens!$I$14:$I$21&amp;"|"&amp;Calculate_cap_emi_sens!$L$14:$L$21,
        Calculate_cap_emi_sens!$BI$14:$BI$21, "Not found", 0),"Missing")</f>
        <v>0</v>
      </c>
      <c r="W4" s="5">
        <f>Results_proc_ener!L4</f>
        <v>19975.709705088429</v>
      </c>
      <c r="X4" s="5">
        <f>Results_proc_ener!M4</f>
        <v>0</v>
      </c>
      <c r="Y4" s="5">
        <f>Results_proc_ener!N4</f>
        <v>0</v>
      </c>
      <c r="Z4" s="5">
        <f>Results_proc_ener!O4</f>
        <v>0</v>
      </c>
      <c r="AA4" s="5">
        <f>Results_proc_ener!P4</f>
        <v>0</v>
      </c>
      <c r="AB4" s="5">
        <f>Results_proc_ener!Q4</f>
        <v>728.39025102879009</v>
      </c>
      <c r="AC4" s="5">
        <f>Results_proc_ener!R4</f>
        <v>14.557230127516119</v>
      </c>
      <c r="AD4" s="5">
        <f>Results_proc_ener!S4</f>
        <v>86.552477269538329</v>
      </c>
      <c r="AE4" s="5">
        <f>Results_proc_ener!T4</f>
        <v>0</v>
      </c>
    </row>
    <row r="5" spans="1:33" x14ac:dyDescent="0.25">
      <c r="A5" s="5" t="s">
        <v>6</v>
      </c>
      <c r="B5" s="5" t="str">
        <f t="shared" si="0"/>
        <v>Mass-H1</v>
      </c>
      <c r="C5" s="5" t="str">
        <f t="shared" si="1"/>
        <v>Mass</v>
      </c>
      <c r="D5" s="5" t="str">
        <f t="shared" si="2"/>
        <v>H1</v>
      </c>
      <c r="E5" s="5" t="s">
        <v>3</v>
      </c>
      <c r="F5" s="5" t="s">
        <v>13</v>
      </c>
      <c r="G5" s="5"/>
      <c r="H5" s="5"/>
      <c r="I5" s="5" cm="1">
        <f t="array" ref="I5">_xlfn.SWITCH(F5,"R",_xlfn.XLOOKUP(E5&amp;"|"&amp;B5,
        Calculate_cap_emi!$I$14:$I$21&amp;"|"&amp;Calculate_cap_emi!$L$14:$L$21,
        Calculate_cap_emi!$W$14:$W$21, "Not found", 0),"Rb",_xlfn.XLOOKUP(E5&amp;"|"&amp;B5,
        Calculate_cap_emi!$I$14:$I$21&amp;"|"&amp;Calculate_cap_emi!$L$14:$L$21,
        Calculate_cap_emi!$Y$14:$Y$21, "Not found", 0),"Rl",_xlfn.XLOOKUP(E5&amp;"|"&amp;B5,
        Calculate_cap_emi!$I$14:$I$21&amp;"|"&amp;Calculate_cap_emi!$L$14:$L$21,
        Calculate_cap_emi!$Z$14:$Z$21, "Not found", 0),0)</f>
        <v>7</v>
      </c>
      <c r="J5" s="5"/>
      <c r="K5" s="5"/>
      <c r="L5" s="5" cm="1">
        <f t="array" ref="L5">_xlfn.SWITCH(F5,"R",_xlfn.XLOOKUP(E5&amp;"|"&amp;B5,
        Calculate_cap_emi!$I$14:$I$21&amp;"|"&amp;Calculate_cap_emi!$L$14:$L$21,
        Calculate_cap_emi!$AC$14:$AC$21, "Not found", 0),"Rb",_xlfn.XLOOKUP(E5&amp;"|"&amp;B5,
        Calculate_cap_emi!$I$14:$I$21&amp;"|"&amp;Calculate_cap_emi!$L$14:$L$21,
        Calculate_cap_emi!$AE$14:$AE$21, "Not found", 0),"Rl",_xlfn.XLOOKUP(E5&amp;"|"&amp;B5,
        Calculate_cap_emi!$I$14:$I$21&amp;"|"&amp;Calculate_cap_emi!$L$14:$L$21,
        Calculate_cap_emi!$AF$14:$AF$21, "Not found", 0),"HP",_xlfn.XLOOKUP(E5&amp;"|"&amp;B5,
        Calculate_cap_emi!$I$14:$I$21&amp;"|"&amp;Calculate_cap_emi!$L$14:$L$21,
        Calculate_cap_emi!$AD$14:$AD$21, "Not found", 0),"HPl",_xlfn.XLOOKUP(E5&amp;"|"&amp;B5,
        Calculate_cap_emi!$I$14:$I$21&amp;"|"&amp;Calculate_cap_emi!$L$14:$L$21,
        Calculate_cap_emi!$AG$14:$AG$21, "Not found", 0),"Missing")</f>
        <v>762.75654779699664</v>
      </c>
      <c r="M5" s="5"/>
      <c r="N5" s="5"/>
      <c r="O5" s="5"/>
      <c r="P5" s="5"/>
      <c r="Q5" s="5" cm="1">
        <f t="array" ref="Q5">_xlfn.SWITCH(F5,"R",_xlfn.XLOOKUP(E5&amp;"|"&amp;B5,
        Calculate_cap_emi!$I$14:$I$21&amp;"|"&amp;Calculate_cap_emi!$L$14:$L$21,
        Calculate_cap_emi!$AJ$14:$AJ$21, "Not found", 0),"Rb",_xlfn.XLOOKUP(E5&amp;"|"&amp;B5,
        Calculate_cap_emi!$I$14:$I$21&amp;"|"&amp;Calculate_cap_emi!$L$14:$L$21,
        Calculate_cap_emi!$AL$14:$AL$21, "Not found", 0),"Rl",_xlfn.XLOOKUP(E5&amp;"|"&amp;B5,
        Calculate_cap_emi!$I$14:$I$21&amp;"|"&amp;Calculate_cap_emi!$L$14:$L$21,
        Calculate_cap_emi!$AM$14:$AM$21, "Not found", 0),"HP",_xlfn.XLOOKUP(E5&amp;"|"&amp;B5,
        Calculate_cap_emi!$I$14:$I$21&amp;"|"&amp;Calculate_cap_emi!$L$14:$L$21,
        Calculate_cap_emi!$AK$14:$AK$21, "Not found", 0),"HPl",_xlfn.XLOOKUP(E5&amp;"|"&amp;B5,
        Calculate_cap_emi!$I$14:$I$21&amp;"|"&amp;Calculate_cap_emi!$L$14:$L$21,
        Calculate_cap_emi!$AN$14:$AN$21, "Not found", 0),"Missing")</f>
        <v>34.392676545952938</v>
      </c>
      <c r="R5" s="5" cm="1">
        <f t="array" ref="R5">_xlfn.SWITCH(F5,"R",_xlfn.XLOOKUP(E5&amp;"|"&amp;B5,
        Calculate_cap_emi!$I$14:$I$21&amp;"|"&amp;Calculate_cap_emi!$L$14:$L$21,
        Calculate_cap_emi!$AQ$14:$AQ$21, "Not found", 0),"Rb",_xlfn.XLOOKUP(E5&amp;"|"&amp;B5,
        Calculate_cap_emi!$I$14:$I$21&amp;"|"&amp;Calculate_cap_emi!$L$14:$L$21,
        Calculate_cap_emi!$AS$14:$AS$21, "Not found", 0),"Rl",_xlfn.XLOOKUP(E5&amp;"|"&amp;B5,
        Calculate_cap_emi!$I$14:$I$21&amp;"|"&amp;Calculate_cap_emi!$L$14:$L$21,
        Calculate_cap_emi!$AT$14:$AT$21, "Not found", 0),"HP",_xlfn.XLOOKUP(E5&amp;"|"&amp;B5,
        Calculate_cap_emi!$I$14:$I$21&amp;"|"&amp;Calculate_cap_emi!$L$14:$L$21,
        Calculate_cap_emi!$AR$14:$AR$21, "Not found", 0),"HPl",_xlfn.XLOOKUP(E5&amp;"|"&amp;B5,
        Calculate_cap_emi!$I$14:$I$21&amp;"|"&amp;Calculate_cap_emi!$L$14:$L$21,
        Calculate_cap_emi!$AU$14:$AU$21, "Not found", 0),"Missing")</f>
        <v>4.2216804469476452</v>
      </c>
      <c r="S5" s="5" cm="1">
        <f t="array" ref="S5">_xlfn.SWITCH(F5,"R",_xlfn.XLOOKUP(E5&amp;"|"&amp;B5,
        Calculate_cap_emi!$I$14:$I$21&amp;"|"&amp;Calculate_cap_emi!$L$14:$L$21,
        Calculate_cap_emi!$AX$14:$AX$21, "Not found", 0),"Rb",_xlfn.XLOOKUP(E5&amp;"|"&amp;B5,
        Calculate_cap_emi!$I$14:$I$21&amp;"|"&amp;Calculate_cap_emi!$L$14:$L$21,
        Calculate_cap_emi!$AZ$14:$AZ$21, "Not found", 0),"Rl",_xlfn.XLOOKUP(E5&amp;"|"&amp;B5,
        Calculate_cap_emi!$I$14:$I$21&amp;"|"&amp;Calculate_cap_emi!$L$14:$L$21,
        Calculate_cap_emi!$BA$14:$BA$21, "Not found", 0),"HP",_xlfn.XLOOKUP(E5&amp;"|"&amp;B5,
        Calculate_cap_emi!$I$14:$I$21&amp;"|"&amp;Calculate_cap_emi!$L$14:$L$21,
        Calculate_cap_emi!$AY$14:$AY$21, "Not found", 0),"HPl",_xlfn.XLOOKUP(E5&amp;"|"&amp;B5,
        Calculate_cap_emi!$I$14:$I$21&amp;"|"&amp;Calculate_cap_emi!$L$14:$L$21,
        Calculate_cap_emi!$BB$14:$BB$21, "Not found", 0),"Missing")</f>
        <v>40.801368799829156</v>
      </c>
      <c r="T5" s="5" cm="1">
        <f t="array" ref="T5">_xlfn.SWITCH(F5,"R",_xlfn.XLOOKUP(E5&amp;"|"&amp;B5,
        Calculate_cap_emi!$I$14:$I$21&amp;"|"&amp;Calculate_cap_emi!$L$14:$L$21,
        Calculate_cap_emi!$BE$14:$BE$21, "Not found", 0),"Rb",_xlfn.XLOOKUP(E5&amp;"|"&amp;B5,
        Calculate_cap_emi!$I$14:$I$21&amp;"|"&amp;Calculate_cap_emi!$L$14:$L$21,
        Calculate_cap_emi!$BG$14:$BG$21, "Not found", 0),"Rl",_xlfn.XLOOKUP(E5&amp;"|"&amp;B5,
        Calculate_cap_emi!$I$14:$I$21&amp;"|"&amp;Calculate_cap_emi!$L$14:$L$21,
        Calculate_cap_emi!$BH$14:$BH$21, "Not found", 0),"HP",_xlfn.XLOOKUP(E5&amp;"|"&amp;B5,
        Calculate_cap_emi!$I$14:$I$21&amp;"|"&amp;Calculate_cap_emi!$L$14:$L$21,
        Calculate_cap_emi!$BF$14:$BF$21, "Not found", 0),"HPl",_xlfn.XLOOKUP(E5&amp;"|"&amp;B5,
        Calculate_cap_emi!$I$14:$I$21&amp;"|"&amp;Calculate_cap_emi!$L$14:$L$21,
        Calculate_cap_emi!$BI$14:$BI$21, "Not found", 0),"Missing")</f>
        <v>0</v>
      </c>
      <c r="U5" s="5" cm="1">
        <f t="array" ref="U5">_xlfn.SWITCH(F5,"R",_xlfn.XLOOKUP(E5&amp;"|"&amp;B5,
        Calculate_cap_emi_sens!$I$14:$I$21&amp;"|"&amp;Calculate_cap_emi_sens!$L$14:$L$21,
        Calculate_cap_emi_sens!$AX$14:$AX$21, "Not found", 0),"Rb",_xlfn.XLOOKUP(E5&amp;"|"&amp;B5,
        Calculate_cap_emi_sens!$I$14:$I$21&amp;"|"&amp;Calculate_cap_emi_sens!$L$14:$L$21,
        Calculate_cap_emi_sens!$AZ$14:$AZ$21, "Not found", 0),"Rl",_xlfn.XLOOKUP(E5&amp;"|"&amp;B5,
        Calculate_cap_emi_sens!$I$14:$I$21&amp;"|"&amp;Calculate_cap_emi_sens!$L$14:$L$21,
        Calculate_cap_emi_sens!$BA$14:$BA$21, "Not found", 0),"HP",_xlfn.XLOOKUP(E5&amp;"|"&amp;B5,
        Calculate_cap_emi_sens!$I$14:$I$21&amp;"|"&amp;Calculate_cap_emi_sens!$L$14:$L$21,
        Calculate_cap_emi_sens!$AY$14:$AY$21, "Not found", 0),"HPl",_xlfn.XLOOKUP(E5&amp;"|"&amp;B5,
        Calculate_cap_emi_sens!$I$14:$I$21&amp;"|"&amp;Calculate_cap_emi_sens!$L$14:$L$21,
        Calculate_cap_emi_sens!$BB$14:$BB$21, "Not found", 0),"Missing")</f>
        <v>40.801368799829156</v>
      </c>
      <c r="V5" s="5" cm="1">
        <f t="array" ref="V5">_xlfn.SWITCH(F5,"R",_xlfn.XLOOKUP(E5&amp;"|"&amp;B5,
        Calculate_cap_emi_sens!$I$14:$I$21&amp;"|"&amp;Calculate_cap_emi_sens!$L$14:$L$21,
        Calculate_cap_emi_sens!$BE$14:$BE$21, "Not found", 0),"Rb",_xlfn.XLOOKUP(E5&amp;"|"&amp;B5,
        Calculate_cap_emi_sens!$I$14:$I$21&amp;"|"&amp;Calculate_cap_emi_sens!$L$14:$L$21,
        Calculate_cap_emi_sens!$BG$14:$BG$21, "Not found", 0),"Rl",_xlfn.XLOOKUP(E5&amp;"|"&amp;B5,
        Calculate_cap_emi_sens!$I$14:$I$21&amp;"|"&amp;Calculate_cap_emi_sens!$L$14:$L$21,
        Calculate_cap_emi_sens!$BH$14:$BH$21, "Not found", 0),"HP",_xlfn.XLOOKUP(E5&amp;"|"&amp;B5,
        Calculate_cap_emi_sens!$I$14:$I$21&amp;"|"&amp;Calculate_cap_emi_sens!$L$14:$L$21,
        Calculate_cap_emi_sens!$BF$14:$BF$21, "Not found", 0),"HPl",_xlfn.XLOOKUP(E5&amp;"|"&amp;B5,
        Calculate_cap_emi_sens!$I$14:$I$21&amp;"|"&amp;Calculate_cap_emi_sens!$L$14:$L$21,
        Calculate_cap_emi_sens!$BI$14:$BI$21, "Not found", 0),"Missing")</f>
        <v>0</v>
      </c>
      <c r="W5" s="5">
        <f>Results_proc_ener!L5</f>
        <v>19975.709705088429</v>
      </c>
      <c r="X5" s="5">
        <f>Results_proc_ener!M5</f>
        <v>0</v>
      </c>
      <c r="Y5" s="5">
        <f>Results_proc_ener!N5</f>
        <v>0</v>
      </c>
      <c r="Z5" s="5">
        <f>Results_proc_ener!O5</f>
        <v>0</v>
      </c>
      <c r="AA5" s="5">
        <f>Results_proc_ener!P5</f>
        <v>0</v>
      </c>
      <c r="AB5" s="5">
        <f>Results_proc_ener!Q5</f>
        <v>728.39025102879009</v>
      </c>
      <c r="AC5" s="5">
        <f>Results_proc_ener!R5</f>
        <v>14.557230127516119</v>
      </c>
      <c r="AD5" s="5">
        <f>Results_proc_ener!S5</f>
        <v>86.552477269538329</v>
      </c>
      <c r="AE5" s="5">
        <f>Results_proc_ener!T5</f>
        <v>0</v>
      </c>
    </row>
    <row r="6" spans="1:33" x14ac:dyDescent="0.25">
      <c r="A6" s="5" t="s">
        <v>7</v>
      </c>
      <c r="B6" s="5" t="str">
        <f t="shared" si="0"/>
        <v>Mod-Nom</v>
      </c>
      <c r="C6" s="5" t="str">
        <f t="shared" si="1"/>
        <v>Mod</v>
      </c>
      <c r="D6" s="5" t="str">
        <f t="shared" si="2"/>
        <v>Nom</v>
      </c>
      <c r="E6" s="5" t="s">
        <v>3</v>
      </c>
      <c r="F6" s="5" t="s">
        <v>13</v>
      </c>
      <c r="G6" s="5"/>
      <c r="H6" s="5"/>
      <c r="I6" s="5" cm="1">
        <f t="array" ref="I6">_xlfn.SWITCH(F6,"R",_xlfn.XLOOKUP(E6&amp;"|"&amp;B6,
        Calculate_cap_emi!$I$14:$I$21&amp;"|"&amp;Calculate_cap_emi!$L$14:$L$21,
        Calculate_cap_emi!$W$14:$W$21, "Not found", 0),"Rb",_xlfn.XLOOKUP(E6&amp;"|"&amp;B6,
        Calculate_cap_emi!$I$14:$I$21&amp;"|"&amp;Calculate_cap_emi!$L$14:$L$21,
        Calculate_cap_emi!$Y$14:$Y$21, "Not found", 0),"Rl",_xlfn.XLOOKUP(E6&amp;"|"&amp;B6,
        Calculate_cap_emi!$I$14:$I$21&amp;"|"&amp;Calculate_cap_emi!$L$14:$L$21,
        Calculate_cap_emi!$Z$14:$Z$21, "Not found", 0),0)</f>
        <v>12</v>
      </c>
      <c r="J6" s="5"/>
      <c r="K6" s="5"/>
      <c r="L6" s="5" cm="1">
        <f t="array" ref="L6">_xlfn.SWITCH(F6,"R",_xlfn.XLOOKUP(E6&amp;"|"&amp;B6,
        Calculate_cap_emi!$I$14:$I$21&amp;"|"&amp;Calculate_cap_emi!$L$14:$L$21,
        Calculate_cap_emi!$AC$14:$AC$21, "Not found", 0),"Rb",_xlfn.XLOOKUP(E6&amp;"|"&amp;B6,
        Calculate_cap_emi!$I$14:$I$21&amp;"|"&amp;Calculate_cap_emi!$L$14:$L$21,
        Calculate_cap_emi!$AE$14:$AE$21, "Not found", 0),"Rl",_xlfn.XLOOKUP(E6&amp;"|"&amp;B6,
        Calculate_cap_emi!$I$14:$I$21&amp;"|"&amp;Calculate_cap_emi!$L$14:$L$21,
        Calculate_cap_emi!$AF$14:$AF$21, "Not found", 0),"HP",_xlfn.XLOOKUP(E6&amp;"|"&amp;B6,
        Calculate_cap_emi!$I$14:$I$21&amp;"|"&amp;Calculate_cap_emi!$L$14:$L$21,
        Calculate_cap_emi!$AD$14:$AD$21, "Not found", 0),"HPl",_xlfn.XLOOKUP(E6&amp;"|"&amp;B6,
        Calculate_cap_emi!$I$14:$I$21&amp;"|"&amp;Calculate_cap_emi!$L$14:$L$21,
        Calculate_cap_emi!$AG$14:$AG$21, "Not found", 0),"Missing")</f>
        <v>1286.5077090545929</v>
      </c>
      <c r="M6" s="5"/>
      <c r="N6" s="5"/>
      <c r="O6" s="5"/>
      <c r="P6" s="5"/>
      <c r="Q6" s="5" cm="1">
        <f t="array" ref="Q6">_xlfn.SWITCH(F6,"R",_xlfn.XLOOKUP(E6&amp;"|"&amp;B6,
        Calculate_cap_emi!$I$14:$I$21&amp;"|"&amp;Calculate_cap_emi!$L$14:$L$21,
        Calculate_cap_emi!$AJ$14:$AJ$21, "Not found", 0),"Rb",_xlfn.XLOOKUP(E6&amp;"|"&amp;B6,
        Calculate_cap_emi!$I$14:$I$21&amp;"|"&amp;Calculate_cap_emi!$L$14:$L$21,
        Calculate_cap_emi!$AL$14:$AL$21, "Not found", 0),"Rl",_xlfn.XLOOKUP(E6&amp;"|"&amp;B6,
        Calculate_cap_emi!$I$14:$I$21&amp;"|"&amp;Calculate_cap_emi!$L$14:$L$21,
        Calculate_cap_emi!$AM$14:$AM$21, "Not found", 0),"HP",_xlfn.XLOOKUP(E6&amp;"|"&amp;B6,
        Calculate_cap_emi!$I$14:$I$21&amp;"|"&amp;Calculate_cap_emi!$L$14:$L$21,
        Calculate_cap_emi!$AK$14:$AK$21, "Not found", 0),"HPl",_xlfn.XLOOKUP(E6&amp;"|"&amp;B6,
        Calculate_cap_emi!$I$14:$I$21&amp;"|"&amp;Calculate_cap_emi!$L$14:$L$21,
        Calculate_cap_emi!$AN$14:$AN$21, "Not found", 0),"Missing")</f>
        <v>58.322398297552937</v>
      </c>
      <c r="R6" s="5" cm="1">
        <f t="array" ref="R6">_xlfn.SWITCH(F6,"R",_xlfn.XLOOKUP(E6&amp;"|"&amp;B6,
        Calculate_cap_emi!$I$14:$I$21&amp;"|"&amp;Calculate_cap_emi!$L$14:$L$21,
        Calculate_cap_emi!$AQ$14:$AQ$21, "Not found", 0),"Rb",_xlfn.XLOOKUP(E6&amp;"|"&amp;B6,
        Calculate_cap_emi!$I$14:$I$21&amp;"|"&amp;Calculate_cap_emi!$L$14:$L$21,
        Calculate_cap_emi!$AS$14:$AS$21, "Not found", 0),"Rl",_xlfn.XLOOKUP(E6&amp;"|"&amp;B6,
        Calculate_cap_emi!$I$14:$I$21&amp;"|"&amp;Calculate_cap_emi!$L$14:$L$21,
        Calculate_cap_emi!$AT$14:$AT$21, "Not found", 0),"HP",_xlfn.XLOOKUP(E6&amp;"|"&amp;B6,
        Calculate_cap_emi!$I$14:$I$21&amp;"|"&amp;Calculate_cap_emi!$L$14:$L$21,
        Calculate_cap_emi!$AR$14:$AR$21, "Not found", 0),"HPl",_xlfn.XLOOKUP(E6&amp;"|"&amp;B6,
        Calculate_cap_emi!$I$14:$I$21&amp;"|"&amp;Calculate_cap_emi!$L$14:$L$21,
        Calculate_cap_emi!$AU$14:$AU$21, "Not found", 0),"Missing")</f>
        <v>7.0757825393014615</v>
      </c>
      <c r="S6" s="5" cm="1">
        <f t="array" ref="S6">_xlfn.SWITCH(F6,"R",_xlfn.XLOOKUP(E6&amp;"|"&amp;B6,
        Calculate_cap_emi!$I$14:$I$21&amp;"|"&amp;Calculate_cap_emi!$L$14:$L$21,
        Calculate_cap_emi!$AX$14:$AX$21, "Not found", 0),"Rb",_xlfn.XLOOKUP(E6&amp;"|"&amp;B6,
        Calculate_cap_emi!$I$14:$I$21&amp;"|"&amp;Calculate_cap_emi!$L$14:$L$21,
        Calculate_cap_emi!$AZ$14:$AZ$21, "Not found", 0),"Rl",_xlfn.XLOOKUP(E6&amp;"|"&amp;B6,
        Calculate_cap_emi!$I$14:$I$21&amp;"|"&amp;Calculate_cap_emi!$L$14:$L$21,
        Calculate_cap_emi!$BA$14:$BA$21, "Not found", 0),"HP",_xlfn.XLOOKUP(E6&amp;"|"&amp;B6,
        Calculate_cap_emi!$I$14:$I$21&amp;"|"&amp;Calculate_cap_emi!$L$14:$L$21,
        Calculate_cap_emi!$AY$14:$AY$21, "Not found", 0),"HPl",_xlfn.XLOOKUP(E6&amp;"|"&amp;B6,
        Calculate_cap_emi!$I$14:$I$21&amp;"|"&amp;Calculate_cap_emi!$L$14:$L$21,
        Calculate_cap_emi!$BB$14:$BB$21, "Not found", 0),"Missing")</f>
        <v>69.179086984918428</v>
      </c>
      <c r="T6" s="5" cm="1">
        <f t="array" ref="T6">_xlfn.SWITCH(F6,"R",_xlfn.XLOOKUP(E6&amp;"|"&amp;B6,
        Calculate_cap_emi!$I$14:$I$21&amp;"|"&amp;Calculate_cap_emi!$L$14:$L$21,
        Calculate_cap_emi!$BE$14:$BE$21, "Not found", 0),"Rb",_xlfn.XLOOKUP(E6&amp;"|"&amp;B6,
        Calculate_cap_emi!$I$14:$I$21&amp;"|"&amp;Calculate_cap_emi!$L$14:$L$21,
        Calculate_cap_emi!$BG$14:$BG$21, "Not found", 0),"Rl",_xlfn.XLOOKUP(E6&amp;"|"&amp;B6,
        Calculate_cap_emi!$I$14:$I$21&amp;"|"&amp;Calculate_cap_emi!$L$14:$L$21,
        Calculate_cap_emi!$BH$14:$BH$21, "Not found", 0),"HP",_xlfn.XLOOKUP(E6&amp;"|"&amp;B6,
        Calculate_cap_emi!$I$14:$I$21&amp;"|"&amp;Calculate_cap_emi!$L$14:$L$21,
        Calculate_cap_emi!$BF$14:$BF$21, "Not found", 0),"HPl",_xlfn.XLOOKUP(E6&amp;"|"&amp;B6,
        Calculate_cap_emi!$I$14:$I$21&amp;"|"&amp;Calculate_cap_emi!$L$14:$L$21,
        Calculate_cap_emi!$BI$14:$BI$21, "Not found", 0),"Missing")</f>
        <v>0</v>
      </c>
      <c r="U6" s="5" cm="1">
        <f t="array" ref="U6">_xlfn.SWITCH(F6,"R",_xlfn.XLOOKUP(E6&amp;"|"&amp;B6,
        Calculate_cap_emi_sens!$I$14:$I$21&amp;"|"&amp;Calculate_cap_emi_sens!$L$14:$L$21,
        Calculate_cap_emi_sens!$AX$14:$AX$21, "Not found", 0),"Rb",_xlfn.XLOOKUP(E6&amp;"|"&amp;B6,
        Calculate_cap_emi_sens!$I$14:$I$21&amp;"|"&amp;Calculate_cap_emi_sens!$L$14:$L$21,
        Calculate_cap_emi_sens!$AZ$14:$AZ$21, "Not found", 0),"Rl",_xlfn.XLOOKUP(E6&amp;"|"&amp;B6,
        Calculate_cap_emi_sens!$I$14:$I$21&amp;"|"&amp;Calculate_cap_emi_sens!$L$14:$L$21,
        Calculate_cap_emi_sens!$BA$14:$BA$21, "Not found", 0),"HP",_xlfn.XLOOKUP(E6&amp;"|"&amp;B6,
        Calculate_cap_emi_sens!$I$14:$I$21&amp;"|"&amp;Calculate_cap_emi_sens!$L$14:$L$21,
        Calculate_cap_emi_sens!$AY$14:$AY$21, "Not found", 0),"HPl",_xlfn.XLOOKUP(E6&amp;"|"&amp;B6,
        Calculate_cap_emi_sens!$I$14:$I$21&amp;"|"&amp;Calculate_cap_emi_sens!$L$14:$L$21,
        Calculate_cap_emi_sens!$BB$14:$BB$21, "Not found", 0),"Missing")</f>
        <v>69.179086984918428</v>
      </c>
      <c r="V6" s="5" cm="1">
        <f t="array" ref="V6">_xlfn.SWITCH(F6,"R",_xlfn.XLOOKUP(E6&amp;"|"&amp;B6,
        Calculate_cap_emi_sens!$I$14:$I$21&amp;"|"&amp;Calculate_cap_emi_sens!$L$14:$L$21,
        Calculate_cap_emi_sens!$BE$14:$BE$21, "Not found", 0),"Rb",_xlfn.XLOOKUP(E6&amp;"|"&amp;B6,
        Calculate_cap_emi_sens!$I$14:$I$21&amp;"|"&amp;Calculate_cap_emi_sens!$L$14:$L$21,
        Calculate_cap_emi_sens!$BG$14:$BG$21, "Not found", 0),"Rl",_xlfn.XLOOKUP(E6&amp;"|"&amp;B6,
        Calculate_cap_emi_sens!$I$14:$I$21&amp;"|"&amp;Calculate_cap_emi_sens!$L$14:$L$21,
        Calculate_cap_emi_sens!$BH$14:$BH$21, "Not found", 0),"HP",_xlfn.XLOOKUP(E6&amp;"|"&amp;B6,
        Calculate_cap_emi_sens!$I$14:$I$21&amp;"|"&amp;Calculate_cap_emi_sens!$L$14:$L$21,
        Calculate_cap_emi_sens!$BF$14:$BF$21, "Not found", 0),"HPl",_xlfn.XLOOKUP(E6&amp;"|"&amp;B6,
        Calculate_cap_emi_sens!$I$14:$I$21&amp;"|"&amp;Calculate_cap_emi_sens!$L$14:$L$21,
        Calculate_cap_emi_sens!$BI$14:$BI$21, "Not found", 0),"Missing")</f>
        <v>0</v>
      </c>
      <c r="W6" s="5">
        <f>Results_proc_ener!L6</f>
        <v>33702.645041284981</v>
      </c>
      <c r="X6" s="5">
        <f>Results_proc_ener!M6</f>
        <v>0</v>
      </c>
      <c r="Y6" s="5">
        <f>Results_proc_ener!N6</f>
        <v>0</v>
      </c>
      <c r="Z6" s="5">
        <f>Results_proc_ener!O6</f>
        <v>0</v>
      </c>
      <c r="AA6" s="5">
        <f>Results_proc_ener!P6</f>
        <v>0</v>
      </c>
      <c r="AB6" s="5">
        <f>Results_proc_ener!Q6</f>
        <v>1235.1893078107803</v>
      </c>
      <c r="AC6" s="5">
        <f>Results_proc_ener!R6</f>
        <v>24.538809881831291</v>
      </c>
      <c r="AD6" s="5">
        <f>Results_proc_ener!S6</f>
        <v>145.51024782316483</v>
      </c>
      <c r="AE6" s="5">
        <f>Results_proc_ener!T6</f>
        <v>0</v>
      </c>
    </row>
    <row r="7" spans="1:33" x14ac:dyDescent="0.25">
      <c r="A7" s="5" t="s">
        <v>8</v>
      </c>
      <c r="B7" s="5" t="str">
        <f t="shared" si="0"/>
        <v>Mod-Nom</v>
      </c>
      <c r="C7" s="5" t="str">
        <f t="shared" si="1"/>
        <v>Mod</v>
      </c>
      <c r="D7" s="5" t="str">
        <f t="shared" si="2"/>
        <v>Nom</v>
      </c>
      <c r="E7" s="5" t="s">
        <v>3</v>
      </c>
      <c r="F7" s="5" t="s">
        <v>13</v>
      </c>
      <c r="G7" s="5"/>
      <c r="H7" s="5"/>
      <c r="I7" s="5" cm="1">
        <f t="array" ref="I7">_xlfn.SWITCH(F7,"R",_xlfn.XLOOKUP(E7&amp;"|"&amp;B7,
        Calculate_cap_emi!$I$14:$I$21&amp;"|"&amp;Calculate_cap_emi!$L$14:$L$21,
        Calculate_cap_emi!$W$14:$W$21, "Not found", 0),"Rb",_xlfn.XLOOKUP(E7&amp;"|"&amp;B7,
        Calculate_cap_emi!$I$14:$I$21&amp;"|"&amp;Calculate_cap_emi!$L$14:$L$21,
        Calculate_cap_emi!$Y$14:$Y$21, "Not found", 0),"Rl",_xlfn.XLOOKUP(E7&amp;"|"&amp;B7,
        Calculate_cap_emi!$I$14:$I$21&amp;"|"&amp;Calculate_cap_emi!$L$14:$L$21,
        Calculate_cap_emi!$Z$14:$Z$21, "Not found", 0),0)</f>
        <v>12</v>
      </c>
      <c r="J7" s="5"/>
      <c r="K7" s="5"/>
      <c r="L7" s="5" cm="1">
        <f t="array" ref="L7">_xlfn.SWITCH(F7,"R",_xlfn.XLOOKUP(E7&amp;"|"&amp;B7,
        Calculate_cap_emi!$I$14:$I$21&amp;"|"&amp;Calculate_cap_emi!$L$14:$L$21,
        Calculate_cap_emi!$AC$14:$AC$21, "Not found", 0),"Rb",_xlfn.XLOOKUP(E7&amp;"|"&amp;B7,
        Calculate_cap_emi!$I$14:$I$21&amp;"|"&amp;Calculate_cap_emi!$L$14:$L$21,
        Calculate_cap_emi!$AE$14:$AE$21, "Not found", 0),"Rl",_xlfn.XLOOKUP(E7&amp;"|"&amp;B7,
        Calculate_cap_emi!$I$14:$I$21&amp;"|"&amp;Calculate_cap_emi!$L$14:$L$21,
        Calculate_cap_emi!$AF$14:$AF$21, "Not found", 0),"HP",_xlfn.XLOOKUP(E7&amp;"|"&amp;B7,
        Calculate_cap_emi!$I$14:$I$21&amp;"|"&amp;Calculate_cap_emi!$L$14:$L$21,
        Calculate_cap_emi!$AD$14:$AD$21, "Not found", 0),"HPl",_xlfn.XLOOKUP(E7&amp;"|"&amp;B7,
        Calculate_cap_emi!$I$14:$I$21&amp;"|"&amp;Calculate_cap_emi!$L$14:$L$21,
        Calculate_cap_emi!$AG$14:$AG$21, "Not found", 0),"Missing")</f>
        <v>1286.5077090545929</v>
      </c>
      <c r="M7" s="5"/>
      <c r="N7" s="5"/>
      <c r="O7" s="5"/>
      <c r="P7" s="5"/>
      <c r="Q7" s="5" cm="1">
        <f t="array" ref="Q7">_xlfn.SWITCH(F7,"R",_xlfn.XLOOKUP(E7&amp;"|"&amp;B7,
        Calculate_cap_emi!$I$14:$I$21&amp;"|"&amp;Calculate_cap_emi!$L$14:$L$21,
        Calculate_cap_emi!$AJ$14:$AJ$21, "Not found", 0),"Rb",_xlfn.XLOOKUP(E7&amp;"|"&amp;B7,
        Calculate_cap_emi!$I$14:$I$21&amp;"|"&amp;Calculate_cap_emi!$L$14:$L$21,
        Calculate_cap_emi!$AL$14:$AL$21, "Not found", 0),"Rl",_xlfn.XLOOKUP(E7&amp;"|"&amp;B7,
        Calculate_cap_emi!$I$14:$I$21&amp;"|"&amp;Calculate_cap_emi!$L$14:$L$21,
        Calculate_cap_emi!$AM$14:$AM$21, "Not found", 0),"HP",_xlfn.XLOOKUP(E7&amp;"|"&amp;B7,
        Calculate_cap_emi!$I$14:$I$21&amp;"|"&amp;Calculate_cap_emi!$L$14:$L$21,
        Calculate_cap_emi!$AK$14:$AK$21, "Not found", 0),"HPl",_xlfn.XLOOKUP(E7&amp;"|"&amp;B7,
        Calculate_cap_emi!$I$14:$I$21&amp;"|"&amp;Calculate_cap_emi!$L$14:$L$21,
        Calculate_cap_emi!$AN$14:$AN$21, "Not found", 0),"Missing")</f>
        <v>58.322398297552937</v>
      </c>
      <c r="R7" s="5" cm="1">
        <f t="array" ref="R7">_xlfn.SWITCH(F7,"R",_xlfn.XLOOKUP(E7&amp;"|"&amp;B7,
        Calculate_cap_emi!$I$14:$I$21&amp;"|"&amp;Calculate_cap_emi!$L$14:$L$21,
        Calculate_cap_emi!$AQ$14:$AQ$21, "Not found", 0),"Rb",_xlfn.XLOOKUP(E7&amp;"|"&amp;B7,
        Calculate_cap_emi!$I$14:$I$21&amp;"|"&amp;Calculate_cap_emi!$L$14:$L$21,
        Calculate_cap_emi!$AS$14:$AS$21, "Not found", 0),"Rl",_xlfn.XLOOKUP(E7&amp;"|"&amp;B7,
        Calculate_cap_emi!$I$14:$I$21&amp;"|"&amp;Calculate_cap_emi!$L$14:$L$21,
        Calculate_cap_emi!$AT$14:$AT$21, "Not found", 0),"HP",_xlfn.XLOOKUP(E7&amp;"|"&amp;B7,
        Calculate_cap_emi!$I$14:$I$21&amp;"|"&amp;Calculate_cap_emi!$L$14:$L$21,
        Calculate_cap_emi!$AR$14:$AR$21, "Not found", 0),"HPl",_xlfn.XLOOKUP(E7&amp;"|"&amp;B7,
        Calculate_cap_emi!$I$14:$I$21&amp;"|"&amp;Calculate_cap_emi!$L$14:$L$21,
        Calculate_cap_emi!$AU$14:$AU$21, "Not found", 0),"Missing")</f>
        <v>7.0757825393014615</v>
      </c>
      <c r="S7" s="5" cm="1">
        <f t="array" ref="S7">_xlfn.SWITCH(F7,"R",_xlfn.XLOOKUP(E7&amp;"|"&amp;B7,
        Calculate_cap_emi!$I$14:$I$21&amp;"|"&amp;Calculate_cap_emi!$L$14:$L$21,
        Calculate_cap_emi!$AX$14:$AX$21, "Not found", 0),"Rb",_xlfn.XLOOKUP(E7&amp;"|"&amp;B7,
        Calculate_cap_emi!$I$14:$I$21&amp;"|"&amp;Calculate_cap_emi!$L$14:$L$21,
        Calculate_cap_emi!$AZ$14:$AZ$21, "Not found", 0),"Rl",_xlfn.XLOOKUP(E7&amp;"|"&amp;B7,
        Calculate_cap_emi!$I$14:$I$21&amp;"|"&amp;Calculate_cap_emi!$L$14:$L$21,
        Calculate_cap_emi!$BA$14:$BA$21, "Not found", 0),"HP",_xlfn.XLOOKUP(E7&amp;"|"&amp;B7,
        Calculate_cap_emi!$I$14:$I$21&amp;"|"&amp;Calculate_cap_emi!$L$14:$L$21,
        Calculate_cap_emi!$AY$14:$AY$21, "Not found", 0),"HPl",_xlfn.XLOOKUP(E7&amp;"|"&amp;B7,
        Calculate_cap_emi!$I$14:$I$21&amp;"|"&amp;Calculate_cap_emi!$L$14:$L$21,
        Calculate_cap_emi!$BB$14:$BB$21, "Not found", 0),"Missing")</f>
        <v>69.179086984918428</v>
      </c>
      <c r="T7" s="5" cm="1">
        <f t="array" ref="T7">_xlfn.SWITCH(F7,"R",_xlfn.XLOOKUP(E7&amp;"|"&amp;B7,
        Calculate_cap_emi!$I$14:$I$21&amp;"|"&amp;Calculate_cap_emi!$L$14:$L$21,
        Calculate_cap_emi!$BE$14:$BE$21, "Not found", 0),"Rb",_xlfn.XLOOKUP(E7&amp;"|"&amp;B7,
        Calculate_cap_emi!$I$14:$I$21&amp;"|"&amp;Calculate_cap_emi!$L$14:$L$21,
        Calculate_cap_emi!$BG$14:$BG$21, "Not found", 0),"Rl",_xlfn.XLOOKUP(E7&amp;"|"&amp;B7,
        Calculate_cap_emi!$I$14:$I$21&amp;"|"&amp;Calculate_cap_emi!$L$14:$L$21,
        Calculate_cap_emi!$BH$14:$BH$21, "Not found", 0),"HP",_xlfn.XLOOKUP(E7&amp;"|"&amp;B7,
        Calculate_cap_emi!$I$14:$I$21&amp;"|"&amp;Calculate_cap_emi!$L$14:$L$21,
        Calculate_cap_emi!$BF$14:$BF$21, "Not found", 0),"HPl",_xlfn.XLOOKUP(E7&amp;"|"&amp;B7,
        Calculate_cap_emi!$I$14:$I$21&amp;"|"&amp;Calculate_cap_emi!$L$14:$L$21,
        Calculate_cap_emi!$BI$14:$BI$21, "Not found", 0),"Missing")</f>
        <v>0</v>
      </c>
      <c r="U7" s="5" cm="1">
        <f t="array" ref="U7">_xlfn.SWITCH(F7,"R",_xlfn.XLOOKUP(E7&amp;"|"&amp;B7,
        Calculate_cap_emi_sens!$I$14:$I$21&amp;"|"&amp;Calculate_cap_emi_sens!$L$14:$L$21,
        Calculate_cap_emi_sens!$AX$14:$AX$21, "Not found", 0),"Rb",_xlfn.XLOOKUP(E7&amp;"|"&amp;B7,
        Calculate_cap_emi_sens!$I$14:$I$21&amp;"|"&amp;Calculate_cap_emi_sens!$L$14:$L$21,
        Calculate_cap_emi_sens!$AZ$14:$AZ$21, "Not found", 0),"Rl",_xlfn.XLOOKUP(E7&amp;"|"&amp;B7,
        Calculate_cap_emi_sens!$I$14:$I$21&amp;"|"&amp;Calculate_cap_emi_sens!$L$14:$L$21,
        Calculate_cap_emi_sens!$BA$14:$BA$21, "Not found", 0),"HP",_xlfn.XLOOKUP(E7&amp;"|"&amp;B7,
        Calculate_cap_emi_sens!$I$14:$I$21&amp;"|"&amp;Calculate_cap_emi_sens!$L$14:$L$21,
        Calculate_cap_emi_sens!$AY$14:$AY$21, "Not found", 0),"HPl",_xlfn.XLOOKUP(E7&amp;"|"&amp;B7,
        Calculate_cap_emi_sens!$I$14:$I$21&amp;"|"&amp;Calculate_cap_emi_sens!$L$14:$L$21,
        Calculate_cap_emi_sens!$BB$14:$BB$21, "Not found", 0),"Missing")</f>
        <v>69.179086984918428</v>
      </c>
      <c r="V7" s="5" cm="1">
        <f t="array" ref="V7">_xlfn.SWITCH(F7,"R",_xlfn.XLOOKUP(E7&amp;"|"&amp;B7,
        Calculate_cap_emi_sens!$I$14:$I$21&amp;"|"&amp;Calculate_cap_emi_sens!$L$14:$L$21,
        Calculate_cap_emi_sens!$BE$14:$BE$21, "Not found", 0),"Rb",_xlfn.XLOOKUP(E7&amp;"|"&amp;B7,
        Calculate_cap_emi_sens!$I$14:$I$21&amp;"|"&amp;Calculate_cap_emi_sens!$L$14:$L$21,
        Calculate_cap_emi_sens!$BG$14:$BG$21, "Not found", 0),"Rl",_xlfn.XLOOKUP(E7&amp;"|"&amp;B7,
        Calculate_cap_emi_sens!$I$14:$I$21&amp;"|"&amp;Calculate_cap_emi_sens!$L$14:$L$21,
        Calculate_cap_emi_sens!$BH$14:$BH$21, "Not found", 0),"HP",_xlfn.XLOOKUP(E7&amp;"|"&amp;B7,
        Calculate_cap_emi_sens!$I$14:$I$21&amp;"|"&amp;Calculate_cap_emi_sens!$L$14:$L$21,
        Calculate_cap_emi_sens!$BF$14:$BF$21, "Not found", 0),"HPl",_xlfn.XLOOKUP(E7&amp;"|"&amp;B7,
        Calculate_cap_emi_sens!$I$14:$I$21&amp;"|"&amp;Calculate_cap_emi_sens!$L$14:$L$21,
        Calculate_cap_emi_sens!$BI$14:$BI$21, "Not found", 0),"Missing")</f>
        <v>0</v>
      </c>
      <c r="W7" s="5">
        <f>Results_proc_ener!L7</f>
        <v>33702.645041284981</v>
      </c>
      <c r="X7" s="5">
        <f>Results_proc_ener!M7</f>
        <v>0</v>
      </c>
      <c r="Y7" s="5">
        <f>Results_proc_ener!N7</f>
        <v>0</v>
      </c>
      <c r="Z7" s="5">
        <f>Results_proc_ener!O7</f>
        <v>0</v>
      </c>
      <c r="AA7" s="5">
        <f>Results_proc_ener!P7</f>
        <v>0</v>
      </c>
      <c r="AB7" s="5">
        <f>Results_proc_ener!Q7</f>
        <v>1235.1893078107803</v>
      </c>
      <c r="AC7" s="5">
        <f>Results_proc_ener!R7</f>
        <v>24.538809881831291</v>
      </c>
      <c r="AD7" s="5">
        <f>Results_proc_ener!S7</f>
        <v>145.51024782316483</v>
      </c>
      <c r="AE7" s="5">
        <f>Results_proc_ener!T7</f>
        <v>0</v>
      </c>
    </row>
    <row r="8" spans="1:33" x14ac:dyDescent="0.25">
      <c r="A8" s="5" t="s">
        <v>9</v>
      </c>
      <c r="B8" s="5" t="str">
        <f t="shared" si="0"/>
        <v>Mod-H1</v>
      </c>
      <c r="C8" s="5" t="str">
        <f t="shared" si="1"/>
        <v>Mod</v>
      </c>
      <c r="D8" s="5" t="str">
        <f t="shared" si="2"/>
        <v>H1</v>
      </c>
      <c r="E8" s="5" t="s">
        <v>3</v>
      </c>
      <c r="F8" s="5" t="s">
        <v>13</v>
      </c>
      <c r="G8" s="5"/>
      <c r="H8" s="5"/>
      <c r="I8" s="5" cm="1">
        <f t="array" ref="I8">_xlfn.SWITCH(F8,"R",_xlfn.XLOOKUP(E8&amp;"|"&amp;B8,
        Calculate_cap_emi!$I$14:$I$21&amp;"|"&amp;Calculate_cap_emi!$L$14:$L$21,
        Calculate_cap_emi!$W$14:$W$21, "Not found", 0),"Rb",_xlfn.XLOOKUP(E8&amp;"|"&amp;B8,
        Calculate_cap_emi!$I$14:$I$21&amp;"|"&amp;Calculate_cap_emi!$L$14:$L$21,
        Calculate_cap_emi!$Y$14:$Y$21, "Not found", 0),"Rl",_xlfn.XLOOKUP(E8&amp;"|"&amp;B8,
        Calculate_cap_emi!$I$14:$I$21&amp;"|"&amp;Calculate_cap_emi!$L$14:$L$21,
        Calculate_cap_emi!$Z$14:$Z$21, "Not found", 0),0)</f>
        <v>8.5</v>
      </c>
      <c r="J8" s="5"/>
      <c r="K8" s="5"/>
      <c r="L8" s="5" cm="1">
        <f t="array" ref="L8">_xlfn.SWITCH(F8,"R",_xlfn.XLOOKUP(E8&amp;"|"&amp;B8,
        Calculate_cap_emi!$I$14:$I$21&amp;"|"&amp;Calculate_cap_emi!$L$14:$L$21,
        Calculate_cap_emi!$AC$14:$AC$21, "Not found", 0),"Rb",_xlfn.XLOOKUP(E8&amp;"|"&amp;B8,
        Calculate_cap_emi!$I$14:$I$21&amp;"|"&amp;Calculate_cap_emi!$L$14:$L$21,
        Calculate_cap_emi!$AE$14:$AE$21, "Not found", 0),"Rl",_xlfn.XLOOKUP(E8&amp;"|"&amp;B8,
        Calculate_cap_emi!$I$14:$I$21&amp;"|"&amp;Calculate_cap_emi!$L$14:$L$21,
        Calculate_cap_emi!$AF$14:$AF$21, "Not found", 0),"HP",_xlfn.XLOOKUP(E8&amp;"|"&amp;B8,
        Calculate_cap_emi!$I$14:$I$21&amp;"|"&amp;Calculate_cap_emi!$L$14:$L$21,
        Calculate_cap_emi!$AD$14:$AD$21, "Not found", 0),"HPl",_xlfn.XLOOKUP(E8&amp;"|"&amp;B8,
        Calculate_cap_emi!$I$14:$I$21&amp;"|"&amp;Calculate_cap_emi!$L$14:$L$21,
        Calculate_cap_emi!$AG$14:$AG$21, "Not found", 0),"Missing")</f>
        <v>905.12943515609447</v>
      </c>
      <c r="M8" s="5"/>
      <c r="N8" s="5"/>
      <c r="O8" s="5"/>
      <c r="P8" s="5"/>
      <c r="Q8" s="5" cm="1">
        <f t="array" ref="Q8">_xlfn.SWITCH(F8,"R",_xlfn.XLOOKUP(E8&amp;"|"&amp;B8,
        Calculate_cap_emi!$I$14:$I$21&amp;"|"&amp;Calculate_cap_emi!$L$14:$L$21,
        Calculate_cap_emi!$AJ$14:$AJ$21, "Not found", 0),"Rb",_xlfn.XLOOKUP(E8&amp;"|"&amp;B8,
        Calculate_cap_emi!$I$14:$I$21&amp;"|"&amp;Calculate_cap_emi!$L$14:$L$21,
        Calculate_cap_emi!$AL$14:$AL$21, "Not found", 0),"Rl",_xlfn.XLOOKUP(E8&amp;"|"&amp;B8,
        Calculate_cap_emi!$I$14:$I$21&amp;"|"&amp;Calculate_cap_emi!$L$14:$L$21,
        Calculate_cap_emi!$AM$14:$AM$21, "Not found", 0),"HP",_xlfn.XLOOKUP(E8&amp;"|"&amp;B8,
        Calculate_cap_emi!$I$14:$I$21&amp;"|"&amp;Calculate_cap_emi!$L$14:$L$21,
        Calculate_cap_emi!$AK$14:$AK$21, "Not found", 0),"HPl",_xlfn.XLOOKUP(E8&amp;"|"&amp;B8,
        Calculate_cap_emi!$I$14:$I$21&amp;"|"&amp;Calculate_cap_emi!$L$14:$L$21,
        Calculate_cap_emi!$AN$14:$AN$21, "Not found", 0),"Missing")</f>
        <v>41.126060024576468</v>
      </c>
      <c r="R8" s="5" cm="1">
        <f t="array" ref="R8">_xlfn.SWITCH(F8,"R",_xlfn.XLOOKUP(E8&amp;"|"&amp;B8,
        Calculate_cap_emi!$I$14:$I$21&amp;"|"&amp;Calculate_cap_emi!$L$14:$L$21,
        Calculate_cap_emi!$AQ$14:$AQ$21, "Not found", 0),"Rb",_xlfn.XLOOKUP(E8&amp;"|"&amp;B8,
        Calculate_cap_emi!$I$14:$I$21&amp;"|"&amp;Calculate_cap_emi!$L$14:$L$21,
        Calculate_cap_emi!$AS$14:$AS$21, "Not found", 0),"Rl",_xlfn.XLOOKUP(E8&amp;"|"&amp;B8,
        Calculate_cap_emi!$I$14:$I$21&amp;"|"&amp;Calculate_cap_emi!$L$14:$L$21,
        Calculate_cap_emi!$AT$14:$AT$21, "Not found", 0),"HP",_xlfn.XLOOKUP(E8&amp;"|"&amp;B8,
        Calculate_cap_emi!$I$14:$I$21&amp;"|"&amp;Calculate_cap_emi!$L$14:$L$21,
        Calculate_cap_emi!$AR$14:$AR$21, "Not found", 0),"HPl",_xlfn.XLOOKUP(E8&amp;"|"&amp;B8,
        Calculate_cap_emi!$I$14:$I$21&amp;"|"&amp;Calculate_cap_emi!$L$14:$L$21,
        Calculate_cap_emi!$AU$14:$AU$21, "Not found", 0),"Missing")</f>
        <v>4.9649423158276393</v>
      </c>
      <c r="S8" s="5" cm="1">
        <f t="array" ref="S8">_xlfn.SWITCH(F8,"R",_xlfn.XLOOKUP(E8&amp;"|"&amp;B8,
        Calculate_cap_emi!$I$14:$I$21&amp;"|"&amp;Calculate_cap_emi!$L$14:$L$21,
        Calculate_cap_emi!$AX$14:$AX$21, "Not found", 0),"Rb",_xlfn.XLOOKUP(E8&amp;"|"&amp;B8,
        Calculate_cap_emi!$I$14:$I$21&amp;"|"&amp;Calculate_cap_emi!$L$14:$L$21,
        Calculate_cap_emi!$AZ$14:$AZ$21, "Not found", 0),"Rl",_xlfn.XLOOKUP(E8&amp;"|"&amp;B8,
        Calculate_cap_emi!$I$14:$I$21&amp;"|"&amp;Calculate_cap_emi!$L$14:$L$21,
        Calculate_cap_emi!$BA$14:$BA$21, "Not found", 0),"HP",_xlfn.XLOOKUP(E8&amp;"|"&amp;B8,
        Calculate_cap_emi!$I$14:$I$21&amp;"|"&amp;Calculate_cap_emi!$L$14:$L$21,
        Calculate_cap_emi!$AY$14:$AY$21, "Not found", 0),"HPl",_xlfn.XLOOKUP(E8&amp;"|"&amp;B8,
        Calculate_cap_emi!$I$14:$I$21&amp;"|"&amp;Calculate_cap_emi!$L$14:$L$21,
        Calculate_cap_emi!$BB$14:$BB$21, "Not found", 0),"Missing")</f>
        <v>48.778402585003839</v>
      </c>
      <c r="T8" s="5" cm="1">
        <f t="array" ref="T8">_xlfn.SWITCH(F8,"R",_xlfn.XLOOKUP(E8&amp;"|"&amp;B8,
        Calculate_cap_emi!$I$14:$I$21&amp;"|"&amp;Calculate_cap_emi!$L$14:$L$21,
        Calculate_cap_emi!$BE$14:$BE$21, "Not found", 0),"Rb",_xlfn.XLOOKUP(E8&amp;"|"&amp;B8,
        Calculate_cap_emi!$I$14:$I$21&amp;"|"&amp;Calculate_cap_emi!$L$14:$L$21,
        Calculate_cap_emi!$BG$14:$BG$21, "Not found", 0),"Rl",_xlfn.XLOOKUP(E8&amp;"|"&amp;B8,
        Calculate_cap_emi!$I$14:$I$21&amp;"|"&amp;Calculate_cap_emi!$L$14:$L$21,
        Calculate_cap_emi!$BH$14:$BH$21, "Not found", 0),"HP",_xlfn.XLOOKUP(E8&amp;"|"&amp;B8,
        Calculate_cap_emi!$I$14:$I$21&amp;"|"&amp;Calculate_cap_emi!$L$14:$L$21,
        Calculate_cap_emi!$BF$14:$BF$21, "Not found", 0),"HPl",_xlfn.XLOOKUP(E8&amp;"|"&amp;B8,
        Calculate_cap_emi!$I$14:$I$21&amp;"|"&amp;Calculate_cap_emi!$L$14:$L$21,
        Calculate_cap_emi!$BI$14:$BI$21, "Not found", 0),"Missing")</f>
        <v>0</v>
      </c>
      <c r="U8" s="5" cm="1">
        <f t="array" ref="U8">_xlfn.SWITCH(F8,"R",_xlfn.XLOOKUP(E8&amp;"|"&amp;B8,
        Calculate_cap_emi_sens!$I$14:$I$21&amp;"|"&amp;Calculate_cap_emi_sens!$L$14:$L$21,
        Calculate_cap_emi_sens!$AX$14:$AX$21, "Not found", 0),"Rb",_xlfn.XLOOKUP(E8&amp;"|"&amp;B8,
        Calculate_cap_emi_sens!$I$14:$I$21&amp;"|"&amp;Calculate_cap_emi_sens!$L$14:$L$21,
        Calculate_cap_emi_sens!$AZ$14:$AZ$21, "Not found", 0),"Rl",_xlfn.XLOOKUP(E8&amp;"|"&amp;B8,
        Calculate_cap_emi_sens!$I$14:$I$21&amp;"|"&amp;Calculate_cap_emi_sens!$L$14:$L$21,
        Calculate_cap_emi_sens!$BA$14:$BA$21, "Not found", 0),"HP",_xlfn.XLOOKUP(E8&amp;"|"&amp;B8,
        Calculate_cap_emi_sens!$I$14:$I$21&amp;"|"&amp;Calculate_cap_emi_sens!$L$14:$L$21,
        Calculate_cap_emi_sens!$AY$14:$AY$21, "Not found", 0),"HPl",_xlfn.XLOOKUP(E8&amp;"|"&amp;B8,
        Calculate_cap_emi_sens!$I$14:$I$21&amp;"|"&amp;Calculate_cap_emi_sens!$L$14:$L$21,
        Calculate_cap_emi_sens!$BB$14:$BB$21, "Not found", 0),"Missing")</f>
        <v>48.778402585003839</v>
      </c>
      <c r="V8" s="5" cm="1">
        <f t="array" ref="V8">_xlfn.SWITCH(F8,"R",_xlfn.XLOOKUP(E8&amp;"|"&amp;B8,
        Calculate_cap_emi_sens!$I$14:$I$21&amp;"|"&amp;Calculate_cap_emi_sens!$L$14:$L$21,
        Calculate_cap_emi_sens!$BE$14:$BE$21, "Not found", 0),"Rb",_xlfn.XLOOKUP(E8&amp;"|"&amp;B8,
        Calculate_cap_emi_sens!$I$14:$I$21&amp;"|"&amp;Calculate_cap_emi_sens!$L$14:$L$21,
        Calculate_cap_emi_sens!$BG$14:$BG$21, "Not found", 0),"Rl",_xlfn.XLOOKUP(E8&amp;"|"&amp;B8,
        Calculate_cap_emi_sens!$I$14:$I$21&amp;"|"&amp;Calculate_cap_emi_sens!$L$14:$L$21,
        Calculate_cap_emi_sens!$BH$14:$BH$21, "Not found", 0),"HP",_xlfn.XLOOKUP(E8&amp;"|"&amp;B8,
        Calculate_cap_emi_sens!$I$14:$I$21&amp;"|"&amp;Calculate_cap_emi_sens!$L$14:$L$21,
        Calculate_cap_emi_sens!$BF$14:$BF$21, "Not found", 0),"HPl",_xlfn.XLOOKUP(E8&amp;"|"&amp;B8,
        Calculate_cap_emi_sens!$I$14:$I$21&amp;"|"&amp;Calculate_cap_emi_sens!$L$14:$L$21,
        Calculate_cap_emi_sens!$BI$14:$BI$21, "Not found", 0),"Missing")</f>
        <v>0</v>
      </c>
      <c r="W8" s="5">
        <f>Results_proc_ener!L8</f>
        <v>23714.790188740768</v>
      </c>
      <c r="X8" s="5">
        <f>Results_proc_ener!M8</f>
        <v>0</v>
      </c>
      <c r="Y8" s="5">
        <f>Results_proc_ener!N8</f>
        <v>0</v>
      </c>
      <c r="Z8" s="5">
        <f>Results_proc_ener!O8</f>
        <v>0</v>
      </c>
      <c r="AA8" s="5">
        <f>Results_proc_ener!P8</f>
        <v>0</v>
      </c>
      <c r="AB8" s="5">
        <f>Results_proc_ener!Q8</f>
        <v>870.99418229638513</v>
      </c>
      <c r="AC8" s="5">
        <f>Results_proc_ener!R8</f>
        <v>17.260194818073234</v>
      </c>
      <c r="AD8" s="5">
        <f>Results_proc_ener!S8</f>
        <v>102.23400918839566</v>
      </c>
      <c r="AE8" s="5">
        <f>Results_proc_ener!T8</f>
        <v>0</v>
      </c>
    </row>
    <row r="9" spans="1:33" x14ac:dyDescent="0.25">
      <c r="A9" s="5" t="s">
        <v>10</v>
      </c>
      <c r="B9" s="5" t="str">
        <f t="shared" si="0"/>
        <v>Mod-H1</v>
      </c>
      <c r="C9" s="5" t="str">
        <f t="shared" si="1"/>
        <v>Mod</v>
      </c>
      <c r="D9" s="5" t="str">
        <f t="shared" si="2"/>
        <v>H1</v>
      </c>
      <c r="E9" s="5" t="s">
        <v>3</v>
      </c>
      <c r="F9" s="5" t="s">
        <v>13</v>
      </c>
      <c r="G9" s="5"/>
      <c r="H9" s="5"/>
      <c r="I9" s="5" cm="1">
        <f t="array" ref="I9">_xlfn.SWITCH(F9,"R",_xlfn.XLOOKUP(E9&amp;"|"&amp;B9,
        Calculate_cap_emi!$I$14:$I$21&amp;"|"&amp;Calculate_cap_emi!$L$14:$L$21,
        Calculate_cap_emi!$W$14:$W$21, "Not found", 0),"Rb",_xlfn.XLOOKUP(E9&amp;"|"&amp;B9,
        Calculate_cap_emi!$I$14:$I$21&amp;"|"&amp;Calculate_cap_emi!$L$14:$L$21,
        Calculate_cap_emi!$Y$14:$Y$21, "Not found", 0),"Rl",_xlfn.XLOOKUP(E9&amp;"|"&amp;B9,
        Calculate_cap_emi!$I$14:$I$21&amp;"|"&amp;Calculate_cap_emi!$L$14:$L$21,
        Calculate_cap_emi!$Z$14:$Z$21, "Not found", 0),0)</f>
        <v>8.5</v>
      </c>
      <c r="J9" s="5"/>
      <c r="K9" s="5"/>
      <c r="L9" s="5" cm="1">
        <f t="array" ref="L9">_xlfn.SWITCH(F9,"R",_xlfn.XLOOKUP(E9&amp;"|"&amp;B9,
        Calculate_cap_emi!$I$14:$I$21&amp;"|"&amp;Calculate_cap_emi!$L$14:$L$21,
        Calculate_cap_emi!$AC$14:$AC$21, "Not found", 0),"Rb",_xlfn.XLOOKUP(E9&amp;"|"&amp;B9,
        Calculate_cap_emi!$I$14:$I$21&amp;"|"&amp;Calculate_cap_emi!$L$14:$L$21,
        Calculate_cap_emi!$AE$14:$AE$21, "Not found", 0),"Rl",_xlfn.XLOOKUP(E9&amp;"|"&amp;B9,
        Calculate_cap_emi!$I$14:$I$21&amp;"|"&amp;Calculate_cap_emi!$L$14:$L$21,
        Calculate_cap_emi!$AF$14:$AF$21, "Not found", 0),"HP",_xlfn.XLOOKUP(E9&amp;"|"&amp;B9,
        Calculate_cap_emi!$I$14:$I$21&amp;"|"&amp;Calculate_cap_emi!$L$14:$L$21,
        Calculate_cap_emi!$AD$14:$AD$21, "Not found", 0),"HPl",_xlfn.XLOOKUP(E9&amp;"|"&amp;B9,
        Calculate_cap_emi!$I$14:$I$21&amp;"|"&amp;Calculate_cap_emi!$L$14:$L$21,
        Calculate_cap_emi!$AG$14:$AG$21, "Not found", 0),"Missing")</f>
        <v>905.12943515609447</v>
      </c>
      <c r="M9" s="5"/>
      <c r="N9" s="5"/>
      <c r="O9" s="5"/>
      <c r="P9" s="5"/>
      <c r="Q9" s="5" cm="1">
        <f t="array" ref="Q9">_xlfn.SWITCH(F9,"R",_xlfn.XLOOKUP(E9&amp;"|"&amp;B9,
        Calculate_cap_emi!$I$14:$I$21&amp;"|"&amp;Calculate_cap_emi!$L$14:$L$21,
        Calculate_cap_emi!$AJ$14:$AJ$21, "Not found", 0),"Rb",_xlfn.XLOOKUP(E9&amp;"|"&amp;B9,
        Calculate_cap_emi!$I$14:$I$21&amp;"|"&amp;Calculate_cap_emi!$L$14:$L$21,
        Calculate_cap_emi!$AL$14:$AL$21, "Not found", 0),"Rl",_xlfn.XLOOKUP(E9&amp;"|"&amp;B9,
        Calculate_cap_emi!$I$14:$I$21&amp;"|"&amp;Calculate_cap_emi!$L$14:$L$21,
        Calculate_cap_emi!$AM$14:$AM$21, "Not found", 0),"HP",_xlfn.XLOOKUP(E9&amp;"|"&amp;B9,
        Calculate_cap_emi!$I$14:$I$21&amp;"|"&amp;Calculate_cap_emi!$L$14:$L$21,
        Calculate_cap_emi!$AK$14:$AK$21, "Not found", 0),"HPl",_xlfn.XLOOKUP(E9&amp;"|"&amp;B9,
        Calculate_cap_emi!$I$14:$I$21&amp;"|"&amp;Calculate_cap_emi!$L$14:$L$21,
        Calculate_cap_emi!$AN$14:$AN$21, "Not found", 0),"Missing")</f>
        <v>41.126060024576468</v>
      </c>
      <c r="R9" s="5" cm="1">
        <f t="array" ref="R9">_xlfn.SWITCH(F9,"R",_xlfn.XLOOKUP(E9&amp;"|"&amp;B9,
        Calculate_cap_emi!$I$14:$I$21&amp;"|"&amp;Calculate_cap_emi!$L$14:$L$21,
        Calculate_cap_emi!$AQ$14:$AQ$21, "Not found", 0),"Rb",_xlfn.XLOOKUP(E9&amp;"|"&amp;B9,
        Calculate_cap_emi!$I$14:$I$21&amp;"|"&amp;Calculate_cap_emi!$L$14:$L$21,
        Calculate_cap_emi!$AS$14:$AS$21, "Not found", 0),"Rl",_xlfn.XLOOKUP(E9&amp;"|"&amp;B9,
        Calculate_cap_emi!$I$14:$I$21&amp;"|"&amp;Calculate_cap_emi!$L$14:$L$21,
        Calculate_cap_emi!$AT$14:$AT$21, "Not found", 0),"HP",_xlfn.XLOOKUP(E9&amp;"|"&amp;B9,
        Calculate_cap_emi!$I$14:$I$21&amp;"|"&amp;Calculate_cap_emi!$L$14:$L$21,
        Calculate_cap_emi!$AR$14:$AR$21, "Not found", 0),"HPl",_xlfn.XLOOKUP(E9&amp;"|"&amp;B9,
        Calculate_cap_emi!$I$14:$I$21&amp;"|"&amp;Calculate_cap_emi!$L$14:$L$21,
        Calculate_cap_emi!$AU$14:$AU$21, "Not found", 0),"Missing")</f>
        <v>4.9649423158276393</v>
      </c>
      <c r="S9" s="5" cm="1">
        <f t="array" ref="S9">_xlfn.SWITCH(F9,"R",_xlfn.XLOOKUP(E9&amp;"|"&amp;B9,
        Calculate_cap_emi!$I$14:$I$21&amp;"|"&amp;Calculate_cap_emi!$L$14:$L$21,
        Calculate_cap_emi!$AX$14:$AX$21, "Not found", 0),"Rb",_xlfn.XLOOKUP(E9&amp;"|"&amp;B9,
        Calculate_cap_emi!$I$14:$I$21&amp;"|"&amp;Calculate_cap_emi!$L$14:$L$21,
        Calculate_cap_emi!$AZ$14:$AZ$21, "Not found", 0),"Rl",_xlfn.XLOOKUP(E9&amp;"|"&amp;B9,
        Calculate_cap_emi!$I$14:$I$21&amp;"|"&amp;Calculate_cap_emi!$L$14:$L$21,
        Calculate_cap_emi!$BA$14:$BA$21, "Not found", 0),"HP",_xlfn.XLOOKUP(E9&amp;"|"&amp;B9,
        Calculate_cap_emi!$I$14:$I$21&amp;"|"&amp;Calculate_cap_emi!$L$14:$L$21,
        Calculate_cap_emi!$AY$14:$AY$21, "Not found", 0),"HPl",_xlfn.XLOOKUP(E9&amp;"|"&amp;B9,
        Calculate_cap_emi!$I$14:$I$21&amp;"|"&amp;Calculate_cap_emi!$L$14:$L$21,
        Calculate_cap_emi!$BB$14:$BB$21, "Not found", 0),"Missing")</f>
        <v>48.778402585003839</v>
      </c>
      <c r="T9" s="5" cm="1">
        <f t="array" ref="T9">_xlfn.SWITCH(F9,"R",_xlfn.XLOOKUP(E9&amp;"|"&amp;B9,
        Calculate_cap_emi!$I$14:$I$21&amp;"|"&amp;Calculate_cap_emi!$L$14:$L$21,
        Calculate_cap_emi!$BE$14:$BE$21, "Not found", 0),"Rb",_xlfn.XLOOKUP(E9&amp;"|"&amp;B9,
        Calculate_cap_emi!$I$14:$I$21&amp;"|"&amp;Calculate_cap_emi!$L$14:$L$21,
        Calculate_cap_emi!$BG$14:$BG$21, "Not found", 0),"Rl",_xlfn.XLOOKUP(E9&amp;"|"&amp;B9,
        Calculate_cap_emi!$I$14:$I$21&amp;"|"&amp;Calculate_cap_emi!$L$14:$L$21,
        Calculate_cap_emi!$BH$14:$BH$21, "Not found", 0),"HP",_xlfn.XLOOKUP(E9&amp;"|"&amp;B9,
        Calculate_cap_emi!$I$14:$I$21&amp;"|"&amp;Calculate_cap_emi!$L$14:$L$21,
        Calculate_cap_emi!$BF$14:$BF$21, "Not found", 0),"HPl",_xlfn.XLOOKUP(E9&amp;"|"&amp;B9,
        Calculate_cap_emi!$I$14:$I$21&amp;"|"&amp;Calculate_cap_emi!$L$14:$L$21,
        Calculate_cap_emi!$BI$14:$BI$21, "Not found", 0),"Missing")</f>
        <v>0</v>
      </c>
      <c r="U9" s="5" cm="1">
        <f t="array" ref="U9">_xlfn.SWITCH(F9,"R",_xlfn.XLOOKUP(E9&amp;"|"&amp;B9,
        Calculate_cap_emi_sens!$I$14:$I$21&amp;"|"&amp;Calculate_cap_emi_sens!$L$14:$L$21,
        Calculate_cap_emi_sens!$AX$14:$AX$21, "Not found", 0),"Rb",_xlfn.XLOOKUP(E9&amp;"|"&amp;B9,
        Calculate_cap_emi_sens!$I$14:$I$21&amp;"|"&amp;Calculate_cap_emi_sens!$L$14:$L$21,
        Calculate_cap_emi_sens!$AZ$14:$AZ$21, "Not found", 0),"Rl",_xlfn.XLOOKUP(E9&amp;"|"&amp;B9,
        Calculate_cap_emi_sens!$I$14:$I$21&amp;"|"&amp;Calculate_cap_emi_sens!$L$14:$L$21,
        Calculate_cap_emi_sens!$BA$14:$BA$21, "Not found", 0),"HP",_xlfn.XLOOKUP(E9&amp;"|"&amp;B9,
        Calculate_cap_emi_sens!$I$14:$I$21&amp;"|"&amp;Calculate_cap_emi_sens!$L$14:$L$21,
        Calculate_cap_emi_sens!$AY$14:$AY$21, "Not found", 0),"HPl",_xlfn.XLOOKUP(E9&amp;"|"&amp;B9,
        Calculate_cap_emi_sens!$I$14:$I$21&amp;"|"&amp;Calculate_cap_emi_sens!$L$14:$L$21,
        Calculate_cap_emi_sens!$BB$14:$BB$21, "Not found", 0),"Missing")</f>
        <v>48.778402585003839</v>
      </c>
      <c r="V9" s="5" cm="1">
        <f t="array" ref="V9">_xlfn.SWITCH(F9,"R",_xlfn.XLOOKUP(E9&amp;"|"&amp;B9,
        Calculate_cap_emi_sens!$I$14:$I$21&amp;"|"&amp;Calculate_cap_emi_sens!$L$14:$L$21,
        Calculate_cap_emi_sens!$BE$14:$BE$21, "Not found", 0),"Rb",_xlfn.XLOOKUP(E9&amp;"|"&amp;B9,
        Calculate_cap_emi_sens!$I$14:$I$21&amp;"|"&amp;Calculate_cap_emi_sens!$L$14:$L$21,
        Calculate_cap_emi_sens!$BG$14:$BG$21, "Not found", 0),"Rl",_xlfn.XLOOKUP(E9&amp;"|"&amp;B9,
        Calculate_cap_emi_sens!$I$14:$I$21&amp;"|"&amp;Calculate_cap_emi_sens!$L$14:$L$21,
        Calculate_cap_emi_sens!$BH$14:$BH$21, "Not found", 0),"HP",_xlfn.XLOOKUP(E9&amp;"|"&amp;B9,
        Calculate_cap_emi_sens!$I$14:$I$21&amp;"|"&amp;Calculate_cap_emi_sens!$L$14:$L$21,
        Calculate_cap_emi_sens!$BF$14:$BF$21, "Not found", 0),"HPl",_xlfn.XLOOKUP(E9&amp;"|"&amp;B9,
        Calculate_cap_emi_sens!$I$14:$I$21&amp;"|"&amp;Calculate_cap_emi_sens!$L$14:$L$21,
        Calculate_cap_emi_sens!$BI$14:$BI$21, "Not found", 0),"Missing")</f>
        <v>0</v>
      </c>
      <c r="W9" s="5">
        <f>Results_proc_ener!L9</f>
        <v>23714.790188740768</v>
      </c>
      <c r="X9" s="5">
        <f>Results_proc_ener!M9</f>
        <v>0</v>
      </c>
      <c r="Y9" s="5">
        <f>Results_proc_ener!N9</f>
        <v>0</v>
      </c>
      <c r="Z9" s="5">
        <f>Results_proc_ener!O9</f>
        <v>0</v>
      </c>
      <c r="AA9" s="5">
        <f>Results_proc_ener!P9</f>
        <v>0</v>
      </c>
      <c r="AB9" s="5">
        <f>Results_proc_ener!Q9</f>
        <v>870.99418229638513</v>
      </c>
      <c r="AC9" s="5">
        <f>Results_proc_ener!R9</f>
        <v>17.260194818073234</v>
      </c>
      <c r="AD9" s="5">
        <f>Results_proc_ener!S9</f>
        <v>102.23400918839566</v>
      </c>
      <c r="AE9" s="5">
        <f>Results_proc_ener!T9</f>
        <v>0</v>
      </c>
    </row>
    <row r="10" spans="1:33" x14ac:dyDescent="0.25">
      <c r="A10" s="5" t="s">
        <v>4</v>
      </c>
      <c r="B10" s="5" t="str">
        <f t="shared" si="0"/>
        <v>Mass-Nom</v>
      </c>
      <c r="C10" s="5" t="str">
        <f t="shared" si="1"/>
        <v>Mass</v>
      </c>
      <c r="D10" s="5" t="str">
        <f t="shared" si="2"/>
        <v>Nom</v>
      </c>
      <c r="E10" s="5" t="s">
        <v>11</v>
      </c>
      <c r="F10" s="5" t="s">
        <v>13</v>
      </c>
      <c r="G10" s="5"/>
      <c r="H10" s="5"/>
      <c r="I10" s="5" cm="1">
        <f t="array" ref="I10">_xlfn.SWITCH(F10,"R",_xlfn.XLOOKUP(E10&amp;"|"&amp;B10,
        Calculate_cap_emi!$I$14:$I$21&amp;"|"&amp;Calculate_cap_emi!$L$14:$L$21,
        Calculate_cap_emi!$W$14:$W$21, "Not found", 0),"Rb",_xlfn.XLOOKUP(E10&amp;"|"&amp;B10,
        Calculate_cap_emi!$I$14:$I$21&amp;"|"&amp;Calculate_cap_emi!$L$14:$L$21,
        Calculate_cap_emi!$Y$14:$Y$21, "Not found", 0),"Rl",_xlfn.XLOOKUP(E10&amp;"|"&amp;B10,
        Calculate_cap_emi!$I$14:$I$21&amp;"|"&amp;Calculate_cap_emi!$L$14:$L$21,
        Calculate_cap_emi!$Z$14:$Z$21, "Not found", 0),0)</f>
        <v>15.5</v>
      </c>
      <c r="J10" s="5"/>
      <c r="K10" s="5"/>
      <c r="L10" s="5" cm="1">
        <f t="array" ref="L10">_xlfn.SWITCH(F10,"R",_xlfn.XLOOKUP(E10&amp;"|"&amp;B10,
        Calculate_cap_emi!$I$14:$I$21&amp;"|"&amp;Calculate_cap_emi!$L$14:$L$21,
        Calculate_cap_emi!$AC$14:$AC$21, "Not found", 0),"Rb",_xlfn.XLOOKUP(E10&amp;"|"&amp;B10,
        Calculate_cap_emi!$I$14:$I$21&amp;"|"&amp;Calculate_cap_emi!$L$14:$L$21,
        Calculate_cap_emi!$AE$14:$AE$21, "Not found", 0),"Rl",_xlfn.XLOOKUP(E10&amp;"|"&amp;B10,
        Calculate_cap_emi!$I$14:$I$21&amp;"|"&amp;Calculate_cap_emi!$L$14:$L$21,
        Calculate_cap_emi!$AF$14:$AF$21, "Not found", 0),"HP",_xlfn.XLOOKUP(E10&amp;"|"&amp;B10,
        Calculate_cap_emi!$I$14:$I$21&amp;"|"&amp;Calculate_cap_emi!$L$14:$L$21,
        Calculate_cap_emi!$AD$14:$AD$21, "Not found", 0),"HPl",_xlfn.XLOOKUP(E10&amp;"|"&amp;B10,
        Calculate_cap_emi!$I$14:$I$21&amp;"|"&amp;Calculate_cap_emi!$L$14:$L$21,
        Calculate_cap_emi!$AG$14:$AG$21, "Not found", 0),"Missing")</f>
        <v>1372.8367625894696</v>
      </c>
      <c r="M10" s="5"/>
      <c r="N10" s="5"/>
      <c r="O10" s="5"/>
      <c r="P10" s="5"/>
      <c r="Q10" s="5" cm="1">
        <f t="array" ref="Q10">_xlfn.SWITCH(F10,"R",_xlfn.XLOOKUP(E10&amp;"|"&amp;B10,
        Calculate_cap_emi!$I$14:$I$21&amp;"|"&amp;Calculate_cap_emi!$L$14:$L$21,
        Calculate_cap_emi!$AJ$14:$AJ$21, "Not found", 0),"Rb",_xlfn.XLOOKUP(E10&amp;"|"&amp;B10,
        Calculate_cap_emi!$I$14:$I$21&amp;"|"&amp;Calculate_cap_emi!$L$14:$L$21,
        Calculate_cap_emi!$AL$14:$AL$21, "Not found", 0),"Rl",_xlfn.XLOOKUP(E10&amp;"|"&amp;B10,
        Calculate_cap_emi!$I$14:$I$21&amp;"|"&amp;Calculate_cap_emi!$L$14:$L$21,
        Calculate_cap_emi!$AM$14:$AM$21, "Not found", 0),"HP",_xlfn.XLOOKUP(E10&amp;"|"&amp;B10,
        Calculate_cap_emi!$I$14:$I$21&amp;"|"&amp;Calculate_cap_emi!$L$14:$L$21,
        Calculate_cap_emi!$AK$14:$AK$21, "Not found", 0),"HPl",_xlfn.XLOOKUP(E10&amp;"|"&amp;B10,
        Calculate_cap_emi!$I$14:$I$21&amp;"|"&amp;Calculate_cap_emi!$L$14:$L$21,
        Calculate_cap_emi!$AN$14:$AN$21, "Not found", 0),"Missing")</f>
        <v>66.608075633400006</v>
      </c>
      <c r="R10" s="5" cm="1">
        <f t="array" ref="R10">_xlfn.SWITCH(F10,"R",_xlfn.XLOOKUP(E10&amp;"|"&amp;B10,
        Calculate_cap_emi!$I$14:$I$21&amp;"|"&amp;Calculate_cap_emi!$L$14:$L$21,
        Calculate_cap_emi!$AQ$14:$AQ$21, "Not found", 0),"Rb",_xlfn.XLOOKUP(E10&amp;"|"&amp;B10,
        Calculate_cap_emi!$I$14:$I$21&amp;"|"&amp;Calculate_cap_emi!$L$14:$L$21,
        Calculate_cap_emi!$AS$14:$AS$21, "Not found", 0),"Rl",_xlfn.XLOOKUP(E10&amp;"|"&amp;B10,
        Calculate_cap_emi!$I$14:$I$21&amp;"|"&amp;Calculate_cap_emi!$L$14:$L$21,
        Calculate_cap_emi!$AT$14:$AT$21, "Not found", 0),"HP",_xlfn.XLOOKUP(E10&amp;"|"&amp;B10,
        Calculate_cap_emi!$I$14:$I$21&amp;"|"&amp;Calculate_cap_emi!$L$14:$L$21,
        Calculate_cap_emi!$AR$14:$AR$21, "Not found", 0),"HPl",_xlfn.XLOOKUP(E10&amp;"|"&amp;B10,
        Calculate_cap_emi!$I$14:$I$21&amp;"|"&amp;Calculate_cap_emi!$L$14:$L$21,
        Calculate_cap_emi!$AU$14:$AU$21, "Not found", 0),"Missing")</f>
        <v>6.9272475862522533</v>
      </c>
      <c r="S10" s="5" cm="1">
        <f t="array" ref="S10">_xlfn.SWITCH(F10,"R",_xlfn.XLOOKUP(E10&amp;"|"&amp;B10,
        Calculate_cap_emi!$I$14:$I$21&amp;"|"&amp;Calculate_cap_emi!$L$14:$L$21,
        Calculate_cap_emi!$AX$14:$AX$21, "Not found", 0),"Rb",_xlfn.XLOOKUP(E10&amp;"|"&amp;B10,
        Calculate_cap_emi!$I$14:$I$21&amp;"|"&amp;Calculate_cap_emi!$L$14:$L$21,
        Calculate_cap_emi!$AZ$14:$AZ$21, "Not found", 0),"Rl",_xlfn.XLOOKUP(E10&amp;"|"&amp;B10,
        Calculate_cap_emi!$I$14:$I$21&amp;"|"&amp;Calculate_cap_emi!$L$14:$L$21,
        Calculate_cap_emi!$BA$14:$BA$21, "Not found", 0),"HP",_xlfn.XLOOKUP(E10&amp;"|"&amp;B10,
        Calculate_cap_emi!$I$14:$I$21&amp;"|"&amp;Calculate_cap_emi!$L$14:$L$21,
        Calculate_cap_emi!$AY$14:$AY$21, "Not found", 0),"HPl",_xlfn.XLOOKUP(E10&amp;"|"&amp;B10,
        Calculate_cap_emi!$I$14:$I$21&amp;"|"&amp;Calculate_cap_emi!$L$14:$L$21,
        Calculate_cap_emi!$BB$14:$BB$21, "Not found", 0),"Missing")</f>
        <v>78.854137977791325</v>
      </c>
      <c r="T10" s="5" cm="1">
        <f t="array" ref="T10">_xlfn.SWITCH(F10,"R",_xlfn.XLOOKUP(E10&amp;"|"&amp;B10,
        Calculate_cap_emi!$I$14:$I$21&amp;"|"&amp;Calculate_cap_emi!$L$14:$L$21,
        Calculate_cap_emi!$BE$14:$BE$21, "Not found", 0),"Rb",_xlfn.XLOOKUP(E10&amp;"|"&amp;B10,
        Calculate_cap_emi!$I$14:$I$21&amp;"|"&amp;Calculate_cap_emi!$L$14:$L$21,
        Calculate_cap_emi!$BG$14:$BG$21, "Not found", 0),"Rl",_xlfn.XLOOKUP(E10&amp;"|"&amp;B10,
        Calculate_cap_emi!$I$14:$I$21&amp;"|"&amp;Calculate_cap_emi!$L$14:$L$21,
        Calculate_cap_emi!$BH$14:$BH$21, "Not found", 0),"HP",_xlfn.XLOOKUP(E10&amp;"|"&amp;B10,
        Calculate_cap_emi!$I$14:$I$21&amp;"|"&amp;Calculate_cap_emi!$L$14:$L$21,
        Calculate_cap_emi!$BF$14:$BF$21, "Not found", 0),"HPl",_xlfn.XLOOKUP(E10&amp;"|"&amp;B10,
        Calculate_cap_emi!$I$14:$I$21&amp;"|"&amp;Calculate_cap_emi!$L$14:$L$21,
        Calculate_cap_emi!$BI$14:$BI$21, "Not found", 0),"Missing")</f>
        <v>0</v>
      </c>
      <c r="U10" s="5" cm="1">
        <f t="array" ref="U10">_xlfn.SWITCH(F10,"R",_xlfn.XLOOKUP(E10&amp;"|"&amp;B10,
        Calculate_cap_emi_sens!$I$14:$I$21&amp;"|"&amp;Calculate_cap_emi_sens!$L$14:$L$21,
        Calculate_cap_emi_sens!$AX$14:$AX$21, "Not found", 0),"Rb",_xlfn.XLOOKUP(E10&amp;"|"&amp;B10,
        Calculate_cap_emi_sens!$I$14:$I$21&amp;"|"&amp;Calculate_cap_emi_sens!$L$14:$L$21,
        Calculate_cap_emi_sens!$AZ$14:$AZ$21, "Not found", 0),"Rl",_xlfn.XLOOKUP(E10&amp;"|"&amp;B10,
        Calculate_cap_emi_sens!$I$14:$I$21&amp;"|"&amp;Calculate_cap_emi_sens!$L$14:$L$21,
        Calculate_cap_emi_sens!$BA$14:$BA$21, "Not found", 0),"HP",_xlfn.XLOOKUP(E10&amp;"|"&amp;B10,
        Calculate_cap_emi_sens!$I$14:$I$21&amp;"|"&amp;Calculate_cap_emi_sens!$L$14:$L$21,
        Calculate_cap_emi_sens!$AY$14:$AY$21, "Not found", 0),"HPl",_xlfn.XLOOKUP(E10&amp;"|"&amp;B10,
        Calculate_cap_emi_sens!$I$14:$I$21&amp;"|"&amp;Calculate_cap_emi_sens!$L$14:$L$21,
        Calculate_cap_emi_sens!$BB$14:$BB$21, "Not found", 0),"Missing")</f>
        <v>78.854137977791325</v>
      </c>
      <c r="V10" s="5" cm="1">
        <f t="array" ref="V10">_xlfn.SWITCH(F10,"R",_xlfn.XLOOKUP(E10&amp;"|"&amp;B10,
        Calculate_cap_emi_sens!$I$14:$I$21&amp;"|"&amp;Calculate_cap_emi_sens!$L$14:$L$21,
        Calculate_cap_emi_sens!$BE$14:$BE$21, "Not found", 0),"Rb",_xlfn.XLOOKUP(E10&amp;"|"&amp;B10,
        Calculate_cap_emi_sens!$I$14:$I$21&amp;"|"&amp;Calculate_cap_emi_sens!$L$14:$L$21,
        Calculate_cap_emi_sens!$BG$14:$BG$21, "Not found", 0),"Rl",_xlfn.XLOOKUP(E10&amp;"|"&amp;B10,
        Calculate_cap_emi_sens!$I$14:$I$21&amp;"|"&amp;Calculate_cap_emi_sens!$L$14:$L$21,
        Calculate_cap_emi_sens!$BH$14:$BH$21, "Not found", 0),"HP",_xlfn.XLOOKUP(E10&amp;"|"&amp;B10,
        Calculate_cap_emi_sens!$I$14:$I$21&amp;"|"&amp;Calculate_cap_emi_sens!$L$14:$L$21,
        Calculate_cap_emi_sens!$BF$14:$BF$21, "Not found", 0),"HPl",_xlfn.XLOOKUP(E10&amp;"|"&amp;B10,
        Calculate_cap_emi_sens!$I$14:$I$21&amp;"|"&amp;Calculate_cap_emi_sens!$L$14:$L$21,
        Calculate_cap_emi_sens!$BI$14:$BI$21, "Not found", 0),"Missing")</f>
        <v>0</v>
      </c>
      <c r="W10" s="5">
        <f>Results_proc_ener!L10</f>
        <v>36110.497549696542</v>
      </c>
      <c r="X10" s="5">
        <f>Results_proc_ener!M10</f>
        <v>0</v>
      </c>
      <c r="Y10" s="5">
        <f>Results_proc_ener!N10</f>
        <v>0</v>
      </c>
      <c r="Z10" s="5">
        <f>Results_proc_ener!O10</f>
        <v>0</v>
      </c>
      <c r="AA10" s="5">
        <f>Results_proc_ener!P10</f>
        <v>0</v>
      </c>
      <c r="AB10" s="5">
        <f>Results_proc_ener!Q10</f>
        <v>1410.6687179851351</v>
      </c>
      <c r="AC10" s="5">
        <f>Results_proc_ener!R10</f>
        <v>25.98724023084047</v>
      </c>
      <c r="AD10" s="5">
        <f>Results_proc_ener!S10</f>
        <v>148.6705015133216</v>
      </c>
      <c r="AE10" s="5">
        <f>Results_proc_ener!T10</f>
        <v>0</v>
      </c>
    </row>
    <row r="11" spans="1:33" x14ac:dyDescent="0.25">
      <c r="A11" s="5" t="s">
        <v>2</v>
      </c>
      <c r="B11" s="5" t="str">
        <f t="shared" si="0"/>
        <v>Mass-Nom</v>
      </c>
      <c r="C11" s="5" t="str">
        <f t="shared" si="1"/>
        <v>Mass</v>
      </c>
      <c r="D11" s="5" t="str">
        <f t="shared" si="2"/>
        <v>Nom</v>
      </c>
      <c r="E11" s="5" t="s">
        <v>11</v>
      </c>
      <c r="F11" s="5" t="s">
        <v>13</v>
      </c>
      <c r="G11" s="5"/>
      <c r="H11" s="5"/>
      <c r="I11" s="5" cm="1">
        <f t="array" ref="I11">_xlfn.SWITCH(F11,"R",_xlfn.XLOOKUP(E11&amp;"|"&amp;B11,
        Calculate_cap_emi!$I$14:$I$21&amp;"|"&amp;Calculate_cap_emi!$L$14:$L$21,
        Calculate_cap_emi!$W$14:$W$21, "Not found", 0),"Rb",_xlfn.XLOOKUP(E11&amp;"|"&amp;B11,
        Calculate_cap_emi!$I$14:$I$21&amp;"|"&amp;Calculate_cap_emi!$L$14:$L$21,
        Calculate_cap_emi!$Y$14:$Y$21, "Not found", 0),"Rl",_xlfn.XLOOKUP(E11&amp;"|"&amp;B11,
        Calculate_cap_emi!$I$14:$I$21&amp;"|"&amp;Calculate_cap_emi!$L$14:$L$21,
        Calculate_cap_emi!$Z$14:$Z$21, "Not found", 0),0)</f>
        <v>15.5</v>
      </c>
      <c r="J11" s="5"/>
      <c r="K11" s="5"/>
      <c r="L11" s="5" cm="1">
        <f t="array" ref="L11">_xlfn.SWITCH(F11,"R",_xlfn.XLOOKUP(E11&amp;"|"&amp;B11,
        Calculate_cap_emi!$I$14:$I$21&amp;"|"&amp;Calculate_cap_emi!$L$14:$L$21,
        Calculate_cap_emi!$AC$14:$AC$21, "Not found", 0),"Rb",_xlfn.XLOOKUP(E11&amp;"|"&amp;B11,
        Calculate_cap_emi!$I$14:$I$21&amp;"|"&amp;Calculate_cap_emi!$L$14:$L$21,
        Calculate_cap_emi!$AE$14:$AE$21, "Not found", 0),"Rl",_xlfn.XLOOKUP(E11&amp;"|"&amp;B11,
        Calculate_cap_emi!$I$14:$I$21&amp;"|"&amp;Calculate_cap_emi!$L$14:$L$21,
        Calculate_cap_emi!$AF$14:$AF$21, "Not found", 0),"HP",_xlfn.XLOOKUP(E11&amp;"|"&amp;B11,
        Calculate_cap_emi!$I$14:$I$21&amp;"|"&amp;Calculate_cap_emi!$L$14:$L$21,
        Calculate_cap_emi!$AD$14:$AD$21, "Not found", 0),"HPl",_xlfn.XLOOKUP(E11&amp;"|"&amp;B11,
        Calculate_cap_emi!$I$14:$I$21&amp;"|"&amp;Calculate_cap_emi!$L$14:$L$21,
        Calculate_cap_emi!$AG$14:$AG$21, "Not found", 0),"Missing")</f>
        <v>1372.8367625894696</v>
      </c>
      <c r="M11" s="5"/>
      <c r="N11" s="5"/>
      <c r="O11" s="5"/>
      <c r="P11" s="5"/>
      <c r="Q11" s="5" cm="1">
        <f t="array" ref="Q11">_xlfn.SWITCH(F11,"R",_xlfn.XLOOKUP(E11&amp;"|"&amp;B11,
        Calculate_cap_emi!$I$14:$I$21&amp;"|"&amp;Calculate_cap_emi!$L$14:$L$21,
        Calculate_cap_emi!$AJ$14:$AJ$21, "Not found", 0),"Rb",_xlfn.XLOOKUP(E11&amp;"|"&amp;B11,
        Calculate_cap_emi!$I$14:$I$21&amp;"|"&amp;Calculate_cap_emi!$L$14:$L$21,
        Calculate_cap_emi!$AL$14:$AL$21, "Not found", 0),"Rl",_xlfn.XLOOKUP(E11&amp;"|"&amp;B11,
        Calculate_cap_emi!$I$14:$I$21&amp;"|"&amp;Calculate_cap_emi!$L$14:$L$21,
        Calculate_cap_emi!$AM$14:$AM$21, "Not found", 0),"HP",_xlfn.XLOOKUP(E11&amp;"|"&amp;B11,
        Calculate_cap_emi!$I$14:$I$21&amp;"|"&amp;Calculate_cap_emi!$L$14:$L$21,
        Calculate_cap_emi!$AK$14:$AK$21, "Not found", 0),"HPl",_xlfn.XLOOKUP(E11&amp;"|"&amp;B11,
        Calculate_cap_emi!$I$14:$I$21&amp;"|"&amp;Calculate_cap_emi!$L$14:$L$21,
        Calculate_cap_emi!$AN$14:$AN$21, "Not found", 0),"Missing")</f>
        <v>66.608075633400006</v>
      </c>
      <c r="R11" s="5" cm="1">
        <f t="array" ref="R11">_xlfn.SWITCH(F11,"R",_xlfn.XLOOKUP(E11&amp;"|"&amp;B11,
        Calculate_cap_emi!$I$14:$I$21&amp;"|"&amp;Calculate_cap_emi!$L$14:$L$21,
        Calculate_cap_emi!$AQ$14:$AQ$21, "Not found", 0),"Rb",_xlfn.XLOOKUP(E11&amp;"|"&amp;B11,
        Calculate_cap_emi!$I$14:$I$21&amp;"|"&amp;Calculate_cap_emi!$L$14:$L$21,
        Calculate_cap_emi!$AS$14:$AS$21, "Not found", 0),"Rl",_xlfn.XLOOKUP(E11&amp;"|"&amp;B11,
        Calculate_cap_emi!$I$14:$I$21&amp;"|"&amp;Calculate_cap_emi!$L$14:$L$21,
        Calculate_cap_emi!$AT$14:$AT$21, "Not found", 0),"HP",_xlfn.XLOOKUP(E11&amp;"|"&amp;B11,
        Calculate_cap_emi!$I$14:$I$21&amp;"|"&amp;Calculate_cap_emi!$L$14:$L$21,
        Calculate_cap_emi!$AR$14:$AR$21, "Not found", 0),"HPl",_xlfn.XLOOKUP(E11&amp;"|"&amp;B11,
        Calculate_cap_emi!$I$14:$I$21&amp;"|"&amp;Calculate_cap_emi!$L$14:$L$21,
        Calculate_cap_emi!$AU$14:$AU$21, "Not found", 0),"Missing")</f>
        <v>6.9272475862522533</v>
      </c>
      <c r="S11" s="5" cm="1">
        <f t="array" ref="S11">_xlfn.SWITCH(F11,"R",_xlfn.XLOOKUP(E11&amp;"|"&amp;B11,
        Calculate_cap_emi!$I$14:$I$21&amp;"|"&amp;Calculate_cap_emi!$L$14:$L$21,
        Calculate_cap_emi!$AX$14:$AX$21, "Not found", 0),"Rb",_xlfn.XLOOKUP(E11&amp;"|"&amp;B11,
        Calculate_cap_emi!$I$14:$I$21&amp;"|"&amp;Calculate_cap_emi!$L$14:$L$21,
        Calculate_cap_emi!$AZ$14:$AZ$21, "Not found", 0),"Rl",_xlfn.XLOOKUP(E11&amp;"|"&amp;B11,
        Calculate_cap_emi!$I$14:$I$21&amp;"|"&amp;Calculate_cap_emi!$L$14:$L$21,
        Calculate_cap_emi!$BA$14:$BA$21, "Not found", 0),"HP",_xlfn.XLOOKUP(E11&amp;"|"&amp;B11,
        Calculate_cap_emi!$I$14:$I$21&amp;"|"&amp;Calculate_cap_emi!$L$14:$L$21,
        Calculate_cap_emi!$AY$14:$AY$21, "Not found", 0),"HPl",_xlfn.XLOOKUP(E11&amp;"|"&amp;B11,
        Calculate_cap_emi!$I$14:$I$21&amp;"|"&amp;Calculate_cap_emi!$L$14:$L$21,
        Calculate_cap_emi!$BB$14:$BB$21, "Not found", 0),"Missing")</f>
        <v>78.854137977791325</v>
      </c>
      <c r="T11" s="5" cm="1">
        <f t="array" ref="T11">_xlfn.SWITCH(F11,"R",_xlfn.XLOOKUP(E11&amp;"|"&amp;B11,
        Calculate_cap_emi!$I$14:$I$21&amp;"|"&amp;Calculate_cap_emi!$L$14:$L$21,
        Calculate_cap_emi!$BE$14:$BE$21, "Not found", 0),"Rb",_xlfn.XLOOKUP(E11&amp;"|"&amp;B11,
        Calculate_cap_emi!$I$14:$I$21&amp;"|"&amp;Calculate_cap_emi!$L$14:$L$21,
        Calculate_cap_emi!$BG$14:$BG$21, "Not found", 0),"Rl",_xlfn.XLOOKUP(E11&amp;"|"&amp;B11,
        Calculate_cap_emi!$I$14:$I$21&amp;"|"&amp;Calculate_cap_emi!$L$14:$L$21,
        Calculate_cap_emi!$BH$14:$BH$21, "Not found", 0),"HP",_xlfn.XLOOKUP(E11&amp;"|"&amp;B11,
        Calculate_cap_emi!$I$14:$I$21&amp;"|"&amp;Calculate_cap_emi!$L$14:$L$21,
        Calculate_cap_emi!$BF$14:$BF$21, "Not found", 0),"HPl",_xlfn.XLOOKUP(E11&amp;"|"&amp;B11,
        Calculate_cap_emi!$I$14:$I$21&amp;"|"&amp;Calculate_cap_emi!$L$14:$L$21,
        Calculate_cap_emi!$BI$14:$BI$21, "Not found", 0),"Missing")</f>
        <v>0</v>
      </c>
      <c r="U11" s="5" cm="1">
        <f t="array" ref="U11">_xlfn.SWITCH(F11,"R",_xlfn.XLOOKUP(E11&amp;"|"&amp;B11,
        Calculate_cap_emi_sens!$I$14:$I$21&amp;"|"&amp;Calculate_cap_emi_sens!$L$14:$L$21,
        Calculate_cap_emi_sens!$AX$14:$AX$21, "Not found", 0),"Rb",_xlfn.XLOOKUP(E11&amp;"|"&amp;B11,
        Calculate_cap_emi_sens!$I$14:$I$21&amp;"|"&amp;Calculate_cap_emi_sens!$L$14:$L$21,
        Calculate_cap_emi_sens!$AZ$14:$AZ$21, "Not found", 0),"Rl",_xlfn.XLOOKUP(E11&amp;"|"&amp;B11,
        Calculate_cap_emi_sens!$I$14:$I$21&amp;"|"&amp;Calculate_cap_emi_sens!$L$14:$L$21,
        Calculate_cap_emi_sens!$BA$14:$BA$21, "Not found", 0),"HP",_xlfn.XLOOKUP(E11&amp;"|"&amp;B11,
        Calculate_cap_emi_sens!$I$14:$I$21&amp;"|"&amp;Calculate_cap_emi_sens!$L$14:$L$21,
        Calculate_cap_emi_sens!$AY$14:$AY$21, "Not found", 0),"HPl",_xlfn.XLOOKUP(E11&amp;"|"&amp;B11,
        Calculate_cap_emi_sens!$I$14:$I$21&amp;"|"&amp;Calculate_cap_emi_sens!$L$14:$L$21,
        Calculate_cap_emi_sens!$BB$14:$BB$21, "Not found", 0),"Missing")</f>
        <v>78.854137977791325</v>
      </c>
      <c r="V11" s="5" cm="1">
        <f t="array" ref="V11">_xlfn.SWITCH(F11,"R",_xlfn.XLOOKUP(E11&amp;"|"&amp;B11,
        Calculate_cap_emi_sens!$I$14:$I$21&amp;"|"&amp;Calculate_cap_emi_sens!$L$14:$L$21,
        Calculate_cap_emi_sens!$BE$14:$BE$21, "Not found", 0),"Rb",_xlfn.XLOOKUP(E11&amp;"|"&amp;B11,
        Calculate_cap_emi_sens!$I$14:$I$21&amp;"|"&amp;Calculate_cap_emi_sens!$L$14:$L$21,
        Calculate_cap_emi_sens!$BG$14:$BG$21, "Not found", 0),"Rl",_xlfn.XLOOKUP(E11&amp;"|"&amp;B11,
        Calculate_cap_emi_sens!$I$14:$I$21&amp;"|"&amp;Calculate_cap_emi_sens!$L$14:$L$21,
        Calculate_cap_emi_sens!$BH$14:$BH$21, "Not found", 0),"HP",_xlfn.XLOOKUP(E11&amp;"|"&amp;B11,
        Calculate_cap_emi_sens!$I$14:$I$21&amp;"|"&amp;Calculate_cap_emi_sens!$L$14:$L$21,
        Calculate_cap_emi_sens!$BF$14:$BF$21, "Not found", 0),"HPl",_xlfn.XLOOKUP(E11&amp;"|"&amp;B11,
        Calculate_cap_emi_sens!$I$14:$I$21&amp;"|"&amp;Calculate_cap_emi_sens!$L$14:$L$21,
        Calculate_cap_emi_sens!$BI$14:$BI$21, "Not found", 0),"Missing")</f>
        <v>0</v>
      </c>
      <c r="W11" s="5">
        <f>Results_proc_ener!L11</f>
        <v>36110.497549696542</v>
      </c>
      <c r="X11" s="5">
        <f>Results_proc_ener!M11</f>
        <v>0</v>
      </c>
      <c r="Y11" s="5">
        <f>Results_proc_ener!N11</f>
        <v>0</v>
      </c>
      <c r="Z11" s="5">
        <f>Results_proc_ener!O11</f>
        <v>0</v>
      </c>
      <c r="AA11" s="5">
        <f>Results_proc_ener!P11</f>
        <v>0</v>
      </c>
      <c r="AB11" s="5">
        <f>Results_proc_ener!Q11</f>
        <v>1410.6687179851351</v>
      </c>
      <c r="AC11" s="5">
        <f>Results_proc_ener!R11</f>
        <v>25.98724023084047</v>
      </c>
      <c r="AD11" s="5">
        <f>Results_proc_ener!S11</f>
        <v>148.6705015133216</v>
      </c>
      <c r="AE11" s="5">
        <f>Results_proc_ener!T11</f>
        <v>0</v>
      </c>
    </row>
    <row r="12" spans="1:33" x14ac:dyDescent="0.25">
      <c r="A12" s="5" t="s">
        <v>5</v>
      </c>
      <c r="B12" s="5" t="str">
        <f t="shared" si="0"/>
        <v>Mass-H1</v>
      </c>
      <c r="C12" s="5" t="str">
        <f t="shared" si="1"/>
        <v>Mass</v>
      </c>
      <c r="D12" s="5" t="str">
        <f t="shared" si="2"/>
        <v>H1</v>
      </c>
      <c r="E12" s="5" t="s">
        <v>11</v>
      </c>
      <c r="F12" s="5" t="s">
        <v>13</v>
      </c>
      <c r="G12" s="5"/>
      <c r="H12" s="5"/>
      <c r="I12" s="5" cm="1">
        <f t="array" ref="I12">_xlfn.SWITCH(F12,"R",_xlfn.XLOOKUP(E12&amp;"|"&amp;B12,
        Calculate_cap_emi!$I$14:$I$21&amp;"|"&amp;Calculate_cap_emi!$L$14:$L$21,
        Calculate_cap_emi!$W$14:$W$21, "Not found", 0),"Rb",_xlfn.XLOOKUP(E12&amp;"|"&amp;B12,
        Calculate_cap_emi!$I$14:$I$21&amp;"|"&amp;Calculate_cap_emi!$L$14:$L$21,
        Calculate_cap_emi!$Y$14:$Y$21, "Not found", 0),"Rl",_xlfn.XLOOKUP(E12&amp;"|"&amp;B12,
        Calculate_cap_emi!$I$14:$I$21&amp;"|"&amp;Calculate_cap_emi!$L$14:$L$21,
        Calculate_cap_emi!$Z$14:$Z$21, "Not found", 0),0)</f>
        <v>8.5</v>
      </c>
      <c r="J12" s="5"/>
      <c r="K12" s="5"/>
      <c r="L12" s="5" cm="1">
        <f t="array" ref="L12">_xlfn.SWITCH(F12,"R",_xlfn.XLOOKUP(E12&amp;"|"&amp;B12,
        Calculate_cap_emi!$I$14:$I$21&amp;"|"&amp;Calculate_cap_emi!$L$14:$L$21,
        Calculate_cap_emi!$AC$14:$AC$21, "Not found", 0),"Rb",_xlfn.XLOOKUP(E12&amp;"|"&amp;B12,
        Calculate_cap_emi!$I$14:$I$21&amp;"|"&amp;Calculate_cap_emi!$L$14:$L$21,
        Calculate_cap_emi!$AE$14:$AE$21, "Not found", 0),"Rl",_xlfn.XLOOKUP(E12&amp;"|"&amp;B12,
        Calculate_cap_emi!$I$14:$I$21&amp;"|"&amp;Calculate_cap_emi!$L$14:$L$21,
        Calculate_cap_emi!$AF$14:$AF$21, "Not found", 0),"HP",_xlfn.XLOOKUP(E12&amp;"|"&amp;B12,
        Calculate_cap_emi!$I$14:$I$21&amp;"|"&amp;Calculate_cap_emi!$L$14:$L$21,
        Calculate_cap_emi!$AD$14:$AD$21, "Not found", 0),"HPl",_xlfn.XLOOKUP(E12&amp;"|"&amp;B12,
        Calculate_cap_emi!$I$14:$I$21&amp;"|"&amp;Calculate_cap_emi!$L$14:$L$21,
        Calculate_cap_emi!$AG$14:$AG$21, "Not found", 0),"Missing")</f>
        <v>831.36713006518892</v>
      </c>
      <c r="M12" s="5"/>
      <c r="N12" s="5"/>
      <c r="O12" s="5"/>
      <c r="P12" s="5"/>
      <c r="Q12" s="5" cm="1">
        <f t="array" ref="Q12">_xlfn.SWITCH(F12,"R",_xlfn.XLOOKUP(E12&amp;"|"&amp;B12,
        Calculate_cap_emi!$I$14:$I$21&amp;"|"&amp;Calculate_cap_emi!$L$14:$L$21,
        Calculate_cap_emi!$AJ$14:$AJ$21, "Not found", 0),"Rb",_xlfn.XLOOKUP(E12&amp;"|"&amp;B12,
        Calculate_cap_emi!$I$14:$I$21&amp;"|"&amp;Calculate_cap_emi!$L$14:$L$21,
        Calculate_cap_emi!$AL$14:$AL$21, "Not found", 0),"Rl",_xlfn.XLOOKUP(E12&amp;"|"&amp;B12,
        Calculate_cap_emi!$I$14:$I$21&amp;"|"&amp;Calculate_cap_emi!$L$14:$L$21,
        Calculate_cap_emi!$AM$14:$AM$21, "Not found", 0),"HP",_xlfn.XLOOKUP(E12&amp;"|"&amp;B12,
        Calculate_cap_emi!$I$14:$I$21&amp;"|"&amp;Calculate_cap_emi!$L$14:$L$21,
        Calculate_cap_emi!$AK$14:$AK$21, "Not found", 0),"HPl",_xlfn.XLOOKUP(E12&amp;"|"&amp;B12,
        Calculate_cap_emi!$I$14:$I$21&amp;"|"&amp;Calculate_cap_emi!$L$14:$L$21,
        Calculate_cap_emi!$AN$14:$AN$21, "Not found", 0),"Missing")</f>
        <v>38.89839479029412</v>
      </c>
      <c r="R12" s="5" cm="1">
        <f t="array" ref="R12">_xlfn.SWITCH(F12,"R",_xlfn.XLOOKUP(E12&amp;"|"&amp;B12,
        Calculate_cap_emi!$I$14:$I$21&amp;"|"&amp;Calculate_cap_emi!$L$14:$L$21,
        Calculate_cap_emi!$AQ$14:$AQ$21, "Not found", 0),"Rb",_xlfn.XLOOKUP(E12&amp;"|"&amp;B12,
        Calculate_cap_emi!$I$14:$I$21&amp;"|"&amp;Calculate_cap_emi!$L$14:$L$21,
        Calculate_cap_emi!$AS$14:$AS$21, "Not found", 0),"Rl",_xlfn.XLOOKUP(E12&amp;"|"&amp;B12,
        Calculate_cap_emi!$I$14:$I$21&amp;"|"&amp;Calculate_cap_emi!$L$14:$L$21,
        Calculate_cap_emi!$AT$14:$AT$21, "Not found", 0),"HP",_xlfn.XLOOKUP(E12&amp;"|"&amp;B12,
        Calculate_cap_emi!$I$14:$I$21&amp;"|"&amp;Calculate_cap_emi!$L$14:$L$21,
        Calculate_cap_emi!$AR$14:$AR$21, "Not found", 0),"HPl",_xlfn.XLOOKUP(E12&amp;"|"&amp;B12,
        Calculate_cap_emi!$I$14:$I$21&amp;"|"&amp;Calculate_cap_emi!$L$14:$L$21,
        Calculate_cap_emi!$AU$14:$AU$21, "Not found", 0),"Missing")</f>
        <v>4.4000985216968802</v>
      </c>
      <c r="S12" s="5" cm="1">
        <f t="array" ref="S12">_xlfn.SWITCH(F12,"R",_xlfn.XLOOKUP(E12&amp;"|"&amp;B12,
        Calculate_cap_emi!$I$14:$I$21&amp;"|"&amp;Calculate_cap_emi!$L$14:$L$21,
        Calculate_cap_emi!$AX$14:$AX$21, "Not found", 0),"Rb",_xlfn.XLOOKUP(E12&amp;"|"&amp;B12,
        Calculate_cap_emi!$I$14:$I$21&amp;"|"&amp;Calculate_cap_emi!$L$14:$L$21,
        Calculate_cap_emi!$AZ$14:$AZ$21, "Not found", 0),"Rl",_xlfn.XLOOKUP(E12&amp;"|"&amp;B12,
        Calculate_cap_emi!$I$14:$I$21&amp;"|"&amp;Calculate_cap_emi!$L$14:$L$21,
        Calculate_cap_emi!$BA$14:$BA$21, "Not found", 0),"HP",_xlfn.XLOOKUP(E12&amp;"|"&amp;B12,
        Calculate_cap_emi!$I$14:$I$21&amp;"|"&amp;Calculate_cap_emi!$L$14:$L$21,
        Calculate_cap_emi!$AY$14:$AY$21, "Not found", 0),"HPl",_xlfn.XLOOKUP(E12&amp;"|"&amp;B12,
        Calculate_cap_emi!$I$14:$I$21&amp;"|"&amp;Calculate_cap_emi!$L$14:$L$21,
        Calculate_cap_emi!$BB$14:$BB$21, "Not found", 0),"Missing")</f>
        <v>46.096994233243443</v>
      </c>
      <c r="T12" s="5" cm="1">
        <f t="array" ref="T12">_xlfn.SWITCH(F12,"R",_xlfn.XLOOKUP(E12&amp;"|"&amp;B12,
        Calculate_cap_emi!$I$14:$I$21&amp;"|"&amp;Calculate_cap_emi!$L$14:$L$21,
        Calculate_cap_emi!$BE$14:$BE$21, "Not found", 0),"Rb",_xlfn.XLOOKUP(E12&amp;"|"&amp;B12,
        Calculate_cap_emi!$I$14:$I$21&amp;"|"&amp;Calculate_cap_emi!$L$14:$L$21,
        Calculate_cap_emi!$BG$14:$BG$21, "Not found", 0),"Rl",_xlfn.XLOOKUP(E12&amp;"|"&amp;B12,
        Calculate_cap_emi!$I$14:$I$21&amp;"|"&amp;Calculate_cap_emi!$L$14:$L$21,
        Calculate_cap_emi!$BH$14:$BH$21, "Not found", 0),"HP",_xlfn.XLOOKUP(E12&amp;"|"&amp;B12,
        Calculate_cap_emi!$I$14:$I$21&amp;"|"&amp;Calculate_cap_emi!$L$14:$L$21,
        Calculate_cap_emi!$BF$14:$BF$21, "Not found", 0),"HPl",_xlfn.XLOOKUP(E12&amp;"|"&amp;B12,
        Calculate_cap_emi!$I$14:$I$21&amp;"|"&amp;Calculate_cap_emi!$L$14:$L$21,
        Calculate_cap_emi!$BI$14:$BI$21, "Not found", 0),"Missing")</f>
        <v>0</v>
      </c>
      <c r="U12" s="5" cm="1">
        <f t="array" ref="U12">_xlfn.SWITCH(F12,"R",_xlfn.XLOOKUP(E12&amp;"|"&amp;B12,
        Calculate_cap_emi_sens!$I$14:$I$21&amp;"|"&amp;Calculate_cap_emi_sens!$L$14:$L$21,
        Calculate_cap_emi_sens!$AX$14:$AX$21, "Not found", 0),"Rb",_xlfn.XLOOKUP(E12&amp;"|"&amp;B12,
        Calculate_cap_emi_sens!$I$14:$I$21&amp;"|"&amp;Calculate_cap_emi_sens!$L$14:$L$21,
        Calculate_cap_emi_sens!$AZ$14:$AZ$21, "Not found", 0),"Rl",_xlfn.XLOOKUP(E12&amp;"|"&amp;B12,
        Calculate_cap_emi_sens!$I$14:$I$21&amp;"|"&amp;Calculate_cap_emi_sens!$L$14:$L$21,
        Calculate_cap_emi_sens!$BA$14:$BA$21, "Not found", 0),"HP",_xlfn.XLOOKUP(E12&amp;"|"&amp;B12,
        Calculate_cap_emi_sens!$I$14:$I$21&amp;"|"&amp;Calculate_cap_emi_sens!$L$14:$L$21,
        Calculate_cap_emi_sens!$AY$14:$AY$21, "Not found", 0),"HPl",_xlfn.XLOOKUP(E12&amp;"|"&amp;B12,
        Calculate_cap_emi_sens!$I$14:$I$21&amp;"|"&amp;Calculate_cap_emi_sens!$L$14:$L$21,
        Calculate_cap_emi_sens!$BB$14:$BB$21, "Not found", 0),"Missing")</f>
        <v>46.096994233243443</v>
      </c>
      <c r="V12" s="5" cm="1">
        <f t="array" ref="V12">_xlfn.SWITCH(F12,"R",_xlfn.XLOOKUP(E12&amp;"|"&amp;B12,
        Calculate_cap_emi_sens!$I$14:$I$21&amp;"|"&amp;Calculate_cap_emi_sens!$L$14:$L$21,
        Calculate_cap_emi_sens!$BE$14:$BE$21, "Not found", 0),"Rb",_xlfn.XLOOKUP(E12&amp;"|"&amp;B12,
        Calculate_cap_emi_sens!$I$14:$I$21&amp;"|"&amp;Calculate_cap_emi_sens!$L$14:$L$21,
        Calculate_cap_emi_sens!$BG$14:$BG$21, "Not found", 0),"Rl",_xlfn.XLOOKUP(E12&amp;"|"&amp;B12,
        Calculate_cap_emi_sens!$I$14:$I$21&amp;"|"&amp;Calculate_cap_emi_sens!$L$14:$L$21,
        Calculate_cap_emi_sens!$BH$14:$BH$21, "Not found", 0),"HP",_xlfn.XLOOKUP(E12&amp;"|"&amp;B12,
        Calculate_cap_emi_sens!$I$14:$I$21&amp;"|"&amp;Calculate_cap_emi_sens!$L$14:$L$21,
        Calculate_cap_emi_sens!$BF$14:$BF$21, "Not found", 0),"HPl",_xlfn.XLOOKUP(E12&amp;"|"&amp;B12,
        Calculate_cap_emi_sens!$I$14:$I$21&amp;"|"&amp;Calculate_cap_emi_sens!$L$14:$L$21,
        Calculate_cap_emi_sens!$BI$14:$BI$21, "Not found", 0),"Missing")</f>
        <v>0</v>
      </c>
      <c r="W12" s="5">
        <f>Results_proc_ener!L12</f>
        <v>21819.789602707595</v>
      </c>
      <c r="X12" s="5">
        <f>Results_proc_ener!M12</f>
        <v>0</v>
      </c>
      <c r="Y12" s="5">
        <f>Results_proc_ener!N12</f>
        <v>0</v>
      </c>
      <c r="Z12" s="5">
        <f>Results_proc_ener!O12</f>
        <v>0</v>
      </c>
      <c r="AA12" s="5">
        <f>Results_proc_ener!P12</f>
        <v>0</v>
      </c>
      <c r="AB12" s="5">
        <f>Results_proc_ener!Q12</f>
        <v>823.81525346137505</v>
      </c>
      <c r="AC12" s="5">
        <f>Results_proc_ener!R12</f>
        <v>15.802648639386</v>
      </c>
      <c r="AD12" s="5">
        <f>Results_proc_ener!S12</f>
        <v>92.205012952242569</v>
      </c>
      <c r="AE12" s="5">
        <f>Results_proc_ener!T12</f>
        <v>0</v>
      </c>
    </row>
    <row r="13" spans="1:33" x14ac:dyDescent="0.25">
      <c r="A13" s="5" t="s">
        <v>6</v>
      </c>
      <c r="B13" s="5" t="str">
        <f t="shared" si="0"/>
        <v>Mass-H1</v>
      </c>
      <c r="C13" s="5" t="str">
        <f t="shared" si="1"/>
        <v>Mass</v>
      </c>
      <c r="D13" s="5" t="str">
        <f t="shared" si="2"/>
        <v>H1</v>
      </c>
      <c r="E13" s="5" t="s">
        <v>11</v>
      </c>
      <c r="F13" s="5" t="s">
        <v>13</v>
      </c>
      <c r="G13" s="5"/>
      <c r="H13" s="5"/>
      <c r="I13" s="5" cm="1">
        <f t="array" ref="I13">_xlfn.SWITCH(F13,"R",_xlfn.XLOOKUP(E13&amp;"|"&amp;B13,
        Calculate_cap_emi!$I$14:$I$21&amp;"|"&amp;Calculate_cap_emi!$L$14:$L$21,
        Calculate_cap_emi!$W$14:$W$21, "Not found", 0),"Rb",_xlfn.XLOOKUP(E13&amp;"|"&amp;B13,
        Calculate_cap_emi!$I$14:$I$21&amp;"|"&amp;Calculate_cap_emi!$L$14:$L$21,
        Calculate_cap_emi!$Y$14:$Y$21, "Not found", 0),"Rl",_xlfn.XLOOKUP(E13&amp;"|"&amp;B13,
        Calculate_cap_emi!$I$14:$I$21&amp;"|"&amp;Calculate_cap_emi!$L$14:$L$21,
        Calculate_cap_emi!$Z$14:$Z$21, "Not found", 0),0)</f>
        <v>8.5</v>
      </c>
      <c r="J13" s="5"/>
      <c r="K13" s="5"/>
      <c r="L13" s="5" cm="1">
        <f t="array" ref="L13">_xlfn.SWITCH(F13,"R",_xlfn.XLOOKUP(E13&amp;"|"&amp;B13,
        Calculate_cap_emi!$I$14:$I$21&amp;"|"&amp;Calculate_cap_emi!$L$14:$L$21,
        Calculate_cap_emi!$AC$14:$AC$21, "Not found", 0),"Rb",_xlfn.XLOOKUP(E13&amp;"|"&amp;B13,
        Calculate_cap_emi!$I$14:$I$21&amp;"|"&amp;Calculate_cap_emi!$L$14:$L$21,
        Calculate_cap_emi!$AE$14:$AE$21, "Not found", 0),"Rl",_xlfn.XLOOKUP(E13&amp;"|"&amp;B13,
        Calculate_cap_emi!$I$14:$I$21&amp;"|"&amp;Calculate_cap_emi!$L$14:$L$21,
        Calculate_cap_emi!$AF$14:$AF$21, "Not found", 0),"HP",_xlfn.XLOOKUP(E13&amp;"|"&amp;B13,
        Calculate_cap_emi!$I$14:$I$21&amp;"|"&amp;Calculate_cap_emi!$L$14:$L$21,
        Calculate_cap_emi!$AD$14:$AD$21, "Not found", 0),"HPl",_xlfn.XLOOKUP(E13&amp;"|"&amp;B13,
        Calculate_cap_emi!$I$14:$I$21&amp;"|"&amp;Calculate_cap_emi!$L$14:$L$21,
        Calculate_cap_emi!$AG$14:$AG$21, "Not found", 0),"Missing")</f>
        <v>831.36713006518892</v>
      </c>
      <c r="M13" s="5"/>
      <c r="N13" s="5"/>
      <c r="O13" s="5"/>
      <c r="P13" s="5"/>
      <c r="Q13" s="5" cm="1">
        <f t="array" ref="Q13">_xlfn.SWITCH(F13,"R",_xlfn.XLOOKUP(E13&amp;"|"&amp;B13,
        Calculate_cap_emi!$I$14:$I$21&amp;"|"&amp;Calculate_cap_emi!$L$14:$L$21,
        Calculate_cap_emi!$AJ$14:$AJ$21, "Not found", 0),"Rb",_xlfn.XLOOKUP(E13&amp;"|"&amp;B13,
        Calculate_cap_emi!$I$14:$I$21&amp;"|"&amp;Calculate_cap_emi!$L$14:$L$21,
        Calculate_cap_emi!$AL$14:$AL$21, "Not found", 0),"Rl",_xlfn.XLOOKUP(E13&amp;"|"&amp;B13,
        Calculate_cap_emi!$I$14:$I$21&amp;"|"&amp;Calculate_cap_emi!$L$14:$L$21,
        Calculate_cap_emi!$AM$14:$AM$21, "Not found", 0),"HP",_xlfn.XLOOKUP(E13&amp;"|"&amp;B13,
        Calculate_cap_emi!$I$14:$I$21&amp;"|"&amp;Calculate_cap_emi!$L$14:$L$21,
        Calculate_cap_emi!$AK$14:$AK$21, "Not found", 0),"HPl",_xlfn.XLOOKUP(E13&amp;"|"&amp;B13,
        Calculate_cap_emi!$I$14:$I$21&amp;"|"&amp;Calculate_cap_emi!$L$14:$L$21,
        Calculate_cap_emi!$AN$14:$AN$21, "Not found", 0),"Missing")</f>
        <v>38.89839479029412</v>
      </c>
      <c r="R13" s="5" cm="1">
        <f t="array" ref="R13">_xlfn.SWITCH(F13,"R",_xlfn.XLOOKUP(E13&amp;"|"&amp;B13,
        Calculate_cap_emi!$I$14:$I$21&amp;"|"&amp;Calculate_cap_emi!$L$14:$L$21,
        Calculate_cap_emi!$AQ$14:$AQ$21, "Not found", 0),"Rb",_xlfn.XLOOKUP(E13&amp;"|"&amp;B13,
        Calculate_cap_emi!$I$14:$I$21&amp;"|"&amp;Calculate_cap_emi!$L$14:$L$21,
        Calculate_cap_emi!$AS$14:$AS$21, "Not found", 0),"Rl",_xlfn.XLOOKUP(E13&amp;"|"&amp;B13,
        Calculate_cap_emi!$I$14:$I$21&amp;"|"&amp;Calculate_cap_emi!$L$14:$L$21,
        Calculate_cap_emi!$AT$14:$AT$21, "Not found", 0),"HP",_xlfn.XLOOKUP(E13&amp;"|"&amp;B13,
        Calculate_cap_emi!$I$14:$I$21&amp;"|"&amp;Calculate_cap_emi!$L$14:$L$21,
        Calculate_cap_emi!$AR$14:$AR$21, "Not found", 0),"HPl",_xlfn.XLOOKUP(E13&amp;"|"&amp;B13,
        Calculate_cap_emi!$I$14:$I$21&amp;"|"&amp;Calculate_cap_emi!$L$14:$L$21,
        Calculate_cap_emi!$AU$14:$AU$21, "Not found", 0),"Missing")</f>
        <v>4.4000985216968802</v>
      </c>
      <c r="S13" s="5" cm="1">
        <f t="array" ref="S13">_xlfn.SWITCH(F13,"R",_xlfn.XLOOKUP(E13&amp;"|"&amp;B13,
        Calculate_cap_emi!$I$14:$I$21&amp;"|"&amp;Calculate_cap_emi!$L$14:$L$21,
        Calculate_cap_emi!$AX$14:$AX$21, "Not found", 0),"Rb",_xlfn.XLOOKUP(E13&amp;"|"&amp;B13,
        Calculate_cap_emi!$I$14:$I$21&amp;"|"&amp;Calculate_cap_emi!$L$14:$L$21,
        Calculate_cap_emi!$AZ$14:$AZ$21, "Not found", 0),"Rl",_xlfn.XLOOKUP(E13&amp;"|"&amp;B13,
        Calculate_cap_emi!$I$14:$I$21&amp;"|"&amp;Calculate_cap_emi!$L$14:$L$21,
        Calculate_cap_emi!$BA$14:$BA$21, "Not found", 0),"HP",_xlfn.XLOOKUP(E13&amp;"|"&amp;B13,
        Calculate_cap_emi!$I$14:$I$21&amp;"|"&amp;Calculate_cap_emi!$L$14:$L$21,
        Calculate_cap_emi!$AY$14:$AY$21, "Not found", 0),"HPl",_xlfn.XLOOKUP(E13&amp;"|"&amp;B13,
        Calculate_cap_emi!$I$14:$I$21&amp;"|"&amp;Calculate_cap_emi!$L$14:$L$21,
        Calculate_cap_emi!$BB$14:$BB$21, "Not found", 0),"Missing")</f>
        <v>46.096994233243443</v>
      </c>
      <c r="T13" s="5" cm="1">
        <f t="array" ref="T13">_xlfn.SWITCH(F13,"R",_xlfn.XLOOKUP(E13&amp;"|"&amp;B13,
        Calculate_cap_emi!$I$14:$I$21&amp;"|"&amp;Calculate_cap_emi!$L$14:$L$21,
        Calculate_cap_emi!$BE$14:$BE$21, "Not found", 0),"Rb",_xlfn.XLOOKUP(E13&amp;"|"&amp;B13,
        Calculate_cap_emi!$I$14:$I$21&amp;"|"&amp;Calculate_cap_emi!$L$14:$L$21,
        Calculate_cap_emi!$BG$14:$BG$21, "Not found", 0),"Rl",_xlfn.XLOOKUP(E13&amp;"|"&amp;B13,
        Calculate_cap_emi!$I$14:$I$21&amp;"|"&amp;Calculate_cap_emi!$L$14:$L$21,
        Calculate_cap_emi!$BH$14:$BH$21, "Not found", 0),"HP",_xlfn.XLOOKUP(E13&amp;"|"&amp;B13,
        Calculate_cap_emi!$I$14:$I$21&amp;"|"&amp;Calculate_cap_emi!$L$14:$L$21,
        Calculate_cap_emi!$BF$14:$BF$21, "Not found", 0),"HPl",_xlfn.XLOOKUP(E13&amp;"|"&amp;B13,
        Calculate_cap_emi!$I$14:$I$21&amp;"|"&amp;Calculate_cap_emi!$L$14:$L$21,
        Calculate_cap_emi!$BI$14:$BI$21, "Not found", 0),"Missing")</f>
        <v>0</v>
      </c>
      <c r="U13" s="5" cm="1">
        <f t="array" ref="U13">_xlfn.SWITCH(F13,"R",_xlfn.XLOOKUP(E13&amp;"|"&amp;B13,
        Calculate_cap_emi_sens!$I$14:$I$21&amp;"|"&amp;Calculate_cap_emi_sens!$L$14:$L$21,
        Calculate_cap_emi_sens!$AX$14:$AX$21, "Not found", 0),"Rb",_xlfn.XLOOKUP(E13&amp;"|"&amp;B13,
        Calculate_cap_emi_sens!$I$14:$I$21&amp;"|"&amp;Calculate_cap_emi_sens!$L$14:$L$21,
        Calculate_cap_emi_sens!$AZ$14:$AZ$21, "Not found", 0),"Rl",_xlfn.XLOOKUP(E13&amp;"|"&amp;B13,
        Calculate_cap_emi_sens!$I$14:$I$21&amp;"|"&amp;Calculate_cap_emi_sens!$L$14:$L$21,
        Calculate_cap_emi_sens!$BA$14:$BA$21, "Not found", 0),"HP",_xlfn.XLOOKUP(E13&amp;"|"&amp;B13,
        Calculate_cap_emi_sens!$I$14:$I$21&amp;"|"&amp;Calculate_cap_emi_sens!$L$14:$L$21,
        Calculate_cap_emi_sens!$AY$14:$AY$21, "Not found", 0),"HPl",_xlfn.XLOOKUP(E13&amp;"|"&amp;B13,
        Calculate_cap_emi_sens!$I$14:$I$21&amp;"|"&amp;Calculate_cap_emi_sens!$L$14:$L$21,
        Calculate_cap_emi_sens!$BB$14:$BB$21, "Not found", 0),"Missing")</f>
        <v>46.096994233243443</v>
      </c>
      <c r="V13" s="5" cm="1">
        <f t="array" ref="V13">_xlfn.SWITCH(F13,"R",_xlfn.XLOOKUP(E13&amp;"|"&amp;B13,
        Calculate_cap_emi_sens!$I$14:$I$21&amp;"|"&amp;Calculate_cap_emi_sens!$L$14:$L$21,
        Calculate_cap_emi_sens!$BE$14:$BE$21, "Not found", 0),"Rb",_xlfn.XLOOKUP(E13&amp;"|"&amp;B13,
        Calculate_cap_emi_sens!$I$14:$I$21&amp;"|"&amp;Calculate_cap_emi_sens!$L$14:$L$21,
        Calculate_cap_emi_sens!$BG$14:$BG$21, "Not found", 0),"Rl",_xlfn.XLOOKUP(E13&amp;"|"&amp;B13,
        Calculate_cap_emi_sens!$I$14:$I$21&amp;"|"&amp;Calculate_cap_emi_sens!$L$14:$L$21,
        Calculate_cap_emi_sens!$BH$14:$BH$21, "Not found", 0),"HP",_xlfn.XLOOKUP(E13&amp;"|"&amp;B13,
        Calculate_cap_emi_sens!$I$14:$I$21&amp;"|"&amp;Calculate_cap_emi_sens!$L$14:$L$21,
        Calculate_cap_emi_sens!$BF$14:$BF$21, "Not found", 0),"HPl",_xlfn.XLOOKUP(E13&amp;"|"&amp;B13,
        Calculate_cap_emi_sens!$I$14:$I$21&amp;"|"&amp;Calculate_cap_emi_sens!$L$14:$L$21,
        Calculate_cap_emi_sens!$BI$14:$BI$21, "Not found", 0),"Missing")</f>
        <v>0</v>
      </c>
      <c r="W13" s="5">
        <f>Results_proc_ener!L13</f>
        <v>21819.789602707595</v>
      </c>
      <c r="X13" s="5">
        <f>Results_proc_ener!M13</f>
        <v>0</v>
      </c>
      <c r="Y13" s="5">
        <f>Results_proc_ener!N13</f>
        <v>0</v>
      </c>
      <c r="Z13" s="5">
        <f>Results_proc_ener!O13</f>
        <v>0</v>
      </c>
      <c r="AA13" s="5">
        <f>Results_proc_ener!P13</f>
        <v>0</v>
      </c>
      <c r="AB13" s="5">
        <f>Results_proc_ener!Q13</f>
        <v>823.81525346137505</v>
      </c>
      <c r="AC13" s="5">
        <f>Results_proc_ener!R13</f>
        <v>15.802648639386</v>
      </c>
      <c r="AD13" s="5">
        <f>Results_proc_ener!S13</f>
        <v>92.205012952242569</v>
      </c>
      <c r="AE13" s="5">
        <f>Results_proc_ener!T13</f>
        <v>0</v>
      </c>
    </row>
    <row r="14" spans="1:33" x14ac:dyDescent="0.25">
      <c r="A14" s="5" t="s">
        <v>7</v>
      </c>
      <c r="B14" s="5" t="str">
        <f t="shared" si="0"/>
        <v>Mod-Nom</v>
      </c>
      <c r="C14" s="5" t="str">
        <f t="shared" si="1"/>
        <v>Mod</v>
      </c>
      <c r="D14" s="5" t="str">
        <f t="shared" si="2"/>
        <v>Nom</v>
      </c>
      <c r="E14" s="5" t="s">
        <v>11</v>
      </c>
      <c r="F14" s="5" t="s">
        <v>13</v>
      </c>
      <c r="G14" s="5"/>
      <c r="H14" s="5"/>
      <c r="I14" s="5" cm="1">
        <f t="array" ref="I14">_xlfn.SWITCH(F14,"R",_xlfn.XLOOKUP(E14&amp;"|"&amp;B14,
        Calculate_cap_emi!$I$14:$I$21&amp;"|"&amp;Calculate_cap_emi!$L$14:$L$21,
        Calculate_cap_emi!$W$14:$W$21, "Not found", 0),"Rb",_xlfn.XLOOKUP(E14&amp;"|"&amp;B14,
        Calculate_cap_emi!$I$14:$I$21&amp;"|"&amp;Calculate_cap_emi!$L$14:$L$21,
        Calculate_cap_emi!$Y$14:$Y$21, "Not found", 0),"Rl",_xlfn.XLOOKUP(E14&amp;"|"&amp;B14,
        Calculate_cap_emi!$I$14:$I$21&amp;"|"&amp;Calculate_cap_emi!$L$14:$L$21,
        Calculate_cap_emi!$Z$14:$Z$21, "Not found", 0),0)</f>
        <v>15.5</v>
      </c>
      <c r="J14" s="5"/>
      <c r="K14" s="5"/>
      <c r="L14" s="5" cm="1">
        <f t="array" ref="L14">_xlfn.SWITCH(F14,"R",_xlfn.XLOOKUP(E14&amp;"|"&amp;B14,
        Calculate_cap_emi!$I$14:$I$21&amp;"|"&amp;Calculate_cap_emi!$L$14:$L$21,
        Calculate_cap_emi!$AC$14:$AC$21, "Not found", 0),"Rb",_xlfn.XLOOKUP(E14&amp;"|"&amp;B14,
        Calculate_cap_emi!$I$14:$I$21&amp;"|"&amp;Calculate_cap_emi!$L$14:$L$21,
        Calculate_cap_emi!$AE$14:$AE$21, "Not found", 0),"Rl",_xlfn.XLOOKUP(E14&amp;"|"&amp;B14,
        Calculate_cap_emi!$I$14:$I$21&amp;"|"&amp;Calculate_cap_emi!$L$14:$L$21,
        Calculate_cap_emi!$AF$14:$AF$21, "Not found", 0),"HP",_xlfn.XLOOKUP(E14&amp;"|"&amp;B14,
        Calculate_cap_emi!$I$14:$I$21&amp;"|"&amp;Calculate_cap_emi!$L$14:$L$21,
        Calculate_cap_emi!$AD$14:$AD$21, "Not found", 0),"HPl",_xlfn.XLOOKUP(E14&amp;"|"&amp;B14,
        Calculate_cap_emi!$I$14:$I$21&amp;"|"&amp;Calculate_cap_emi!$L$14:$L$21,
        Calculate_cap_emi!$AG$14:$AG$21, "Not found", 0),"Missing")</f>
        <v>1446.5990676803744</v>
      </c>
      <c r="M14" s="5"/>
      <c r="N14" s="5"/>
      <c r="O14" s="5"/>
      <c r="P14" s="5"/>
      <c r="Q14" s="5" cm="1">
        <f t="array" ref="Q14">_xlfn.SWITCH(F14,"R",_xlfn.XLOOKUP(E14&amp;"|"&amp;B14,
        Calculate_cap_emi!$I$14:$I$21&amp;"|"&amp;Calculate_cap_emi!$L$14:$L$21,
        Calculate_cap_emi!$AJ$14:$AJ$21, "Not found", 0),"Rb",_xlfn.XLOOKUP(E14&amp;"|"&amp;B14,
        Calculate_cap_emi!$I$14:$I$21&amp;"|"&amp;Calculate_cap_emi!$L$14:$L$21,
        Calculate_cap_emi!$AL$14:$AL$21, "Not found", 0),"Rl",_xlfn.XLOOKUP(E14&amp;"|"&amp;B14,
        Calculate_cap_emi!$I$14:$I$21&amp;"|"&amp;Calculate_cap_emi!$L$14:$L$21,
        Calculate_cap_emi!$AM$14:$AM$21, "Not found", 0),"HP",_xlfn.XLOOKUP(E14&amp;"|"&amp;B14,
        Calculate_cap_emi!$I$14:$I$21&amp;"|"&amp;Calculate_cap_emi!$L$14:$L$21,
        Calculate_cap_emi!$AK$14:$AK$21, "Not found", 0),"HPl",_xlfn.XLOOKUP(E14&amp;"|"&amp;B14,
        Calculate_cap_emi!$I$14:$I$21&amp;"|"&amp;Calculate_cap_emi!$L$14:$L$21,
        Calculate_cap_emi!$AN$14:$AN$21, "Not found", 0),"Missing")</f>
        <v>68.835740867682361</v>
      </c>
      <c r="R14" s="5" cm="1">
        <f t="array" ref="R14">_xlfn.SWITCH(F14,"R",_xlfn.XLOOKUP(E14&amp;"|"&amp;B14,
        Calculate_cap_emi!$I$14:$I$21&amp;"|"&amp;Calculate_cap_emi!$L$14:$L$21,
        Calculate_cap_emi!$AQ$14:$AQ$21, "Not found", 0),"Rb",_xlfn.XLOOKUP(E14&amp;"|"&amp;B14,
        Calculate_cap_emi!$I$14:$I$21&amp;"|"&amp;Calculate_cap_emi!$L$14:$L$21,
        Calculate_cap_emi!$AS$14:$AS$21, "Not found", 0),"Rl",_xlfn.XLOOKUP(E14&amp;"|"&amp;B14,
        Calculate_cap_emi!$I$14:$I$21&amp;"|"&amp;Calculate_cap_emi!$L$14:$L$21,
        Calculate_cap_emi!$AT$14:$AT$21, "Not found", 0),"HP",_xlfn.XLOOKUP(E14&amp;"|"&amp;B14,
        Calculate_cap_emi!$I$14:$I$21&amp;"|"&amp;Calculate_cap_emi!$L$14:$L$21,
        Calculate_cap_emi!$AR$14:$AR$21, "Not found", 0),"HPl",_xlfn.XLOOKUP(E14&amp;"|"&amp;B14,
        Calculate_cap_emi!$I$14:$I$21&amp;"|"&amp;Calculate_cap_emi!$L$14:$L$21,
        Calculate_cap_emi!$AU$14:$AU$21, "Not found", 0),"Missing")</f>
        <v>7.4920913803830116</v>
      </c>
      <c r="S14" s="5" cm="1">
        <f t="array" ref="S14">_xlfn.SWITCH(F14,"R",_xlfn.XLOOKUP(E14&amp;"|"&amp;B14,
        Calculate_cap_emi!$I$14:$I$21&amp;"|"&amp;Calculate_cap_emi!$L$14:$L$21,
        Calculate_cap_emi!$AX$14:$AX$21, "Not found", 0),"Rb",_xlfn.XLOOKUP(E14&amp;"|"&amp;B14,
        Calculate_cap_emi!$I$14:$I$21&amp;"|"&amp;Calculate_cap_emi!$L$14:$L$21,
        Calculate_cap_emi!$AZ$14:$AZ$21, "Not found", 0),"Rl",_xlfn.XLOOKUP(E14&amp;"|"&amp;B14,
        Calculate_cap_emi!$I$14:$I$21&amp;"|"&amp;Calculate_cap_emi!$L$14:$L$21,
        Calculate_cap_emi!$BA$14:$BA$21, "Not found", 0),"HP",_xlfn.XLOOKUP(E14&amp;"|"&amp;B14,
        Calculate_cap_emi!$I$14:$I$21&amp;"|"&amp;Calculate_cap_emi!$L$14:$L$21,
        Calculate_cap_emi!$AY$14:$AY$21, "Not found", 0),"HPl",_xlfn.XLOOKUP(E14&amp;"|"&amp;B14,
        Calculate_cap_emi!$I$14:$I$21&amp;"|"&amp;Calculate_cap_emi!$L$14:$L$21,
        Calculate_cap_emi!$BB$14:$BB$21, "Not found", 0),"Missing")</f>
        <v>81.53554632955175</v>
      </c>
      <c r="T14" s="5" cm="1">
        <f t="array" ref="T14">_xlfn.SWITCH(F14,"R",_xlfn.XLOOKUP(E14&amp;"|"&amp;B14,
        Calculate_cap_emi!$I$14:$I$21&amp;"|"&amp;Calculate_cap_emi!$L$14:$L$21,
        Calculate_cap_emi!$BE$14:$BE$21, "Not found", 0),"Rb",_xlfn.XLOOKUP(E14&amp;"|"&amp;B14,
        Calculate_cap_emi!$I$14:$I$21&amp;"|"&amp;Calculate_cap_emi!$L$14:$L$21,
        Calculate_cap_emi!$BG$14:$BG$21, "Not found", 0),"Rl",_xlfn.XLOOKUP(E14&amp;"|"&amp;B14,
        Calculate_cap_emi!$I$14:$I$21&amp;"|"&amp;Calculate_cap_emi!$L$14:$L$21,
        Calculate_cap_emi!$BH$14:$BH$21, "Not found", 0),"HP",_xlfn.XLOOKUP(E14&amp;"|"&amp;B14,
        Calculate_cap_emi!$I$14:$I$21&amp;"|"&amp;Calculate_cap_emi!$L$14:$L$21,
        Calculate_cap_emi!$BF$14:$BF$21, "Not found", 0),"HPl",_xlfn.XLOOKUP(E14&amp;"|"&amp;B14,
        Calculate_cap_emi!$I$14:$I$21&amp;"|"&amp;Calculate_cap_emi!$L$14:$L$21,
        Calculate_cap_emi!$BI$14:$BI$21, "Not found", 0),"Missing")</f>
        <v>0</v>
      </c>
      <c r="U14" s="5" cm="1">
        <f t="array" ref="U14">_xlfn.SWITCH(F14,"R",_xlfn.XLOOKUP(E14&amp;"|"&amp;B14,
        Calculate_cap_emi_sens!$I$14:$I$21&amp;"|"&amp;Calculate_cap_emi_sens!$L$14:$L$21,
        Calculate_cap_emi_sens!$AX$14:$AX$21, "Not found", 0),"Rb",_xlfn.XLOOKUP(E14&amp;"|"&amp;B14,
        Calculate_cap_emi_sens!$I$14:$I$21&amp;"|"&amp;Calculate_cap_emi_sens!$L$14:$L$21,
        Calculate_cap_emi_sens!$AZ$14:$AZ$21, "Not found", 0),"Rl",_xlfn.XLOOKUP(E14&amp;"|"&amp;B14,
        Calculate_cap_emi_sens!$I$14:$I$21&amp;"|"&amp;Calculate_cap_emi_sens!$L$14:$L$21,
        Calculate_cap_emi_sens!$BA$14:$BA$21, "Not found", 0),"HP",_xlfn.XLOOKUP(E14&amp;"|"&amp;B14,
        Calculate_cap_emi_sens!$I$14:$I$21&amp;"|"&amp;Calculate_cap_emi_sens!$L$14:$L$21,
        Calculate_cap_emi_sens!$AY$14:$AY$21, "Not found", 0),"HPl",_xlfn.XLOOKUP(E14&amp;"|"&amp;B14,
        Calculate_cap_emi_sens!$I$14:$I$21&amp;"|"&amp;Calculate_cap_emi_sens!$L$14:$L$21,
        Calculate_cap_emi_sens!$BB$14:$BB$21, "Not found", 0),"Missing")</f>
        <v>81.53554632955175</v>
      </c>
      <c r="V14" s="5" cm="1">
        <f t="array" ref="V14">_xlfn.SWITCH(F14,"R",_xlfn.XLOOKUP(E14&amp;"|"&amp;B14,
        Calculate_cap_emi_sens!$I$14:$I$21&amp;"|"&amp;Calculate_cap_emi_sens!$L$14:$L$21,
        Calculate_cap_emi_sens!$BE$14:$BE$21, "Not found", 0),"Rb",_xlfn.XLOOKUP(E14&amp;"|"&amp;B14,
        Calculate_cap_emi_sens!$I$14:$I$21&amp;"|"&amp;Calculate_cap_emi_sens!$L$14:$L$21,
        Calculate_cap_emi_sens!$BG$14:$BG$21, "Not found", 0),"Rl",_xlfn.XLOOKUP(E14&amp;"|"&amp;B14,
        Calculate_cap_emi_sens!$I$14:$I$21&amp;"|"&amp;Calculate_cap_emi_sens!$L$14:$L$21,
        Calculate_cap_emi_sens!$BH$14:$BH$21, "Not found", 0),"HP",_xlfn.XLOOKUP(E14&amp;"|"&amp;B14,
        Calculate_cap_emi_sens!$I$14:$I$21&amp;"|"&amp;Calculate_cap_emi_sens!$L$14:$L$21,
        Calculate_cap_emi_sens!$BF$14:$BF$21, "Not found", 0),"HPl",_xlfn.XLOOKUP(E14&amp;"|"&amp;B14,
        Calculate_cap_emi_sens!$I$14:$I$21&amp;"|"&amp;Calculate_cap_emi_sens!$L$14:$L$21,
        Calculate_cap_emi_sens!$BI$14:$BI$21, "Not found", 0),"Missing")</f>
        <v>0</v>
      </c>
      <c r="W14" s="5">
        <f>Results_proc_ener!L14</f>
        <v>38005.498135729693</v>
      </c>
      <c r="X14" s="5">
        <f>Results_proc_ener!M14</f>
        <v>0</v>
      </c>
      <c r="Y14" s="5">
        <f>Results_proc_ener!N14</f>
        <v>0</v>
      </c>
      <c r="Z14" s="5">
        <f>Results_proc_ener!O14</f>
        <v>0</v>
      </c>
      <c r="AA14" s="5">
        <f>Results_proc_ener!P14</f>
        <v>0</v>
      </c>
      <c r="AB14" s="5">
        <f>Results_proc_ener!Q14</f>
        <v>1457.8476468201452</v>
      </c>
      <c r="AC14" s="5">
        <f>Results_proc_ener!R14</f>
        <v>27.44478640952768</v>
      </c>
      <c r="AD14" s="5">
        <f>Results_proc_ener!S14</f>
        <v>158.69949774947469</v>
      </c>
      <c r="AE14" s="5">
        <f>Results_proc_ener!T14</f>
        <v>0</v>
      </c>
    </row>
    <row r="15" spans="1:33" x14ac:dyDescent="0.25">
      <c r="A15" s="5" t="s">
        <v>8</v>
      </c>
      <c r="B15" s="5" t="str">
        <f t="shared" si="0"/>
        <v>Mod-Nom</v>
      </c>
      <c r="C15" s="5" t="str">
        <f t="shared" si="1"/>
        <v>Mod</v>
      </c>
      <c r="D15" s="5" t="str">
        <f t="shared" si="2"/>
        <v>Nom</v>
      </c>
      <c r="E15" s="5" t="s">
        <v>11</v>
      </c>
      <c r="F15" s="5" t="s">
        <v>13</v>
      </c>
      <c r="G15" s="5"/>
      <c r="H15" s="5"/>
      <c r="I15" s="5" cm="1">
        <f t="array" ref="I15">_xlfn.SWITCH(F15,"R",_xlfn.XLOOKUP(E15&amp;"|"&amp;B15,
        Calculate_cap_emi!$I$14:$I$21&amp;"|"&amp;Calculate_cap_emi!$L$14:$L$21,
        Calculate_cap_emi!$W$14:$W$21, "Not found", 0),"Rb",_xlfn.XLOOKUP(E15&amp;"|"&amp;B15,
        Calculate_cap_emi!$I$14:$I$21&amp;"|"&amp;Calculate_cap_emi!$L$14:$L$21,
        Calculate_cap_emi!$Y$14:$Y$21, "Not found", 0),"Rl",_xlfn.XLOOKUP(E15&amp;"|"&amp;B15,
        Calculate_cap_emi!$I$14:$I$21&amp;"|"&amp;Calculate_cap_emi!$L$14:$L$21,
        Calculate_cap_emi!$Z$14:$Z$21, "Not found", 0),0)</f>
        <v>15.5</v>
      </c>
      <c r="J15" s="5"/>
      <c r="K15" s="5"/>
      <c r="L15" s="5" cm="1">
        <f t="array" ref="L15">_xlfn.SWITCH(F15,"R",_xlfn.XLOOKUP(E15&amp;"|"&amp;B15,
        Calculate_cap_emi!$I$14:$I$21&amp;"|"&amp;Calculate_cap_emi!$L$14:$L$21,
        Calculate_cap_emi!$AC$14:$AC$21, "Not found", 0),"Rb",_xlfn.XLOOKUP(E15&amp;"|"&amp;B15,
        Calculate_cap_emi!$I$14:$I$21&amp;"|"&amp;Calculate_cap_emi!$L$14:$L$21,
        Calculate_cap_emi!$AE$14:$AE$21, "Not found", 0),"Rl",_xlfn.XLOOKUP(E15&amp;"|"&amp;B15,
        Calculate_cap_emi!$I$14:$I$21&amp;"|"&amp;Calculate_cap_emi!$L$14:$L$21,
        Calculate_cap_emi!$AF$14:$AF$21, "Not found", 0),"HP",_xlfn.XLOOKUP(E15&amp;"|"&amp;B15,
        Calculate_cap_emi!$I$14:$I$21&amp;"|"&amp;Calculate_cap_emi!$L$14:$L$21,
        Calculate_cap_emi!$AD$14:$AD$21, "Not found", 0),"HPl",_xlfn.XLOOKUP(E15&amp;"|"&amp;B15,
        Calculate_cap_emi!$I$14:$I$21&amp;"|"&amp;Calculate_cap_emi!$L$14:$L$21,
        Calculate_cap_emi!$AG$14:$AG$21, "Not found", 0),"Missing")</f>
        <v>1446.5990676803744</v>
      </c>
      <c r="M15" s="5"/>
      <c r="N15" s="5"/>
      <c r="O15" s="5"/>
      <c r="P15" s="5"/>
      <c r="Q15" s="5" cm="1">
        <f t="array" ref="Q15">_xlfn.SWITCH(F15,"R",_xlfn.XLOOKUP(E15&amp;"|"&amp;B15,
        Calculate_cap_emi!$I$14:$I$21&amp;"|"&amp;Calculate_cap_emi!$L$14:$L$21,
        Calculate_cap_emi!$AJ$14:$AJ$21, "Not found", 0),"Rb",_xlfn.XLOOKUP(E15&amp;"|"&amp;B15,
        Calculate_cap_emi!$I$14:$I$21&amp;"|"&amp;Calculate_cap_emi!$L$14:$L$21,
        Calculate_cap_emi!$AL$14:$AL$21, "Not found", 0),"Rl",_xlfn.XLOOKUP(E15&amp;"|"&amp;B15,
        Calculate_cap_emi!$I$14:$I$21&amp;"|"&amp;Calculate_cap_emi!$L$14:$L$21,
        Calculate_cap_emi!$AM$14:$AM$21, "Not found", 0),"HP",_xlfn.XLOOKUP(E15&amp;"|"&amp;B15,
        Calculate_cap_emi!$I$14:$I$21&amp;"|"&amp;Calculate_cap_emi!$L$14:$L$21,
        Calculate_cap_emi!$AK$14:$AK$21, "Not found", 0),"HPl",_xlfn.XLOOKUP(E15&amp;"|"&amp;B15,
        Calculate_cap_emi!$I$14:$I$21&amp;"|"&amp;Calculate_cap_emi!$L$14:$L$21,
        Calculate_cap_emi!$AN$14:$AN$21, "Not found", 0),"Missing")</f>
        <v>68.835740867682361</v>
      </c>
      <c r="R15" s="5" cm="1">
        <f t="array" ref="R15">_xlfn.SWITCH(F15,"R",_xlfn.XLOOKUP(E15&amp;"|"&amp;B15,
        Calculate_cap_emi!$I$14:$I$21&amp;"|"&amp;Calculate_cap_emi!$L$14:$L$21,
        Calculate_cap_emi!$AQ$14:$AQ$21, "Not found", 0),"Rb",_xlfn.XLOOKUP(E15&amp;"|"&amp;B15,
        Calculate_cap_emi!$I$14:$I$21&amp;"|"&amp;Calculate_cap_emi!$L$14:$L$21,
        Calculate_cap_emi!$AS$14:$AS$21, "Not found", 0),"Rl",_xlfn.XLOOKUP(E15&amp;"|"&amp;B15,
        Calculate_cap_emi!$I$14:$I$21&amp;"|"&amp;Calculate_cap_emi!$L$14:$L$21,
        Calculate_cap_emi!$AT$14:$AT$21, "Not found", 0),"HP",_xlfn.XLOOKUP(E15&amp;"|"&amp;B15,
        Calculate_cap_emi!$I$14:$I$21&amp;"|"&amp;Calculate_cap_emi!$L$14:$L$21,
        Calculate_cap_emi!$AR$14:$AR$21, "Not found", 0),"HPl",_xlfn.XLOOKUP(E15&amp;"|"&amp;B15,
        Calculate_cap_emi!$I$14:$I$21&amp;"|"&amp;Calculate_cap_emi!$L$14:$L$21,
        Calculate_cap_emi!$AU$14:$AU$21, "Not found", 0),"Missing")</f>
        <v>7.4920913803830116</v>
      </c>
      <c r="S15" s="5" cm="1">
        <f t="array" ref="S15">_xlfn.SWITCH(F15,"R",_xlfn.XLOOKUP(E15&amp;"|"&amp;B15,
        Calculate_cap_emi!$I$14:$I$21&amp;"|"&amp;Calculate_cap_emi!$L$14:$L$21,
        Calculate_cap_emi!$AX$14:$AX$21, "Not found", 0),"Rb",_xlfn.XLOOKUP(E15&amp;"|"&amp;B15,
        Calculate_cap_emi!$I$14:$I$21&amp;"|"&amp;Calculate_cap_emi!$L$14:$L$21,
        Calculate_cap_emi!$AZ$14:$AZ$21, "Not found", 0),"Rl",_xlfn.XLOOKUP(E15&amp;"|"&amp;B15,
        Calculate_cap_emi!$I$14:$I$21&amp;"|"&amp;Calculate_cap_emi!$L$14:$L$21,
        Calculate_cap_emi!$BA$14:$BA$21, "Not found", 0),"HP",_xlfn.XLOOKUP(E15&amp;"|"&amp;B15,
        Calculate_cap_emi!$I$14:$I$21&amp;"|"&amp;Calculate_cap_emi!$L$14:$L$21,
        Calculate_cap_emi!$AY$14:$AY$21, "Not found", 0),"HPl",_xlfn.XLOOKUP(E15&amp;"|"&amp;B15,
        Calculate_cap_emi!$I$14:$I$21&amp;"|"&amp;Calculate_cap_emi!$L$14:$L$21,
        Calculate_cap_emi!$BB$14:$BB$21, "Not found", 0),"Missing")</f>
        <v>81.53554632955175</v>
      </c>
      <c r="T15" s="5" cm="1">
        <f t="array" ref="T15">_xlfn.SWITCH(F15,"R",_xlfn.XLOOKUP(E15&amp;"|"&amp;B15,
        Calculate_cap_emi!$I$14:$I$21&amp;"|"&amp;Calculate_cap_emi!$L$14:$L$21,
        Calculate_cap_emi!$BE$14:$BE$21, "Not found", 0),"Rb",_xlfn.XLOOKUP(E15&amp;"|"&amp;B15,
        Calculate_cap_emi!$I$14:$I$21&amp;"|"&amp;Calculate_cap_emi!$L$14:$L$21,
        Calculate_cap_emi!$BG$14:$BG$21, "Not found", 0),"Rl",_xlfn.XLOOKUP(E15&amp;"|"&amp;B15,
        Calculate_cap_emi!$I$14:$I$21&amp;"|"&amp;Calculate_cap_emi!$L$14:$L$21,
        Calculate_cap_emi!$BH$14:$BH$21, "Not found", 0),"HP",_xlfn.XLOOKUP(E15&amp;"|"&amp;B15,
        Calculate_cap_emi!$I$14:$I$21&amp;"|"&amp;Calculate_cap_emi!$L$14:$L$21,
        Calculate_cap_emi!$BF$14:$BF$21, "Not found", 0),"HPl",_xlfn.XLOOKUP(E15&amp;"|"&amp;B15,
        Calculate_cap_emi!$I$14:$I$21&amp;"|"&amp;Calculate_cap_emi!$L$14:$L$21,
        Calculate_cap_emi!$BI$14:$BI$21, "Not found", 0),"Missing")</f>
        <v>0</v>
      </c>
      <c r="U15" s="5" cm="1">
        <f t="array" ref="U15">_xlfn.SWITCH(F15,"R",_xlfn.XLOOKUP(E15&amp;"|"&amp;B15,
        Calculate_cap_emi_sens!$I$14:$I$21&amp;"|"&amp;Calculate_cap_emi_sens!$L$14:$L$21,
        Calculate_cap_emi_sens!$AX$14:$AX$21, "Not found", 0),"Rb",_xlfn.XLOOKUP(E15&amp;"|"&amp;B15,
        Calculate_cap_emi_sens!$I$14:$I$21&amp;"|"&amp;Calculate_cap_emi_sens!$L$14:$L$21,
        Calculate_cap_emi_sens!$AZ$14:$AZ$21, "Not found", 0),"Rl",_xlfn.XLOOKUP(E15&amp;"|"&amp;B15,
        Calculate_cap_emi_sens!$I$14:$I$21&amp;"|"&amp;Calculate_cap_emi_sens!$L$14:$L$21,
        Calculate_cap_emi_sens!$BA$14:$BA$21, "Not found", 0),"HP",_xlfn.XLOOKUP(E15&amp;"|"&amp;B15,
        Calculate_cap_emi_sens!$I$14:$I$21&amp;"|"&amp;Calculate_cap_emi_sens!$L$14:$L$21,
        Calculate_cap_emi_sens!$AY$14:$AY$21, "Not found", 0),"HPl",_xlfn.XLOOKUP(E15&amp;"|"&amp;B15,
        Calculate_cap_emi_sens!$I$14:$I$21&amp;"|"&amp;Calculate_cap_emi_sens!$L$14:$L$21,
        Calculate_cap_emi_sens!$BB$14:$BB$21, "Not found", 0),"Missing")</f>
        <v>81.53554632955175</v>
      </c>
      <c r="V15" s="5" cm="1">
        <f t="array" ref="V15">_xlfn.SWITCH(F15,"R",_xlfn.XLOOKUP(E15&amp;"|"&amp;B15,
        Calculate_cap_emi_sens!$I$14:$I$21&amp;"|"&amp;Calculate_cap_emi_sens!$L$14:$L$21,
        Calculate_cap_emi_sens!$BE$14:$BE$21, "Not found", 0),"Rb",_xlfn.XLOOKUP(E15&amp;"|"&amp;B15,
        Calculate_cap_emi_sens!$I$14:$I$21&amp;"|"&amp;Calculate_cap_emi_sens!$L$14:$L$21,
        Calculate_cap_emi_sens!$BG$14:$BG$21, "Not found", 0),"Rl",_xlfn.XLOOKUP(E15&amp;"|"&amp;B15,
        Calculate_cap_emi_sens!$I$14:$I$21&amp;"|"&amp;Calculate_cap_emi_sens!$L$14:$L$21,
        Calculate_cap_emi_sens!$BH$14:$BH$21, "Not found", 0),"HP",_xlfn.XLOOKUP(E15&amp;"|"&amp;B15,
        Calculate_cap_emi_sens!$I$14:$I$21&amp;"|"&amp;Calculate_cap_emi_sens!$L$14:$L$21,
        Calculate_cap_emi_sens!$BF$14:$BF$21, "Not found", 0),"HPl",_xlfn.XLOOKUP(E15&amp;"|"&amp;B15,
        Calculate_cap_emi_sens!$I$14:$I$21&amp;"|"&amp;Calculate_cap_emi_sens!$L$14:$L$21,
        Calculate_cap_emi_sens!$BI$14:$BI$21, "Not found", 0),"Missing")</f>
        <v>0</v>
      </c>
      <c r="W15" s="5">
        <f>Results_proc_ener!L15</f>
        <v>38005.498135729693</v>
      </c>
      <c r="X15" s="5">
        <f>Results_proc_ener!M15</f>
        <v>0</v>
      </c>
      <c r="Y15" s="5">
        <f>Results_proc_ener!N15</f>
        <v>0</v>
      </c>
      <c r="Z15" s="5">
        <f>Results_proc_ener!O15</f>
        <v>0</v>
      </c>
      <c r="AA15" s="5">
        <f>Results_proc_ener!P15</f>
        <v>0</v>
      </c>
      <c r="AB15" s="5">
        <f>Results_proc_ener!Q15</f>
        <v>1457.8476468201452</v>
      </c>
      <c r="AC15" s="5">
        <f>Results_proc_ener!R15</f>
        <v>27.44478640952768</v>
      </c>
      <c r="AD15" s="5">
        <f>Results_proc_ener!S15</f>
        <v>158.69949774947469</v>
      </c>
      <c r="AE15" s="5">
        <f>Results_proc_ener!T15</f>
        <v>0</v>
      </c>
    </row>
    <row r="16" spans="1:33" x14ac:dyDescent="0.25">
      <c r="A16" s="5" t="s">
        <v>9</v>
      </c>
      <c r="B16" s="5" t="str">
        <f t="shared" si="0"/>
        <v>Mod-H1</v>
      </c>
      <c r="C16" s="5" t="str">
        <f t="shared" si="1"/>
        <v>Mod</v>
      </c>
      <c r="D16" s="5" t="str">
        <f t="shared" si="2"/>
        <v>H1</v>
      </c>
      <c r="E16" s="5" t="s">
        <v>11</v>
      </c>
      <c r="F16" s="5" t="s">
        <v>13</v>
      </c>
      <c r="G16" s="5"/>
      <c r="H16" s="5"/>
      <c r="I16" s="5" cm="1">
        <f t="array" ref="I16">_xlfn.SWITCH(F16,"R",_xlfn.XLOOKUP(E16&amp;"|"&amp;B16,
        Calculate_cap_emi!$I$14:$I$21&amp;"|"&amp;Calculate_cap_emi!$L$14:$L$21,
        Calculate_cap_emi!$W$14:$W$21, "Not found", 0),"Rb",_xlfn.XLOOKUP(E16&amp;"|"&amp;B16,
        Calculate_cap_emi!$I$14:$I$21&amp;"|"&amp;Calculate_cap_emi!$L$14:$L$21,
        Calculate_cap_emi!$Y$14:$Y$21, "Not found", 0),"Rl",_xlfn.XLOOKUP(E16&amp;"|"&amp;B16,
        Calculate_cap_emi!$I$14:$I$21&amp;"|"&amp;Calculate_cap_emi!$L$14:$L$21,
        Calculate_cap_emi!$Z$14:$Z$21, "Not found", 0),0)</f>
        <v>12.5</v>
      </c>
      <c r="J16" s="5"/>
      <c r="K16" s="5"/>
      <c r="L16" s="5" cm="1">
        <f t="array" ref="L16">_xlfn.SWITCH(F16,"R",_xlfn.XLOOKUP(E16&amp;"|"&amp;B16,
        Calculate_cap_emi!$I$14:$I$21&amp;"|"&amp;Calculate_cap_emi!$L$14:$L$21,
        Calculate_cap_emi!$AC$14:$AC$21, "Not found", 0),"Rb",_xlfn.XLOOKUP(E16&amp;"|"&amp;B16,
        Calculate_cap_emi!$I$14:$I$21&amp;"|"&amp;Calculate_cap_emi!$L$14:$L$21,
        Calculate_cap_emi!$AE$14:$AE$21, "Not found", 0),"Rl",_xlfn.XLOOKUP(E16&amp;"|"&amp;B16,
        Calculate_cap_emi!$I$14:$I$21&amp;"|"&amp;Calculate_cap_emi!$L$14:$L$21,
        Calculate_cap_emi!$AF$14:$AF$21, "Not found", 0),"HP",_xlfn.XLOOKUP(E16&amp;"|"&amp;B16,
        Calculate_cap_emi!$I$14:$I$21&amp;"|"&amp;Calculate_cap_emi!$L$14:$L$21,
        Calculate_cap_emi!$AD$14:$AD$21, "Not found", 0),"HPl",_xlfn.XLOOKUP(E16&amp;"|"&amp;B16,
        Calculate_cap_emi!$I$14:$I$21&amp;"|"&amp;Calculate_cap_emi!$L$14:$L$21,
        Calculate_cap_emi!$AG$14:$AG$21, "Not found", 0),"Missing")</f>
        <v>1309.3779031439901</v>
      </c>
      <c r="M16" s="5"/>
      <c r="N16" s="5"/>
      <c r="O16" s="5"/>
      <c r="P16" s="5"/>
      <c r="Q16" s="5" cm="1">
        <f t="array" ref="Q16">_xlfn.SWITCH(F16,"R",_xlfn.XLOOKUP(E16&amp;"|"&amp;B16,
        Calculate_cap_emi!$I$14:$I$21&amp;"|"&amp;Calculate_cap_emi!$L$14:$L$21,
        Calculate_cap_emi!$AJ$14:$AJ$21, "Not found", 0),"Rb",_xlfn.XLOOKUP(E16&amp;"|"&amp;B16,
        Calculate_cap_emi!$I$14:$I$21&amp;"|"&amp;Calculate_cap_emi!$L$14:$L$21,
        Calculate_cap_emi!$AL$14:$AL$21, "Not found", 0),"Rl",_xlfn.XLOOKUP(E16&amp;"|"&amp;B16,
        Calculate_cap_emi!$I$14:$I$21&amp;"|"&amp;Calculate_cap_emi!$L$14:$L$21,
        Calculate_cap_emi!$AM$14:$AM$21, "Not found", 0),"HP",_xlfn.XLOOKUP(E16&amp;"|"&amp;B16,
        Calculate_cap_emi!$I$14:$I$21&amp;"|"&amp;Calculate_cap_emi!$L$14:$L$21,
        Calculate_cap_emi!$AK$14:$AK$21, "Not found", 0),"HPl",_xlfn.XLOOKUP(E16&amp;"|"&amp;B16,
        Calculate_cap_emi!$I$14:$I$21&amp;"|"&amp;Calculate_cap_emi!$L$14:$L$21,
        Calculate_cap_emi!$AN$14:$AN$21, "Not found", 0),"Missing")</f>
        <v>59.824304378999997</v>
      </c>
      <c r="R16" s="5" cm="1">
        <f t="array" ref="R16">_xlfn.SWITCH(F16,"R",_xlfn.XLOOKUP(E16&amp;"|"&amp;B16,
        Calculate_cap_emi!$I$14:$I$21&amp;"|"&amp;Calculate_cap_emi!$L$14:$L$21,
        Calculate_cap_emi!$AQ$14:$AQ$21, "Not found", 0),"Rb",_xlfn.XLOOKUP(E16&amp;"|"&amp;B16,
        Calculate_cap_emi!$I$14:$I$21&amp;"|"&amp;Calculate_cap_emi!$L$14:$L$21,
        Calculate_cap_emi!$AS$14:$AS$21, "Not found", 0),"Rl",_xlfn.XLOOKUP(E16&amp;"|"&amp;B16,
        Calculate_cap_emi!$I$14:$I$21&amp;"|"&amp;Calculate_cap_emi!$L$14:$L$21,
        Calculate_cap_emi!$AT$14:$AT$21, "Not found", 0),"HP",_xlfn.XLOOKUP(E16&amp;"|"&amp;B16,
        Calculate_cap_emi!$I$14:$I$21&amp;"|"&amp;Calculate_cap_emi!$L$14:$L$21,
        Calculate_cap_emi!$AR$14:$AR$21, "Not found", 0),"HPl",_xlfn.XLOOKUP(E16&amp;"|"&amp;B16,
        Calculate_cap_emi!$I$14:$I$21&amp;"|"&amp;Calculate_cap_emi!$L$14:$L$21,
        Calculate_cap_emi!$AU$14:$AU$21, "Not found", 0),"Missing")</f>
        <v>7.1352552308845398</v>
      </c>
      <c r="S16" s="5" cm="1">
        <f t="array" ref="S16">_xlfn.SWITCH(F16,"R",_xlfn.XLOOKUP(E16&amp;"|"&amp;B16,
        Calculate_cap_emi!$I$14:$I$21&amp;"|"&amp;Calculate_cap_emi!$L$14:$L$21,
        Calculate_cap_emi!$AX$14:$AX$21, "Not found", 0),"Rb",_xlfn.XLOOKUP(E16&amp;"|"&amp;B16,
        Calculate_cap_emi!$I$14:$I$21&amp;"|"&amp;Calculate_cap_emi!$L$14:$L$21,
        Calculate_cap_emi!$AZ$14:$AZ$21, "Not found", 0),"Rl",_xlfn.XLOOKUP(E16&amp;"|"&amp;B16,
        Calculate_cap_emi!$I$14:$I$21&amp;"|"&amp;Calculate_cap_emi!$L$14:$L$21,
        Calculate_cap_emi!$BA$14:$BA$21, "Not found", 0),"HP",_xlfn.XLOOKUP(E16&amp;"|"&amp;B16,
        Calculate_cap_emi!$I$14:$I$21&amp;"|"&amp;Calculate_cap_emi!$L$14:$L$21,
        Calculate_cap_emi!$AY$14:$AY$21, "Not found", 0),"HPl",_xlfn.XLOOKUP(E16&amp;"|"&amp;B16,
        Calculate_cap_emi!$I$14:$I$21&amp;"|"&amp;Calculate_cap_emi!$L$14:$L$21,
        Calculate_cap_emi!$BB$14:$BB$21, "Not found", 0),"Missing")</f>
        <v>70.944295462723204</v>
      </c>
      <c r="T16" s="5" cm="1">
        <f t="array" ref="T16">_xlfn.SWITCH(F16,"R",_xlfn.XLOOKUP(E16&amp;"|"&amp;B16,
        Calculate_cap_emi!$I$14:$I$21&amp;"|"&amp;Calculate_cap_emi!$L$14:$L$21,
        Calculate_cap_emi!$BE$14:$BE$21, "Not found", 0),"Rb",_xlfn.XLOOKUP(E16&amp;"|"&amp;B16,
        Calculate_cap_emi!$I$14:$I$21&amp;"|"&amp;Calculate_cap_emi!$L$14:$L$21,
        Calculate_cap_emi!$BG$14:$BG$21, "Not found", 0),"Rl",_xlfn.XLOOKUP(E16&amp;"|"&amp;B16,
        Calculate_cap_emi!$I$14:$I$21&amp;"|"&amp;Calculate_cap_emi!$L$14:$L$21,
        Calculate_cap_emi!$BH$14:$BH$21, "Not found", 0),"HP",_xlfn.XLOOKUP(E16&amp;"|"&amp;B16,
        Calculate_cap_emi!$I$14:$I$21&amp;"|"&amp;Calculate_cap_emi!$L$14:$L$21,
        Calculate_cap_emi!$BF$14:$BF$21, "Not found", 0),"HPl",_xlfn.XLOOKUP(E16&amp;"|"&amp;B16,
        Calculate_cap_emi!$I$14:$I$21&amp;"|"&amp;Calculate_cap_emi!$L$14:$L$21,
        Calculate_cap_emi!$BI$14:$BI$21, "Not found", 0),"Missing")</f>
        <v>0</v>
      </c>
      <c r="U16" s="5" cm="1">
        <f t="array" ref="U16">_xlfn.SWITCH(F16,"R",_xlfn.XLOOKUP(E16&amp;"|"&amp;B16,
        Calculate_cap_emi_sens!$I$14:$I$21&amp;"|"&amp;Calculate_cap_emi_sens!$L$14:$L$21,
        Calculate_cap_emi_sens!$AX$14:$AX$21, "Not found", 0),"Rb",_xlfn.XLOOKUP(E16&amp;"|"&amp;B16,
        Calculate_cap_emi_sens!$I$14:$I$21&amp;"|"&amp;Calculate_cap_emi_sens!$L$14:$L$21,
        Calculate_cap_emi_sens!$AZ$14:$AZ$21, "Not found", 0),"Rl",_xlfn.XLOOKUP(E16&amp;"|"&amp;B16,
        Calculate_cap_emi_sens!$I$14:$I$21&amp;"|"&amp;Calculate_cap_emi_sens!$L$14:$L$21,
        Calculate_cap_emi_sens!$BA$14:$BA$21, "Not found", 0),"HP",_xlfn.XLOOKUP(E16&amp;"|"&amp;B16,
        Calculate_cap_emi_sens!$I$14:$I$21&amp;"|"&amp;Calculate_cap_emi_sens!$L$14:$L$21,
        Calculate_cap_emi_sens!$AY$14:$AY$21, "Not found", 0),"HPl",_xlfn.XLOOKUP(E16&amp;"|"&amp;B16,
        Calculate_cap_emi_sens!$I$14:$I$21&amp;"|"&amp;Calculate_cap_emi_sens!$L$14:$L$21,
        Calculate_cap_emi_sens!$BB$14:$BB$21, "Not found", 0),"Missing")</f>
        <v>70.944295462723204</v>
      </c>
      <c r="V16" s="5" cm="1">
        <f t="array" ref="V16">_xlfn.SWITCH(F16,"R",_xlfn.XLOOKUP(E16&amp;"|"&amp;B16,
        Calculate_cap_emi_sens!$I$14:$I$21&amp;"|"&amp;Calculate_cap_emi_sens!$L$14:$L$21,
        Calculate_cap_emi_sens!$BE$14:$BE$21, "Not found", 0),"Rb",_xlfn.XLOOKUP(E16&amp;"|"&amp;B16,
        Calculate_cap_emi_sens!$I$14:$I$21&amp;"|"&amp;Calculate_cap_emi_sens!$L$14:$L$21,
        Calculate_cap_emi_sens!$BG$14:$BG$21, "Not found", 0),"Rl",_xlfn.XLOOKUP(E16&amp;"|"&amp;B16,
        Calculate_cap_emi_sens!$I$14:$I$21&amp;"|"&amp;Calculate_cap_emi_sens!$L$14:$L$21,
        Calculate_cap_emi_sens!$BH$14:$BH$21, "Not found", 0),"HP",_xlfn.XLOOKUP(E16&amp;"|"&amp;B16,
        Calculate_cap_emi_sens!$I$14:$I$21&amp;"|"&amp;Calculate_cap_emi_sens!$L$14:$L$21,
        Calculate_cap_emi_sens!$BF$14:$BF$21, "Not found", 0),"HPl",_xlfn.XLOOKUP(E16&amp;"|"&amp;B16,
        Calculate_cap_emi_sens!$I$14:$I$21&amp;"|"&amp;Calculate_cap_emi_sens!$L$14:$L$21,
        Calculate_cap_emi_sens!$BI$14:$BI$21, "Not found", 0),"Missing")</f>
        <v>0</v>
      </c>
      <c r="W16" s="5">
        <f>Results_proc_ener!L16</f>
        <v>34317.338340491369</v>
      </c>
      <c r="X16" s="5">
        <f>Results_proc_ener!M16</f>
        <v>0</v>
      </c>
      <c r="Y16" s="5">
        <f>Results_proc_ener!N16</f>
        <v>0</v>
      </c>
      <c r="Z16" s="5">
        <f>Results_proc_ener!O16</f>
        <v>0</v>
      </c>
      <c r="AA16" s="5">
        <f>Results_proc_ener!P16</f>
        <v>0</v>
      </c>
      <c r="AB16" s="5">
        <f>Results_proc_ener!Q16</f>
        <v>1266.9976419549753</v>
      </c>
      <c r="AC16" s="5">
        <f>Results_proc_ener!R16</f>
        <v>24.953949385787915</v>
      </c>
      <c r="AD16" s="5">
        <f>Results_proc_ener!S16</f>
        <v>147.39442638406626</v>
      </c>
      <c r="AE16" s="5">
        <f>Results_proc_ener!T16</f>
        <v>0</v>
      </c>
    </row>
    <row r="17" spans="1:31" x14ac:dyDescent="0.25">
      <c r="A17" s="5" t="s">
        <v>10</v>
      </c>
      <c r="B17" s="5" t="str">
        <f t="shared" si="0"/>
        <v>Mod-H1</v>
      </c>
      <c r="C17" s="5" t="str">
        <f t="shared" si="1"/>
        <v>Mod</v>
      </c>
      <c r="D17" s="5" t="str">
        <f t="shared" si="2"/>
        <v>H1</v>
      </c>
      <c r="E17" s="5" t="s">
        <v>11</v>
      </c>
      <c r="F17" s="5" t="s">
        <v>13</v>
      </c>
      <c r="G17" s="5"/>
      <c r="H17" s="5"/>
      <c r="I17" s="5" cm="1">
        <f t="array" ref="I17">_xlfn.SWITCH(F17,"R",_xlfn.XLOOKUP(E17&amp;"|"&amp;B17,
        Calculate_cap_emi!$I$14:$I$21&amp;"|"&amp;Calculate_cap_emi!$L$14:$L$21,
        Calculate_cap_emi!$W$14:$W$21, "Not found", 0),"Rb",_xlfn.XLOOKUP(E17&amp;"|"&amp;B17,
        Calculate_cap_emi!$I$14:$I$21&amp;"|"&amp;Calculate_cap_emi!$L$14:$L$21,
        Calculate_cap_emi!$Y$14:$Y$21, "Not found", 0),"Rl",_xlfn.XLOOKUP(E17&amp;"|"&amp;B17,
        Calculate_cap_emi!$I$14:$I$21&amp;"|"&amp;Calculate_cap_emi!$L$14:$L$21,
        Calculate_cap_emi!$Z$14:$Z$21, "Not found", 0),0)</f>
        <v>12.5</v>
      </c>
      <c r="J17" s="5"/>
      <c r="K17" s="5"/>
      <c r="L17" s="5" cm="1">
        <f t="array" ref="L17">_xlfn.SWITCH(F17,"R",_xlfn.XLOOKUP(E17&amp;"|"&amp;B17,
        Calculate_cap_emi!$I$14:$I$21&amp;"|"&amp;Calculate_cap_emi!$L$14:$L$21,
        Calculate_cap_emi!$AC$14:$AC$21, "Not found", 0),"Rb",_xlfn.XLOOKUP(E17&amp;"|"&amp;B17,
        Calculate_cap_emi!$I$14:$I$21&amp;"|"&amp;Calculate_cap_emi!$L$14:$L$21,
        Calculate_cap_emi!$AE$14:$AE$21, "Not found", 0),"Rl",_xlfn.XLOOKUP(E17&amp;"|"&amp;B17,
        Calculate_cap_emi!$I$14:$I$21&amp;"|"&amp;Calculate_cap_emi!$L$14:$L$21,
        Calculate_cap_emi!$AF$14:$AF$21, "Not found", 0),"HP",_xlfn.XLOOKUP(E17&amp;"|"&amp;B17,
        Calculate_cap_emi!$I$14:$I$21&amp;"|"&amp;Calculate_cap_emi!$L$14:$L$21,
        Calculate_cap_emi!$AD$14:$AD$21, "Not found", 0),"HPl",_xlfn.XLOOKUP(E17&amp;"|"&amp;B17,
        Calculate_cap_emi!$I$14:$I$21&amp;"|"&amp;Calculate_cap_emi!$L$14:$L$21,
        Calculate_cap_emi!$AG$14:$AG$21, "Not found", 0),"Missing")</f>
        <v>1309.3779031439901</v>
      </c>
      <c r="M17" s="5"/>
      <c r="N17" s="5"/>
      <c r="O17" s="5"/>
      <c r="P17" s="5"/>
      <c r="Q17" s="5" cm="1">
        <f t="array" ref="Q17">_xlfn.SWITCH(F17,"R",_xlfn.XLOOKUP(E17&amp;"|"&amp;B17,
        Calculate_cap_emi!$I$14:$I$21&amp;"|"&amp;Calculate_cap_emi!$L$14:$L$21,
        Calculate_cap_emi!$AJ$14:$AJ$21, "Not found", 0),"Rb",_xlfn.XLOOKUP(E17&amp;"|"&amp;B17,
        Calculate_cap_emi!$I$14:$I$21&amp;"|"&amp;Calculate_cap_emi!$L$14:$L$21,
        Calculate_cap_emi!$AL$14:$AL$21, "Not found", 0),"Rl",_xlfn.XLOOKUP(E17&amp;"|"&amp;B17,
        Calculate_cap_emi!$I$14:$I$21&amp;"|"&amp;Calculate_cap_emi!$L$14:$L$21,
        Calculate_cap_emi!$AM$14:$AM$21, "Not found", 0),"HP",_xlfn.XLOOKUP(E17&amp;"|"&amp;B17,
        Calculate_cap_emi!$I$14:$I$21&amp;"|"&amp;Calculate_cap_emi!$L$14:$L$21,
        Calculate_cap_emi!$AK$14:$AK$21, "Not found", 0),"HPl",_xlfn.XLOOKUP(E17&amp;"|"&amp;B17,
        Calculate_cap_emi!$I$14:$I$21&amp;"|"&amp;Calculate_cap_emi!$L$14:$L$21,
        Calculate_cap_emi!$AN$14:$AN$21, "Not found", 0),"Missing")</f>
        <v>59.824304378999997</v>
      </c>
      <c r="R17" s="5" cm="1">
        <f t="array" ref="R17">_xlfn.SWITCH(F17,"R",_xlfn.XLOOKUP(E17&amp;"|"&amp;B17,
        Calculate_cap_emi!$I$14:$I$21&amp;"|"&amp;Calculate_cap_emi!$L$14:$L$21,
        Calculate_cap_emi!$AQ$14:$AQ$21, "Not found", 0),"Rb",_xlfn.XLOOKUP(E17&amp;"|"&amp;B17,
        Calculate_cap_emi!$I$14:$I$21&amp;"|"&amp;Calculate_cap_emi!$L$14:$L$21,
        Calculate_cap_emi!$AS$14:$AS$21, "Not found", 0),"Rl",_xlfn.XLOOKUP(E17&amp;"|"&amp;B17,
        Calculate_cap_emi!$I$14:$I$21&amp;"|"&amp;Calculate_cap_emi!$L$14:$L$21,
        Calculate_cap_emi!$AT$14:$AT$21, "Not found", 0),"HP",_xlfn.XLOOKUP(E17&amp;"|"&amp;B17,
        Calculate_cap_emi!$I$14:$I$21&amp;"|"&amp;Calculate_cap_emi!$L$14:$L$21,
        Calculate_cap_emi!$AR$14:$AR$21, "Not found", 0),"HPl",_xlfn.XLOOKUP(E17&amp;"|"&amp;B17,
        Calculate_cap_emi!$I$14:$I$21&amp;"|"&amp;Calculate_cap_emi!$L$14:$L$21,
        Calculate_cap_emi!$AU$14:$AU$21, "Not found", 0),"Missing")</f>
        <v>7.1352552308845398</v>
      </c>
      <c r="S17" s="5" cm="1">
        <f t="array" ref="S17">_xlfn.SWITCH(F17,"R",_xlfn.XLOOKUP(E17&amp;"|"&amp;B17,
        Calculate_cap_emi!$I$14:$I$21&amp;"|"&amp;Calculate_cap_emi!$L$14:$L$21,
        Calculate_cap_emi!$AX$14:$AX$21, "Not found", 0),"Rb",_xlfn.XLOOKUP(E17&amp;"|"&amp;B17,
        Calculate_cap_emi!$I$14:$I$21&amp;"|"&amp;Calculate_cap_emi!$L$14:$L$21,
        Calculate_cap_emi!$AZ$14:$AZ$21, "Not found", 0),"Rl",_xlfn.XLOOKUP(E17&amp;"|"&amp;B17,
        Calculate_cap_emi!$I$14:$I$21&amp;"|"&amp;Calculate_cap_emi!$L$14:$L$21,
        Calculate_cap_emi!$BA$14:$BA$21, "Not found", 0),"HP",_xlfn.XLOOKUP(E17&amp;"|"&amp;B17,
        Calculate_cap_emi!$I$14:$I$21&amp;"|"&amp;Calculate_cap_emi!$L$14:$L$21,
        Calculate_cap_emi!$AY$14:$AY$21, "Not found", 0),"HPl",_xlfn.XLOOKUP(E17&amp;"|"&amp;B17,
        Calculate_cap_emi!$I$14:$I$21&amp;"|"&amp;Calculate_cap_emi!$L$14:$L$21,
        Calculate_cap_emi!$BB$14:$BB$21, "Not found", 0),"Missing")</f>
        <v>70.944295462723204</v>
      </c>
      <c r="T17" s="5" cm="1">
        <f t="array" ref="T17">_xlfn.SWITCH(F17,"R",_xlfn.XLOOKUP(E17&amp;"|"&amp;B17,
        Calculate_cap_emi!$I$14:$I$21&amp;"|"&amp;Calculate_cap_emi!$L$14:$L$21,
        Calculate_cap_emi!$BE$14:$BE$21, "Not found", 0),"Rb",_xlfn.XLOOKUP(E17&amp;"|"&amp;B17,
        Calculate_cap_emi!$I$14:$I$21&amp;"|"&amp;Calculate_cap_emi!$L$14:$L$21,
        Calculate_cap_emi!$BG$14:$BG$21, "Not found", 0),"Rl",_xlfn.XLOOKUP(E17&amp;"|"&amp;B17,
        Calculate_cap_emi!$I$14:$I$21&amp;"|"&amp;Calculate_cap_emi!$L$14:$L$21,
        Calculate_cap_emi!$BH$14:$BH$21, "Not found", 0),"HP",_xlfn.XLOOKUP(E17&amp;"|"&amp;B17,
        Calculate_cap_emi!$I$14:$I$21&amp;"|"&amp;Calculate_cap_emi!$L$14:$L$21,
        Calculate_cap_emi!$BF$14:$BF$21, "Not found", 0),"HPl",_xlfn.XLOOKUP(E17&amp;"|"&amp;B17,
        Calculate_cap_emi!$I$14:$I$21&amp;"|"&amp;Calculate_cap_emi!$L$14:$L$21,
        Calculate_cap_emi!$BI$14:$BI$21, "Not found", 0),"Missing")</f>
        <v>0</v>
      </c>
      <c r="U17" s="5" cm="1">
        <f t="array" ref="U17">_xlfn.SWITCH(F17,"R",_xlfn.XLOOKUP(E17&amp;"|"&amp;B17,
        Calculate_cap_emi_sens!$I$14:$I$21&amp;"|"&amp;Calculate_cap_emi_sens!$L$14:$L$21,
        Calculate_cap_emi_sens!$AX$14:$AX$21, "Not found", 0),"Rb",_xlfn.XLOOKUP(E17&amp;"|"&amp;B17,
        Calculate_cap_emi_sens!$I$14:$I$21&amp;"|"&amp;Calculate_cap_emi_sens!$L$14:$L$21,
        Calculate_cap_emi_sens!$AZ$14:$AZ$21, "Not found", 0),"Rl",_xlfn.XLOOKUP(E17&amp;"|"&amp;B17,
        Calculate_cap_emi_sens!$I$14:$I$21&amp;"|"&amp;Calculate_cap_emi_sens!$L$14:$L$21,
        Calculate_cap_emi_sens!$BA$14:$BA$21, "Not found", 0),"HP",_xlfn.XLOOKUP(E17&amp;"|"&amp;B17,
        Calculate_cap_emi_sens!$I$14:$I$21&amp;"|"&amp;Calculate_cap_emi_sens!$L$14:$L$21,
        Calculate_cap_emi_sens!$AY$14:$AY$21, "Not found", 0),"HPl",_xlfn.XLOOKUP(E17&amp;"|"&amp;B17,
        Calculate_cap_emi_sens!$I$14:$I$21&amp;"|"&amp;Calculate_cap_emi_sens!$L$14:$L$21,
        Calculate_cap_emi_sens!$BB$14:$BB$21, "Not found", 0),"Missing")</f>
        <v>70.944295462723204</v>
      </c>
      <c r="V17" s="5" cm="1">
        <f t="array" ref="V17">_xlfn.SWITCH(F17,"R",_xlfn.XLOOKUP(E17&amp;"|"&amp;B17,
        Calculate_cap_emi_sens!$I$14:$I$21&amp;"|"&amp;Calculate_cap_emi_sens!$L$14:$L$21,
        Calculate_cap_emi_sens!$BE$14:$BE$21, "Not found", 0),"Rb",_xlfn.XLOOKUP(E17&amp;"|"&amp;B17,
        Calculate_cap_emi_sens!$I$14:$I$21&amp;"|"&amp;Calculate_cap_emi_sens!$L$14:$L$21,
        Calculate_cap_emi_sens!$BG$14:$BG$21, "Not found", 0),"Rl",_xlfn.XLOOKUP(E17&amp;"|"&amp;B17,
        Calculate_cap_emi_sens!$I$14:$I$21&amp;"|"&amp;Calculate_cap_emi_sens!$L$14:$L$21,
        Calculate_cap_emi_sens!$BH$14:$BH$21, "Not found", 0),"HP",_xlfn.XLOOKUP(E17&amp;"|"&amp;B17,
        Calculate_cap_emi_sens!$I$14:$I$21&amp;"|"&amp;Calculate_cap_emi_sens!$L$14:$L$21,
        Calculate_cap_emi_sens!$BF$14:$BF$21, "Not found", 0),"HPl",_xlfn.XLOOKUP(E17&amp;"|"&amp;B17,
        Calculate_cap_emi_sens!$I$14:$I$21&amp;"|"&amp;Calculate_cap_emi_sens!$L$14:$L$21,
        Calculate_cap_emi_sens!$BI$14:$BI$21, "Not found", 0),"Missing")</f>
        <v>0</v>
      </c>
      <c r="W17" s="5">
        <f>Results_proc_ener!L17</f>
        <v>34317.338340491369</v>
      </c>
      <c r="X17" s="5">
        <f>Results_proc_ener!M17</f>
        <v>0</v>
      </c>
      <c r="Y17" s="5">
        <f>Results_proc_ener!N17</f>
        <v>0</v>
      </c>
      <c r="Z17" s="5">
        <f>Results_proc_ener!O17</f>
        <v>0</v>
      </c>
      <c r="AA17" s="5">
        <f>Results_proc_ener!P17</f>
        <v>0</v>
      </c>
      <c r="AB17" s="5">
        <f>Results_proc_ener!Q17</f>
        <v>1266.9976419549753</v>
      </c>
      <c r="AC17" s="5">
        <f>Results_proc_ener!R17</f>
        <v>24.953949385787915</v>
      </c>
      <c r="AD17" s="5">
        <f>Results_proc_ener!S17</f>
        <v>147.39442638406626</v>
      </c>
      <c r="AE17" s="5">
        <f>Results_proc_ener!T17</f>
        <v>0</v>
      </c>
    </row>
    <row r="18" spans="1:31" x14ac:dyDescent="0.25">
      <c r="A18" s="5" t="s">
        <v>4</v>
      </c>
      <c r="B18" s="5" t="str">
        <f t="shared" si="0"/>
        <v>Mass-Nom</v>
      </c>
      <c r="C18" s="5" t="str">
        <f t="shared" si="1"/>
        <v>Mass</v>
      </c>
      <c r="D18" s="5" t="str">
        <f t="shared" si="2"/>
        <v>Nom</v>
      </c>
      <c r="E18" s="5" t="s">
        <v>3</v>
      </c>
      <c r="F18" s="5" t="s">
        <v>15</v>
      </c>
      <c r="G18" s="5"/>
      <c r="H18" s="5"/>
      <c r="I18" s="5" cm="1">
        <f t="array" ref="I18">_xlfn.SWITCH(F18,"R",_xlfn.XLOOKUP(E18&amp;"|"&amp;B18,
        Calculate_cap_emi!$I$14:$I$21&amp;"|"&amp;Calculate_cap_emi!$L$14:$L$21,
        Calculate_cap_emi!$W$14:$W$21, "Not found", 0),"Rb",_xlfn.XLOOKUP(E18&amp;"|"&amp;B18,
        Calculate_cap_emi!$I$14:$I$21&amp;"|"&amp;Calculate_cap_emi!$L$14:$L$21,
        Calculate_cap_emi!$Y$14:$Y$21, "Not found", 0),"Rl",_xlfn.XLOOKUP(E18&amp;"|"&amp;B18,
        Calculate_cap_emi!$I$14:$I$21&amp;"|"&amp;Calculate_cap_emi!$L$14:$L$21,
        Calculate_cap_emi!$Z$14:$Z$21, "Not found", 0),0)</f>
        <v>4</v>
      </c>
      <c r="J18" s="5"/>
      <c r="K18" s="5"/>
      <c r="L18" s="5" cm="1">
        <f t="array" ref="L18">_xlfn.SWITCH(F18,"R",_xlfn.XLOOKUP(E18&amp;"|"&amp;B18,
        Calculate_cap_emi!$I$14:$I$21&amp;"|"&amp;Calculate_cap_emi!$L$14:$L$21,
        Calculate_cap_emi!$AC$14:$AC$21, "Not found", 0),"Rb",_xlfn.XLOOKUP(E18&amp;"|"&amp;B18,
        Calculate_cap_emi!$I$14:$I$21&amp;"|"&amp;Calculate_cap_emi!$L$14:$L$21,
        Calculate_cap_emi!$AE$14:$AE$21, "Not found", 0),"Rl",_xlfn.XLOOKUP(E18&amp;"|"&amp;B18,
        Calculate_cap_emi!$I$14:$I$21&amp;"|"&amp;Calculate_cap_emi!$L$14:$L$21,
        Calculate_cap_emi!$AF$14:$AF$21, "Not found", 0),"HP",_xlfn.XLOOKUP(E18&amp;"|"&amp;B18,
        Calculate_cap_emi!$I$14:$I$21&amp;"|"&amp;Calculate_cap_emi!$L$14:$L$21,
        Calculate_cap_emi!$AD$14:$AD$21, "Not found", 0),"HPl",_xlfn.XLOOKUP(E18&amp;"|"&amp;B18,
        Calculate_cap_emi!$I$14:$I$21&amp;"|"&amp;Calculate_cap_emi!$L$14:$L$21,
        Calculate_cap_emi!$AG$14:$AG$21, "Not found", 0),"Missing")</f>
        <v>330.48616289699044</v>
      </c>
      <c r="M18" s="5"/>
      <c r="N18" s="5"/>
      <c r="O18" s="5"/>
      <c r="P18" s="5"/>
      <c r="Q18" s="5" cm="1">
        <f t="array" ref="Q18">_xlfn.SWITCH(F18,"R",_xlfn.XLOOKUP(E18&amp;"|"&amp;B18,
        Calculate_cap_emi!$I$14:$I$21&amp;"|"&amp;Calculate_cap_emi!$L$14:$L$21,
        Calculate_cap_emi!$AJ$14:$AJ$21, "Not found", 0),"Rb",_xlfn.XLOOKUP(E18&amp;"|"&amp;B18,
        Calculate_cap_emi!$I$14:$I$21&amp;"|"&amp;Calculate_cap_emi!$L$14:$L$21,
        Calculate_cap_emi!$AL$14:$AL$21, "Not found", 0),"Rl",_xlfn.XLOOKUP(E18&amp;"|"&amp;B18,
        Calculate_cap_emi!$I$14:$I$21&amp;"|"&amp;Calculate_cap_emi!$L$14:$L$21,
        Calculate_cap_emi!$AM$14:$AM$21, "Not found", 0),"HP",_xlfn.XLOOKUP(E18&amp;"|"&amp;B18,
        Calculate_cap_emi!$I$14:$I$21&amp;"|"&amp;Calculate_cap_emi!$L$14:$L$21,
        Calculate_cap_emi!$AK$14:$AK$21, "Not found", 0),"HPl",_xlfn.XLOOKUP(E18&amp;"|"&amp;B18,
        Calculate_cap_emi!$I$14:$I$21&amp;"|"&amp;Calculate_cap_emi!$L$14:$L$21,
        Calculate_cap_emi!$AN$14:$AN$21, "Not found", 0),"Missing")</f>
        <v>16.470579120141178</v>
      </c>
      <c r="R18" s="5" cm="1">
        <f t="array" ref="R18">_xlfn.SWITCH(F18,"R",_xlfn.XLOOKUP(E18&amp;"|"&amp;B18,
        Calculate_cap_emi!$I$14:$I$21&amp;"|"&amp;Calculate_cap_emi!$L$14:$L$21,
        Calculate_cap_emi!$AQ$14:$AQ$21, "Not found", 0),"Rb",_xlfn.XLOOKUP(E18&amp;"|"&amp;B18,
        Calculate_cap_emi!$I$14:$I$21&amp;"|"&amp;Calculate_cap_emi!$L$14:$L$21,
        Calculate_cap_emi!$AS$14:$AS$21, "Not found", 0),"Rl",_xlfn.XLOOKUP(E18&amp;"|"&amp;B18,
        Calculate_cap_emi!$I$14:$I$21&amp;"|"&amp;Calculate_cap_emi!$L$14:$L$21,
        Calculate_cap_emi!$AT$14:$AT$21, "Not found", 0),"HP",_xlfn.XLOOKUP(E18&amp;"|"&amp;B18,
        Calculate_cap_emi!$I$14:$I$21&amp;"|"&amp;Calculate_cap_emi!$L$14:$L$21,
        Calculate_cap_emi!$AR$14:$AR$21, "Not found", 0),"HPl",_xlfn.XLOOKUP(E18&amp;"|"&amp;B18,
        Calculate_cap_emi!$I$14:$I$21&amp;"|"&amp;Calculate_cap_emi!$L$14:$L$21,
        Calculate_cap_emi!$AU$14:$AU$21, "Not found", 0),"Missing")</f>
        <v>1.6054691209261442</v>
      </c>
      <c r="S18" s="5" cm="1">
        <f t="array" ref="S18">_xlfn.SWITCH(F18,"R",_xlfn.XLOOKUP(E18&amp;"|"&amp;B18,
        Calculate_cap_emi!$I$14:$I$21&amp;"|"&amp;Calculate_cap_emi!$L$14:$L$21,
        Calculate_cap_emi!$AX$14:$AX$21, "Not found", 0),"Rb",_xlfn.XLOOKUP(E18&amp;"|"&amp;B18,
        Calculate_cap_emi!$I$14:$I$21&amp;"|"&amp;Calculate_cap_emi!$L$14:$L$21,
        Calculate_cap_emi!$AZ$14:$AZ$21, "Not found", 0),"Rl",_xlfn.XLOOKUP(E18&amp;"|"&amp;B18,
        Calculate_cap_emi!$I$14:$I$21&amp;"|"&amp;Calculate_cap_emi!$L$14:$L$21,
        Calculate_cap_emi!$BA$14:$BA$21, "Not found", 0),"HP",_xlfn.XLOOKUP(E18&amp;"|"&amp;B18,
        Calculate_cap_emi!$I$14:$I$21&amp;"|"&amp;Calculate_cap_emi!$L$14:$L$21,
        Calculate_cap_emi!$AY$14:$AY$21, "Not found", 0),"HPl",_xlfn.XLOOKUP(E18&amp;"|"&amp;B18,
        Calculate_cap_emi!$I$14:$I$21&amp;"|"&amp;Calculate_cap_emi!$L$14:$L$21,
        Calculate_cap_emi!$BB$14:$BB$21, "Not found", 0),"Missing")</f>
        <v>19.484484525958916</v>
      </c>
      <c r="T18" s="5" cm="1">
        <f t="array" ref="T18">_xlfn.SWITCH(F18,"R",_xlfn.XLOOKUP(E18&amp;"|"&amp;B18,
        Calculate_cap_emi!$I$14:$I$21&amp;"|"&amp;Calculate_cap_emi!$L$14:$L$21,
        Calculate_cap_emi!$BE$14:$BE$21, "Not found", 0),"Rb",_xlfn.XLOOKUP(E18&amp;"|"&amp;B18,
        Calculate_cap_emi!$I$14:$I$21&amp;"|"&amp;Calculate_cap_emi!$L$14:$L$21,
        Calculate_cap_emi!$BG$14:$BG$21, "Not found", 0),"Rl",_xlfn.XLOOKUP(E18&amp;"|"&amp;B18,
        Calculate_cap_emi!$I$14:$I$21&amp;"|"&amp;Calculate_cap_emi!$L$14:$L$21,
        Calculate_cap_emi!$BH$14:$BH$21, "Not found", 0),"HP",_xlfn.XLOOKUP(E18&amp;"|"&amp;B18,
        Calculate_cap_emi!$I$14:$I$21&amp;"|"&amp;Calculate_cap_emi!$L$14:$L$21,
        Calculate_cap_emi!$BF$14:$BF$21, "Not found", 0),"HPl",_xlfn.XLOOKUP(E18&amp;"|"&amp;B18,
        Calculate_cap_emi!$I$14:$I$21&amp;"|"&amp;Calculate_cap_emi!$L$14:$L$21,
        Calculate_cap_emi!$BI$14:$BI$21, "Not found", 0),"Missing")</f>
        <v>0</v>
      </c>
      <c r="U18" s="5" cm="1">
        <f t="array" ref="U18">_xlfn.SWITCH(F18,"R",_xlfn.XLOOKUP(E18&amp;"|"&amp;B18,
        Calculate_cap_emi_sens!$I$14:$I$21&amp;"|"&amp;Calculate_cap_emi_sens!$L$14:$L$21,
        Calculate_cap_emi_sens!$AX$14:$AX$21, "Not found", 0),"Rb",_xlfn.XLOOKUP(E18&amp;"|"&amp;B18,
        Calculate_cap_emi_sens!$I$14:$I$21&amp;"|"&amp;Calculate_cap_emi_sens!$L$14:$L$21,
        Calculate_cap_emi_sens!$AZ$14:$AZ$21, "Not found", 0),"Rl",_xlfn.XLOOKUP(E18&amp;"|"&amp;B18,
        Calculate_cap_emi_sens!$I$14:$I$21&amp;"|"&amp;Calculate_cap_emi_sens!$L$14:$L$21,
        Calculate_cap_emi_sens!$BA$14:$BA$21, "Not found", 0),"HP",_xlfn.XLOOKUP(E18&amp;"|"&amp;B18,
        Calculate_cap_emi_sens!$I$14:$I$21&amp;"|"&amp;Calculate_cap_emi_sens!$L$14:$L$21,
        Calculate_cap_emi_sens!$AY$14:$AY$21, "Not found", 0),"HPl",_xlfn.XLOOKUP(E18&amp;"|"&amp;B18,
        Calculate_cap_emi_sens!$I$14:$I$21&amp;"|"&amp;Calculate_cap_emi_sens!$L$14:$L$21,
        Calculate_cap_emi_sens!$BB$14:$BB$21, "Not found", 0),"Missing")</f>
        <v>19.484484525958916</v>
      </c>
      <c r="V18" s="5" cm="1">
        <f t="array" ref="V18">_xlfn.SWITCH(F18,"R",_xlfn.XLOOKUP(E18&amp;"|"&amp;B18,
        Calculate_cap_emi_sens!$I$14:$I$21&amp;"|"&amp;Calculate_cap_emi_sens!$L$14:$L$21,
        Calculate_cap_emi_sens!$BE$14:$BE$21, "Not found", 0),"Rb",_xlfn.XLOOKUP(E18&amp;"|"&amp;B18,
        Calculate_cap_emi_sens!$I$14:$I$21&amp;"|"&amp;Calculate_cap_emi_sens!$L$14:$L$21,
        Calculate_cap_emi_sens!$BG$14:$BG$21, "Not found", 0),"Rl",_xlfn.XLOOKUP(E18&amp;"|"&amp;B18,
        Calculate_cap_emi_sens!$I$14:$I$21&amp;"|"&amp;Calculate_cap_emi_sens!$L$14:$L$21,
        Calculate_cap_emi_sens!$BH$14:$BH$21, "Not found", 0),"HP",_xlfn.XLOOKUP(E18&amp;"|"&amp;B18,
        Calculate_cap_emi_sens!$I$14:$I$21&amp;"|"&amp;Calculate_cap_emi_sens!$L$14:$L$21,
        Calculate_cap_emi_sens!$BF$14:$BF$21, "Not found", 0),"HPl",_xlfn.XLOOKUP(E18&amp;"|"&amp;B18,
        Calculate_cap_emi_sens!$I$14:$I$21&amp;"|"&amp;Calculate_cap_emi_sens!$L$14:$L$21,
        Calculate_cap_emi_sens!$BI$14:$BI$21, "Not found", 0),"Missing")</f>
        <v>0</v>
      </c>
      <c r="W18" s="5">
        <f>Results_proc_ener!L18</f>
        <v>8707.5475657174447</v>
      </c>
      <c r="X18" s="5">
        <f>Results_proc_ener!M18</f>
        <v>0</v>
      </c>
      <c r="Y18" s="5">
        <f>Results_proc_ener!N18</f>
        <v>0</v>
      </c>
      <c r="Z18" s="5">
        <f>Results_proc_ener!O18</f>
        <v>0</v>
      </c>
      <c r="AA18" s="5">
        <f>Results_proc_ener!P18</f>
        <v>0</v>
      </c>
      <c r="AB18" s="5">
        <f>Results_proc_ener!Q18</f>
        <v>348.82453082358001</v>
      </c>
      <c r="AC18" s="5">
        <f>Results_proc_ener!R18</f>
        <v>6.2362083890274747</v>
      </c>
      <c r="AD18" s="5">
        <f>Results_proc_ener!S18</f>
        <v>35.131420959517477</v>
      </c>
      <c r="AE18" s="5">
        <f>Results_proc_ener!T18</f>
        <v>0</v>
      </c>
    </row>
    <row r="19" spans="1:31" x14ac:dyDescent="0.25">
      <c r="A19" s="5" t="s">
        <v>2</v>
      </c>
      <c r="B19" s="5" t="str">
        <f t="shared" si="0"/>
        <v>Mass-Nom</v>
      </c>
      <c r="C19" s="5" t="str">
        <f t="shared" si="1"/>
        <v>Mass</v>
      </c>
      <c r="D19" s="5" t="str">
        <f t="shared" si="2"/>
        <v>Nom</v>
      </c>
      <c r="E19" s="5" t="s">
        <v>3</v>
      </c>
      <c r="F19" s="5" t="s">
        <v>15</v>
      </c>
      <c r="G19" s="5"/>
      <c r="H19" s="5"/>
      <c r="I19" s="5" cm="1">
        <f t="array" ref="I19">_xlfn.SWITCH(F19,"R",_xlfn.XLOOKUP(E19&amp;"|"&amp;B19,
        Calculate_cap_emi!$I$14:$I$21&amp;"|"&amp;Calculate_cap_emi!$L$14:$L$21,
        Calculate_cap_emi!$W$14:$W$21, "Not found", 0),"Rb",_xlfn.XLOOKUP(E19&amp;"|"&amp;B19,
        Calculate_cap_emi!$I$14:$I$21&amp;"|"&amp;Calculate_cap_emi!$L$14:$L$21,
        Calculate_cap_emi!$Y$14:$Y$21, "Not found", 0),"Rl",_xlfn.XLOOKUP(E19&amp;"|"&amp;B19,
        Calculate_cap_emi!$I$14:$I$21&amp;"|"&amp;Calculate_cap_emi!$L$14:$L$21,
        Calculate_cap_emi!$Z$14:$Z$21, "Not found", 0),0)</f>
        <v>4</v>
      </c>
      <c r="J19" s="5"/>
      <c r="K19" s="5"/>
      <c r="L19" s="5" cm="1">
        <f t="array" ref="L19">_xlfn.SWITCH(F19,"R",_xlfn.XLOOKUP(E19&amp;"|"&amp;B19,
        Calculate_cap_emi!$I$14:$I$21&amp;"|"&amp;Calculate_cap_emi!$L$14:$L$21,
        Calculate_cap_emi!$AC$14:$AC$21, "Not found", 0),"Rb",_xlfn.XLOOKUP(E19&amp;"|"&amp;B19,
        Calculate_cap_emi!$I$14:$I$21&amp;"|"&amp;Calculate_cap_emi!$L$14:$L$21,
        Calculate_cap_emi!$AE$14:$AE$21, "Not found", 0),"Rl",_xlfn.XLOOKUP(E19&amp;"|"&amp;B19,
        Calculate_cap_emi!$I$14:$I$21&amp;"|"&amp;Calculate_cap_emi!$L$14:$L$21,
        Calculate_cap_emi!$AF$14:$AF$21, "Not found", 0),"HP",_xlfn.XLOOKUP(E19&amp;"|"&amp;B19,
        Calculate_cap_emi!$I$14:$I$21&amp;"|"&amp;Calculate_cap_emi!$L$14:$L$21,
        Calculate_cap_emi!$AD$14:$AD$21, "Not found", 0),"HPl",_xlfn.XLOOKUP(E19&amp;"|"&amp;B19,
        Calculate_cap_emi!$I$14:$I$21&amp;"|"&amp;Calculate_cap_emi!$L$14:$L$21,
        Calculate_cap_emi!$AG$14:$AG$21, "Not found", 0),"Missing")</f>
        <v>330.48616289699044</v>
      </c>
      <c r="M19" s="5"/>
      <c r="N19" s="5"/>
      <c r="O19" s="5"/>
      <c r="P19" s="5"/>
      <c r="Q19" s="5" cm="1">
        <f t="array" ref="Q19">_xlfn.SWITCH(F19,"R",_xlfn.XLOOKUP(E19&amp;"|"&amp;B19,
        Calculate_cap_emi!$I$14:$I$21&amp;"|"&amp;Calculate_cap_emi!$L$14:$L$21,
        Calculate_cap_emi!$AJ$14:$AJ$21, "Not found", 0),"Rb",_xlfn.XLOOKUP(E19&amp;"|"&amp;B19,
        Calculate_cap_emi!$I$14:$I$21&amp;"|"&amp;Calculate_cap_emi!$L$14:$L$21,
        Calculate_cap_emi!$AL$14:$AL$21, "Not found", 0),"Rl",_xlfn.XLOOKUP(E19&amp;"|"&amp;B19,
        Calculate_cap_emi!$I$14:$I$21&amp;"|"&amp;Calculate_cap_emi!$L$14:$L$21,
        Calculate_cap_emi!$AM$14:$AM$21, "Not found", 0),"HP",_xlfn.XLOOKUP(E19&amp;"|"&amp;B19,
        Calculate_cap_emi!$I$14:$I$21&amp;"|"&amp;Calculate_cap_emi!$L$14:$L$21,
        Calculate_cap_emi!$AK$14:$AK$21, "Not found", 0),"HPl",_xlfn.XLOOKUP(E19&amp;"|"&amp;B19,
        Calculate_cap_emi!$I$14:$I$21&amp;"|"&amp;Calculate_cap_emi!$L$14:$L$21,
        Calculate_cap_emi!$AN$14:$AN$21, "Not found", 0),"Missing")</f>
        <v>16.470579120141178</v>
      </c>
      <c r="R19" s="5" cm="1">
        <f t="array" ref="R19">_xlfn.SWITCH(F19,"R",_xlfn.XLOOKUP(E19&amp;"|"&amp;B19,
        Calculate_cap_emi!$I$14:$I$21&amp;"|"&amp;Calculate_cap_emi!$L$14:$L$21,
        Calculate_cap_emi!$AQ$14:$AQ$21, "Not found", 0),"Rb",_xlfn.XLOOKUP(E19&amp;"|"&amp;B19,
        Calculate_cap_emi!$I$14:$I$21&amp;"|"&amp;Calculate_cap_emi!$L$14:$L$21,
        Calculate_cap_emi!$AS$14:$AS$21, "Not found", 0),"Rl",_xlfn.XLOOKUP(E19&amp;"|"&amp;B19,
        Calculate_cap_emi!$I$14:$I$21&amp;"|"&amp;Calculate_cap_emi!$L$14:$L$21,
        Calculate_cap_emi!$AT$14:$AT$21, "Not found", 0),"HP",_xlfn.XLOOKUP(E19&amp;"|"&amp;B19,
        Calculate_cap_emi!$I$14:$I$21&amp;"|"&amp;Calculate_cap_emi!$L$14:$L$21,
        Calculate_cap_emi!$AR$14:$AR$21, "Not found", 0),"HPl",_xlfn.XLOOKUP(E19&amp;"|"&amp;B19,
        Calculate_cap_emi!$I$14:$I$21&amp;"|"&amp;Calculate_cap_emi!$L$14:$L$21,
        Calculate_cap_emi!$AU$14:$AU$21, "Not found", 0),"Missing")</f>
        <v>1.6054691209261442</v>
      </c>
      <c r="S19" s="5" cm="1">
        <f t="array" ref="S19">_xlfn.SWITCH(F19,"R",_xlfn.XLOOKUP(E19&amp;"|"&amp;B19,
        Calculate_cap_emi!$I$14:$I$21&amp;"|"&amp;Calculate_cap_emi!$L$14:$L$21,
        Calculate_cap_emi!$AX$14:$AX$21, "Not found", 0),"Rb",_xlfn.XLOOKUP(E19&amp;"|"&amp;B19,
        Calculate_cap_emi!$I$14:$I$21&amp;"|"&amp;Calculate_cap_emi!$L$14:$L$21,
        Calculate_cap_emi!$AZ$14:$AZ$21, "Not found", 0),"Rl",_xlfn.XLOOKUP(E19&amp;"|"&amp;B19,
        Calculate_cap_emi!$I$14:$I$21&amp;"|"&amp;Calculate_cap_emi!$L$14:$L$21,
        Calculate_cap_emi!$BA$14:$BA$21, "Not found", 0),"HP",_xlfn.XLOOKUP(E19&amp;"|"&amp;B19,
        Calculate_cap_emi!$I$14:$I$21&amp;"|"&amp;Calculate_cap_emi!$L$14:$L$21,
        Calculate_cap_emi!$AY$14:$AY$21, "Not found", 0),"HPl",_xlfn.XLOOKUP(E19&amp;"|"&amp;B19,
        Calculate_cap_emi!$I$14:$I$21&amp;"|"&amp;Calculate_cap_emi!$L$14:$L$21,
        Calculate_cap_emi!$BB$14:$BB$21, "Not found", 0),"Missing")</f>
        <v>19.484484525958916</v>
      </c>
      <c r="T19" s="5" cm="1">
        <f t="array" ref="T19">_xlfn.SWITCH(F19,"R",_xlfn.XLOOKUP(E19&amp;"|"&amp;B19,
        Calculate_cap_emi!$I$14:$I$21&amp;"|"&amp;Calculate_cap_emi!$L$14:$L$21,
        Calculate_cap_emi!$BE$14:$BE$21, "Not found", 0),"Rb",_xlfn.XLOOKUP(E19&amp;"|"&amp;B19,
        Calculate_cap_emi!$I$14:$I$21&amp;"|"&amp;Calculate_cap_emi!$L$14:$L$21,
        Calculate_cap_emi!$BG$14:$BG$21, "Not found", 0),"Rl",_xlfn.XLOOKUP(E19&amp;"|"&amp;B19,
        Calculate_cap_emi!$I$14:$I$21&amp;"|"&amp;Calculate_cap_emi!$L$14:$L$21,
        Calculate_cap_emi!$BH$14:$BH$21, "Not found", 0),"HP",_xlfn.XLOOKUP(E19&amp;"|"&amp;B19,
        Calculate_cap_emi!$I$14:$I$21&amp;"|"&amp;Calculate_cap_emi!$L$14:$L$21,
        Calculate_cap_emi!$BF$14:$BF$21, "Not found", 0),"HPl",_xlfn.XLOOKUP(E19&amp;"|"&amp;B19,
        Calculate_cap_emi!$I$14:$I$21&amp;"|"&amp;Calculate_cap_emi!$L$14:$L$21,
        Calculate_cap_emi!$BI$14:$BI$21, "Not found", 0),"Missing")</f>
        <v>0</v>
      </c>
      <c r="U19" s="5" cm="1">
        <f t="array" ref="U19">_xlfn.SWITCH(F19,"R",_xlfn.XLOOKUP(E19&amp;"|"&amp;B19,
        Calculate_cap_emi_sens!$I$14:$I$21&amp;"|"&amp;Calculate_cap_emi_sens!$L$14:$L$21,
        Calculate_cap_emi_sens!$AX$14:$AX$21, "Not found", 0),"Rb",_xlfn.XLOOKUP(E19&amp;"|"&amp;B19,
        Calculate_cap_emi_sens!$I$14:$I$21&amp;"|"&amp;Calculate_cap_emi_sens!$L$14:$L$21,
        Calculate_cap_emi_sens!$AZ$14:$AZ$21, "Not found", 0),"Rl",_xlfn.XLOOKUP(E19&amp;"|"&amp;B19,
        Calculate_cap_emi_sens!$I$14:$I$21&amp;"|"&amp;Calculate_cap_emi_sens!$L$14:$L$21,
        Calculate_cap_emi_sens!$BA$14:$BA$21, "Not found", 0),"HP",_xlfn.XLOOKUP(E19&amp;"|"&amp;B19,
        Calculate_cap_emi_sens!$I$14:$I$21&amp;"|"&amp;Calculate_cap_emi_sens!$L$14:$L$21,
        Calculate_cap_emi_sens!$AY$14:$AY$21, "Not found", 0),"HPl",_xlfn.XLOOKUP(E19&amp;"|"&amp;B19,
        Calculate_cap_emi_sens!$I$14:$I$21&amp;"|"&amp;Calculate_cap_emi_sens!$L$14:$L$21,
        Calculate_cap_emi_sens!$BB$14:$BB$21, "Not found", 0),"Missing")</f>
        <v>19.484484525958916</v>
      </c>
      <c r="V19" s="5" cm="1">
        <f t="array" ref="V19">_xlfn.SWITCH(F19,"R",_xlfn.XLOOKUP(E19&amp;"|"&amp;B19,
        Calculate_cap_emi_sens!$I$14:$I$21&amp;"|"&amp;Calculate_cap_emi_sens!$L$14:$L$21,
        Calculate_cap_emi_sens!$BE$14:$BE$21, "Not found", 0),"Rb",_xlfn.XLOOKUP(E19&amp;"|"&amp;B19,
        Calculate_cap_emi_sens!$I$14:$I$21&amp;"|"&amp;Calculate_cap_emi_sens!$L$14:$L$21,
        Calculate_cap_emi_sens!$BG$14:$BG$21, "Not found", 0),"Rl",_xlfn.XLOOKUP(E19&amp;"|"&amp;B19,
        Calculate_cap_emi_sens!$I$14:$I$21&amp;"|"&amp;Calculate_cap_emi_sens!$L$14:$L$21,
        Calculate_cap_emi_sens!$BH$14:$BH$21, "Not found", 0),"HP",_xlfn.XLOOKUP(E19&amp;"|"&amp;B19,
        Calculate_cap_emi_sens!$I$14:$I$21&amp;"|"&amp;Calculate_cap_emi_sens!$L$14:$L$21,
        Calculate_cap_emi_sens!$BF$14:$BF$21, "Not found", 0),"HPl",_xlfn.XLOOKUP(E19&amp;"|"&amp;B19,
        Calculate_cap_emi_sens!$I$14:$I$21&amp;"|"&amp;Calculate_cap_emi_sens!$L$14:$L$21,
        Calculate_cap_emi_sens!$BI$14:$BI$21, "Not found", 0),"Missing")</f>
        <v>0</v>
      </c>
      <c r="W19" s="5">
        <f>Results_proc_ener!L19</f>
        <v>8707.5475657174447</v>
      </c>
      <c r="X19" s="5">
        <f>Results_proc_ener!M19</f>
        <v>0</v>
      </c>
      <c r="Y19" s="5">
        <f>Results_proc_ener!N19</f>
        <v>0</v>
      </c>
      <c r="Z19" s="5">
        <f>Results_proc_ener!O19</f>
        <v>0</v>
      </c>
      <c r="AA19" s="5">
        <f>Results_proc_ener!P19</f>
        <v>0</v>
      </c>
      <c r="AB19" s="5">
        <f>Results_proc_ener!Q19</f>
        <v>348.82453082358001</v>
      </c>
      <c r="AC19" s="5">
        <f>Results_proc_ener!R19</f>
        <v>6.2362083890274747</v>
      </c>
      <c r="AD19" s="5">
        <f>Results_proc_ener!S19</f>
        <v>35.131420959517477</v>
      </c>
      <c r="AE19" s="5">
        <f>Results_proc_ener!T19</f>
        <v>0</v>
      </c>
    </row>
    <row r="20" spans="1:31" x14ac:dyDescent="0.25">
      <c r="A20" s="5" t="s">
        <v>5</v>
      </c>
      <c r="B20" s="5" t="str">
        <f t="shared" si="0"/>
        <v>Mass-H1</v>
      </c>
      <c r="C20" s="5" t="str">
        <f t="shared" si="1"/>
        <v>Mass</v>
      </c>
      <c r="D20" s="5" t="str">
        <f t="shared" si="2"/>
        <v>H1</v>
      </c>
      <c r="E20" s="5" t="s">
        <v>3</v>
      </c>
      <c r="F20" s="5" t="s">
        <v>15</v>
      </c>
      <c r="G20" s="5"/>
      <c r="H20" s="5"/>
      <c r="I20" s="5" cm="1">
        <f t="array" ref="I20">_xlfn.SWITCH(F20,"R",_xlfn.XLOOKUP(E20&amp;"|"&amp;B20,
        Calculate_cap_emi!$I$14:$I$21&amp;"|"&amp;Calculate_cap_emi!$L$14:$L$21,
        Calculate_cap_emi!$W$14:$W$21, "Not found", 0),"Rb",_xlfn.XLOOKUP(E20&amp;"|"&amp;B20,
        Calculate_cap_emi!$I$14:$I$21&amp;"|"&amp;Calculate_cap_emi!$L$14:$L$21,
        Calculate_cap_emi!$Y$14:$Y$21, "Not found", 0),"Rl",_xlfn.XLOOKUP(E20&amp;"|"&amp;B20,
        Calculate_cap_emi!$I$14:$I$21&amp;"|"&amp;Calculate_cap_emi!$L$14:$L$21,
        Calculate_cap_emi!$Z$14:$Z$21, "Not found", 0),0)</f>
        <v>2</v>
      </c>
      <c r="J20" s="5"/>
      <c r="K20" s="5"/>
      <c r="L20" s="5" cm="1">
        <f t="array" ref="L20">_xlfn.SWITCH(F20,"R",_xlfn.XLOOKUP(E20&amp;"|"&amp;B20,
        Calculate_cap_emi!$I$14:$I$21&amp;"|"&amp;Calculate_cap_emi!$L$14:$L$21,
        Calculate_cap_emi!$AC$14:$AC$21, "Not found", 0),"Rb",_xlfn.XLOOKUP(E20&amp;"|"&amp;B20,
        Calculate_cap_emi!$I$14:$I$21&amp;"|"&amp;Calculate_cap_emi!$L$14:$L$21,
        Calculate_cap_emi!$AE$14:$AE$21, "Not found", 0),"Rl",_xlfn.XLOOKUP(E20&amp;"|"&amp;B20,
        Calculate_cap_emi!$I$14:$I$21&amp;"|"&amp;Calculate_cap_emi!$L$14:$L$21,
        Calculate_cap_emi!$AF$14:$AF$21, "Not found", 0),"HP",_xlfn.XLOOKUP(E20&amp;"|"&amp;B20,
        Calculate_cap_emi!$I$14:$I$21&amp;"|"&amp;Calculate_cap_emi!$L$14:$L$21,
        Calculate_cap_emi!$AD$14:$AD$21, "Not found", 0),"HPl",_xlfn.XLOOKUP(E20&amp;"|"&amp;B20,
        Calculate_cap_emi!$I$14:$I$21&amp;"|"&amp;Calculate_cap_emi!$L$14:$L$21,
        Calculate_cap_emi!$AG$14:$AG$21, "Not found", 0),"Missing")</f>
        <v>239.00538653940063</v>
      </c>
      <c r="M20" s="5"/>
      <c r="N20" s="5"/>
      <c r="O20" s="5"/>
      <c r="P20" s="5"/>
      <c r="Q20" s="5" cm="1">
        <f t="array" ref="Q20">_xlfn.SWITCH(F20,"R",_xlfn.XLOOKUP(E20&amp;"|"&amp;B20,
        Calculate_cap_emi!$I$14:$I$21&amp;"|"&amp;Calculate_cap_emi!$L$14:$L$21,
        Calculate_cap_emi!$AJ$14:$AJ$21, "Not found", 0),"Rb",_xlfn.XLOOKUP(E20&amp;"|"&amp;B20,
        Calculate_cap_emi!$I$14:$I$21&amp;"|"&amp;Calculate_cap_emi!$L$14:$L$21,
        Calculate_cap_emi!$AL$14:$AL$21, "Not found", 0),"Rl",_xlfn.XLOOKUP(E20&amp;"|"&amp;B20,
        Calculate_cap_emi!$I$14:$I$21&amp;"|"&amp;Calculate_cap_emi!$L$14:$L$21,
        Calculate_cap_emi!$AM$14:$AM$21, "Not found", 0),"HP",_xlfn.XLOOKUP(E20&amp;"|"&amp;B20,
        Calculate_cap_emi!$I$14:$I$21&amp;"|"&amp;Calculate_cap_emi!$L$14:$L$21,
        Calculate_cap_emi!$AK$14:$AK$21, "Not found", 0),"HPl",_xlfn.XLOOKUP(E20&amp;"|"&amp;B20,
        Calculate_cap_emi!$I$14:$I$21&amp;"|"&amp;Calculate_cap_emi!$L$14:$L$21,
        Calculate_cap_emi!$AN$14:$AN$21, "Not found", 0),"Missing")</f>
        <v>10.462954794352941</v>
      </c>
      <c r="R20" s="5" cm="1">
        <f t="array" ref="R20">_xlfn.SWITCH(F20,"R",_xlfn.XLOOKUP(E20&amp;"|"&amp;B20,
        Calculate_cap_emi!$I$14:$I$21&amp;"|"&amp;Calculate_cap_emi!$L$14:$L$21,
        Calculate_cap_emi!$AQ$14:$AQ$21, "Not found", 0),"Rb",_xlfn.XLOOKUP(E20&amp;"|"&amp;B20,
        Calculate_cap_emi!$I$14:$I$21&amp;"|"&amp;Calculate_cap_emi!$L$14:$L$21,
        Calculate_cap_emi!$AS$14:$AS$21, "Not found", 0),"Rl",_xlfn.XLOOKUP(E20&amp;"|"&amp;B20,
        Calculate_cap_emi!$I$14:$I$21&amp;"|"&amp;Calculate_cap_emi!$L$14:$L$21,
        Calculate_cap_emi!$AT$14:$AT$21, "Not found", 0),"HP",_xlfn.XLOOKUP(E20&amp;"|"&amp;B20,
        Calculate_cap_emi!$I$14:$I$21&amp;"|"&amp;Calculate_cap_emi!$L$14:$L$21,
        Calculate_cap_emi!$AR$14:$AR$21, "Not found", 0),"HPl",_xlfn.XLOOKUP(E20&amp;"|"&amp;B20,
        Calculate_cap_emi!$I$14:$I$21&amp;"|"&amp;Calculate_cap_emi!$L$14:$L$21,
        Calculate_cap_emi!$AU$14:$AU$21, "Not found", 0),"Missing")</f>
        <v>1.3675783545938294</v>
      </c>
      <c r="S20" s="5" cm="1">
        <f t="array" ref="S20">_xlfn.SWITCH(F20,"R",_xlfn.XLOOKUP(E20&amp;"|"&amp;B20,
        Calculate_cap_emi!$I$14:$I$21&amp;"|"&amp;Calculate_cap_emi!$L$14:$L$21,
        Calculate_cap_emi!$AX$14:$AX$21, "Not found", 0),"Rb",_xlfn.XLOOKUP(E20&amp;"|"&amp;B20,
        Calculate_cap_emi!$I$14:$I$21&amp;"|"&amp;Calculate_cap_emi!$L$14:$L$21,
        Calculate_cap_emi!$AZ$14:$AZ$21, "Not found", 0),"Rl",_xlfn.XLOOKUP(E20&amp;"|"&amp;B20,
        Calculate_cap_emi!$I$14:$I$21&amp;"|"&amp;Calculate_cap_emi!$L$14:$L$21,
        Calculate_cap_emi!$BA$14:$BA$21, "Not found", 0),"HP",_xlfn.XLOOKUP(E20&amp;"|"&amp;B20,
        Calculate_cap_emi!$I$14:$I$21&amp;"|"&amp;Calculate_cap_emi!$L$14:$L$21,
        Calculate_cap_emi!$AY$14:$AY$21, "Not found", 0),"HPl",_xlfn.XLOOKUP(E20&amp;"|"&amp;B20,
        Calculate_cap_emi!$I$14:$I$21&amp;"|"&amp;Calculate_cap_emi!$L$14:$L$21,
        Calculate_cap_emi!$BB$14:$BB$21, "Not found", 0),"Missing")</f>
        <v>12.423650614739874</v>
      </c>
      <c r="T20" s="5" cm="1">
        <f t="array" ref="T20">_xlfn.SWITCH(F20,"R",_xlfn.XLOOKUP(E20&amp;"|"&amp;B20,
        Calculate_cap_emi!$I$14:$I$21&amp;"|"&amp;Calculate_cap_emi!$L$14:$L$21,
        Calculate_cap_emi!$BE$14:$BE$21, "Not found", 0),"Rb",_xlfn.XLOOKUP(E20&amp;"|"&amp;B20,
        Calculate_cap_emi!$I$14:$I$21&amp;"|"&amp;Calculate_cap_emi!$L$14:$L$21,
        Calculate_cap_emi!$BG$14:$BG$21, "Not found", 0),"Rl",_xlfn.XLOOKUP(E20&amp;"|"&amp;B20,
        Calculate_cap_emi!$I$14:$I$21&amp;"|"&amp;Calculate_cap_emi!$L$14:$L$21,
        Calculate_cap_emi!$BH$14:$BH$21, "Not found", 0),"HP",_xlfn.XLOOKUP(E20&amp;"|"&amp;B20,
        Calculate_cap_emi!$I$14:$I$21&amp;"|"&amp;Calculate_cap_emi!$L$14:$L$21,
        Calculate_cap_emi!$BF$14:$BF$21, "Not found", 0),"HPl",_xlfn.XLOOKUP(E20&amp;"|"&amp;B20,
        Calculate_cap_emi!$I$14:$I$21&amp;"|"&amp;Calculate_cap_emi!$L$14:$L$21,
        Calculate_cap_emi!$BI$14:$BI$21, "Not found", 0),"Missing")</f>
        <v>0</v>
      </c>
      <c r="U20" s="5" cm="1">
        <f t="array" ref="U20">_xlfn.SWITCH(F20,"R",_xlfn.XLOOKUP(E20&amp;"|"&amp;B20,
        Calculate_cap_emi_sens!$I$14:$I$21&amp;"|"&amp;Calculate_cap_emi_sens!$L$14:$L$21,
        Calculate_cap_emi_sens!$AX$14:$AX$21, "Not found", 0),"Rb",_xlfn.XLOOKUP(E20&amp;"|"&amp;B20,
        Calculate_cap_emi_sens!$I$14:$I$21&amp;"|"&amp;Calculate_cap_emi_sens!$L$14:$L$21,
        Calculate_cap_emi_sens!$AZ$14:$AZ$21, "Not found", 0),"Rl",_xlfn.XLOOKUP(E20&amp;"|"&amp;B20,
        Calculate_cap_emi_sens!$I$14:$I$21&amp;"|"&amp;Calculate_cap_emi_sens!$L$14:$L$21,
        Calculate_cap_emi_sens!$BA$14:$BA$21, "Not found", 0),"HP",_xlfn.XLOOKUP(E20&amp;"|"&amp;B20,
        Calculate_cap_emi_sens!$I$14:$I$21&amp;"|"&amp;Calculate_cap_emi_sens!$L$14:$L$21,
        Calculate_cap_emi_sens!$AY$14:$AY$21, "Not found", 0),"HPl",_xlfn.XLOOKUP(E20&amp;"|"&amp;B20,
        Calculate_cap_emi_sens!$I$14:$I$21&amp;"|"&amp;Calculate_cap_emi_sens!$L$14:$L$21,
        Calculate_cap_emi_sens!$BB$14:$BB$21, "Not found", 0),"Missing")</f>
        <v>12.423650614739874</v>
      </c>
      <c r="V20" s="5" cm="1">
        <f t="array" ref="V20">_xlfn.SWITCH(F20,"R",_xlfn.XLOOKUP(E20&amp;"|"&amp;B20,
        Calculate_cap_emi_sens!$I$14:$I$21&amp;"|"&amp;Calculate_cap_emi_sens!$L$14:$L$21,
        Calculate_cap_emi_sens!$BE$14:$BE$21, "Not found", 0),"Rb",_xlfn.XLOOKUP(E20&amp;"|"&amp;B20,
        Calculate_cap_emi_sens!$I$14:$I$21&amp;"|"&amp;Calculate_cap_emi_sens!$L$14:$L$21,
        Calculate_cap_emi_sens!$BG$14:$BG$21, "Not found", 0),"Rl",_xlfn.XLOOKUP(E20&amp;"|"&amp;B20,
        Calculate_cap_emi_sens!$I$14:$I$21&amp;"|"&amp;Calculate_cap_emi_sens!$L$14:$L$21,
        Calculate_cap_emi_sens!$BH$14:$BH$21, "Not found", 0),"HP",_xlfn.XLOOKUP(E20&amp;"|"&amp;B20,
        Calculate_cap_emi_sens!$I$14:$I$21&amp;"|"&amp;Calculate_cap_emi_sens!$L$14:$L$21,
        Calculate_cap_emi_sens!$BF$14:$BF$21, "Not found", 0),"HPl",_xlfn.XLOOKUP(E20&amp;"|"&amp;B20,
        Calculate_cap_emi_sens!$I$14:$I$21&amp;"|"&amp;Calculate_cap_emi_sens!$L$14:$L$21,
        Calculate_cap_emi_sens!$BI$14:$BI$21, "Not found", 0),"Missing")</f>
        <v>0</v>
      </c>
      <c r="W20" s="5">
        <f>Results_proc_ener!L20</f>
        <v>6248.7743688918881</v>
      </c>
      <c r="X20" s="5">
        <f>Results_proc_ener!M20</f>
        <v>0</v>
      </c>
      <c r="Y20" s="5">
        <f>Results_proc_ener!N20</f>
        <v>0</v>
      </c>
      <c r="Z20" s="5">
        <f>Results_proc_ener!O20</f>
        <v>0</v>
      </c>
      <c r="AA20" s="5">
        <f>Results_proc_ener!P20</f>
        <v>0</v>
      </c>
      <c r="AB20" s="5">
        <f>Results_proc_ener!Q20</f>
        <v>221.5911942468</v>
      </c>
      <c r="AC20" s="5">
        <f>Results_proc_ener!R20</f>
        <v>4.5756503732009577</v>
      </c>
      <c r="AD20" s="5">
        <f>Results_proc_ener!S20</f>
        <v>27.594706715911837</v>
      </c>
      <c r="AE20" s="5">
        <f>Results_proc_ener!T20</f>
        <v>0</v>
      </c>
    </row>
    <row r="21" spans="1:31" x14ac:dyDescent="0.25">
      <c r="A21" s="5" t="s">
        <v>6</v>
      </c>
      <c r="B21" s="5" t="str">
        <f t="shared" si="0"/>
        <v>Mass-H1</v>
      </c>
      <c r="C21" s="5" t="str">
        <f t="shared" si="1"/>
        <v>Mass</v>
      </c>
      <c r="D21" s="5" t="str">
        <f t="shared" si="2"/>
        <v>H1</v>
      </c>
      <c r="E21" s="5" t="s">
        <v>3</v>
      </c>
      <c r="F21" s="5" t="s">
        <v>15</v>
      </c>
      <c r="G21" s="5"/>
      <c r="H21" s="5"/>
      <c r="I21" s="5" cm="1">
        <f t="array" ref="I21">_xlfn.SWITCH(F21,"R",_xlfn.XLOOKUP(E21&amp;"|"&amp;B21,
        Calculate_cap_emi!$I$14:$I$21&amp;"|"&amp;Calculate_cap_emi!$L$14:$L$21,
        Calculate_cap_emi!$W$14:$W$21, "Not found", 0),"Rb",_xlfn.XLOOKUP(E21&amp;"|"&amp;B21,
        Calculate_cap_emi!$I$14:$I$21&amp;"|"&amp;Calculate_cap_emi!$L$14:$L$21,
        Calculate_cap_emi!$Y$14:$Y$21, "Not found", 0),"Rl",_xlfn.XLOOKUP(E21&amp;"|"&amp;B21,
        Calculate_cap_emi!$I$14:$I$21&amp;"|"&amp;Calculate_cap_emi!$L$14:$L$21,
        Calculate_cap_emi!$Z$14:$Z$21, "Not found", 0),0)</f>
        <v>2</v>
      </c>
      <c r="J21" s="5"/>
      <c r="K21" s="5"/>
      <c r="L21" s="5" cm="1">
        <f t="array" ref="L21">_xlfn.SWITCH(F21,"R",_xlfn.XLOOKUP(E21&amp;"|"&amp;B21,
        Calculate_cap_emi!$I$14:$I$21&amp;"|"&amp;Calculate_cap_emi!$L$14:$L$21,
        Calculate_cap_emi!$AC$14:$AC$21, "Not found", 0),"Rb",_xlfn.XLOOKUP(E21&amp;"|"&amp;B21,
        Calculate_cap_emi!$I$14:$I$21&amp;"|"&amp;Calculate_cap_emi!$L$14:$L$21,
        Calculate_cap_emi!$AE$14:$AE$21, "Not found", 0),"Rl",_xlfn.XLOOKUP(E21&amp;"|"&amp;B21,
        Calculate_cap_emi!$I$14:$I$21&amp;"|"&amp;Calculate_cap_emi!$L$14:$L$21,
        Calculate_cap_emi!$AF$14:$AF$21, "Not found", 0),"HP",_xlfn.XLOOKUP(E21&amp;"|"&amp;B21,
        Calculate_cap_emi!$I$14:$I$21&amp;"|"&amp;Calculate_cap_emi!$L$14:$L$21,
        Calculate_cap_emi!$AD$14:$AD$21, "Not found", 0),"HPl",_xlfn.XLOOKUP(E21&amp;"|"&amp;B21,
        Calculate_cap_emi!$I$14:$I$21&amp;"|"&amp;Calculate_cap_emi!$L$14:$L$21,
        Calculate_cap_emi!$AG$14:$AG$21, "Not found", 0),"Missing")</f>
        <v>239.00538653940063</v>
      </c>
      <c r="M21" s="5"/>
      <c r="N21" s="5"/>
      <c r="O21" s="5"/>
      <c r="P21" s="5"/>
      <c r="Q21" s="5" cm="1">
        <f t="array" ref="Q21">_xlfn.SWITCH(F21,"R",_xlfn.XLOOKUP(E21&amp;"|"&amp;B21,
        Calculate_cap_emi!$I$14:$I$21&amp;"|"&amp;Calculate_cap_emi!$L$14:$L$21,
        Calculate_cap_emi!$AJ$14:$AJ$21, "Not found", 0),"Rb",_xlfn.XLOOKUP(E21&amp;"|"&amp;B21,
        Calculate_cap_emi!$I$14:$I$21&amp;"|"&amp;Calculate_cap_emi!$L$14:$L$21,
        Calculate_cap_emi!$AL$14:$AL$21, "Not found", 0),"Rl",_xlfn.XLOOKUP(E21&amp;"|"&amp;B21,
        Calculate_cap_emi!$I$14:$I$21&amp;"|"&amp;Calculate_cap_emi!$L$14:$L$21,
        Calculate_cap_emi!$AM$14:$AM$21, "Not found", 0),"HP",_xlfn.XLOOKUP(E21&amp;"|"&amp;B21,
        Calculate_cap_emi!$I$14:$I$21&amp;"|"&amp;Calculate_cap_emi!$L$14:$L$21,
        Calculate_cap_emi!$AK$14:$AK$21, "Not found", 0),"HPl",_xlfn.XLOOKUP(E21&amp;"|"&amp;B21,
        Calculate_cap_emi!$I$14:$I$21&amp;"|"&amp;Calculate_cap_emi!$L$14:$L$21,
        Calculate_cap_emi!$AN$14:$AN$21, "Not found", 0),"Missing")</f>
        <v>10.462954794352941</v>
      </c>
      <c r="R21" s="5" cm="1">
        <f t="array" ref="R21">_xlfn.SWITCH(F21,"R",_xlfn.XLOOKUP(E21&amp;"|"&amp;B21,
        Calculate_cap_emi!$I$14:$I$21&amp;"|"&amp;Calculate_cap_emi!$L$14:$L$21,
        Calculate_cap_emi!$AQ$14:$AQ$21, "Not found", 0),"Rb",_xlfn.XLOOKUP(E21&amp;"|"&amp;B21,
        Calculate_cap_emi!$I$14:$I$21&amp;"|"&amp;Calculate_cap_emi!$L$14:$L$21,
        Calculate_cap_emi!$AS$14:$AS$21, "Not found", 0),"Rl",_xlfn.XLOOKUP(E21&amp;"|"&amp;B21,
        Calculate_cap_emi!$I$14:$I$21&amp;"|"&amp;Calculate_cap_emi!$L$14:$L$21,
        Calculate_cap_emi!$AT$14:$AT$21, "Not found", 0),"HP",_xlfn.XLOOKUP(E21&amp;"|"&amp;B21,
        Calculate_cap_emi!$I$14:$I$21&amp;"|"&amp;Calculate_cap_emi!$L$14:$L$21,
        Calculate_cap_emi!$AR$14:$AR$21, "Not found", 0),"HPl",_xlfn.XLOOKUP(E21&amp;"|"&amp;B21,
        Calculate_cap_emi!$I$14:$I$21&amp;"|"&amp;Calculate_cap_emi!$L$14:$L$21,
        Calculate_cap_emi!$AU$14:$AU$21, "Not found", 0),"Missing")</f>
        <v>1.3675783545938294</v>
      </c>
      <c r="S21" s="5" cm="1">
        <f t="array" ref="S21">_xlfn.SWITCH(F21,"R",_xlfn.XLOOKUP(E21&amp;"|"&amp;B21,
        Calculate_cap_emi!$I$14:$I$21&amp;"|"&amp;Calculate_cap_emi!$L$14:$L$21,
        Calculate_cap_emi!$AX$14:$AX$21, "Not found", 0),"Rb",_xlfn.XLOOKUP(E21&amp;"|"&amp;B21,
        Calculate_cap_emi!$I$14:$I$21&amp;"|"&amp;Calculate_cap_emi!$L$14:$L$21,
        Calculate_cap_emi!$AZ$14:$AZ$21, "Not found", 0),"Rl",_xlfn.XLOOKUP(E21&amp;"|"&amp;B21,
        Calculate_cap_emi!$I$14:$I$21&amp;"|"&amp;Calculate_cap_emi!$L$14:$L$21,
        Calculate_cap_emi!$BA$14:$BA$21, "Not found", 0),"HP",_xlfn.XLOOKUP(E21&amp;"|"&amp;B21,
        Calculate_cap_emi!$I$14:$I$21&amp;"|"&amp;Calculate_cap_emi!$L$14:$L$21,
        Calculate_cap_emi!$AY$14:$AY$21, "Not found", 0),"HPl",_xlfn.XLOOKUP(E21&amp;"|"&amp;B21,
        Calculate_cap_emi!$I$14:$I$21&amp;"|"&amp;Calculate_cap_emi!$L$14:$L$21,
        Calculate_cap_emi!$BB$14:$BB$21, "Not found", 0),"Missing")</f>
        <v>12.423650614739874</v>
      </c>
      <c r="T21" s="5" cm="1">
        <f t="array" ref="T21">_xlfn.SWITCH(F21,"R",_xlfn.XLOOKUP(E21&amp;"|"&amp;B21,
        Calculate_cap_emi!$I$14:$I$21&amp;"|"&amp;Calculate_cap_emi!$L$14:$L$21,
        Calculate_cap_emi!$BE$14:$BE$21, "Not found", 0),"Rb",_xlfn.XLOOKUP(E21&amp;"|"&amp;B21,
        Calculate_cap_emi!$I$14:$I$21&amp;"|"&amp;Calculate_cap_emi!$L$14:$L$21,
        Calculate_cap_emi!$BG$14:$BG$21, "Not found", 0),"Rl",_xlfn.XLOOKUP(E21&amp;"|"&amp;B21,
        Calculate_cap_emi!$I$14:$I$21&amp;"|"&amp;Calculate_cap_emi!$L$14:$L$21,
        Calculate_cap_emi!$BH$14:$BH$21, "Not found", 0),"HP",_xlfn.XLOOKUP(E21&amp;"|"&amp;B21,
        Calculate_cap_emi!$I$14:$I$21&amp;"|"&amp;Calculate_cap_emi!$L$14:$L$21,
        Calculate_cap_emi!$BF$14:$BF$21, "Not found", 0),"HPl",_xlfn.XLOOKUP(E21&amp;"|"&amp;B21,
        Calculate_cap_emi!$I$14:$I$21&amp;"|"&amp;Calculate_cap_emi!$L$14:$L$21,
        Calculate_cap_emi!$BI$14:$BI$21, "Not found", 0),"Missing")</f>
        <v>0</v>
      </c>
      <c r="U21" s="5" cm="1">
        <f t="array" ref="U21">_xlfn.SWITCH(F21,"R",_xlfn.XLOOKUP(E21&amp;"|"&amp;B21,
        Calculate_cap_emi_sens!$I$14:$I$21&amp;"|"&amp;Calculate_cap_emi_sens!$L$14:$L$21,
        Calculate_cap_emi_sens!$AX$14:$AX$21, "Not found", 0),"Rb",_xlfn.XLOOKUP(E21&amp;"|"&amp;B21,
        Calculate_cap_emi_sens!$I$14:$I$21&amp;"|"&amp;Calculate_cap_emi_sens!$L$14:$L$21,
        Calculate_cap_emi_sens!$AZ$14:$AZ$21, "Not found", 0),"Rl",_xlfn.XLOOKUP(E21&amp;"|"&amp;B21,
        Calculate_cap_emi_sens!$I$14:$I$21&amp;"|"&amp;Calculate_cap_emi_sens!$L$14:$L$21,
        Calculate_cap_emi_sens!$BA$14:$BA$21, "Not found", 0),"HP",_xlfn.XLOOKUP(E21&amp;"|"&amp;B21,
        Calculate_cap_emi_sens!$I$14:$I$21&amp;"|"&amp;Calculate_cap_emi_sens!$L$14:$L$21,
        Calculate_cap_emi_sens!$AY$14:$AY$21, "Not found", 0),"HPl",_xlfn.XLOOKUP(E21&amp;"|"&amp;B21,
        Calculate_cap_emi_sens!$I$14:$I$21&amp;"|"&amp;Calculate_cap_emi_sens!$L$14:$L$21,
        Calculate_cap_emi_sens!$BB$14:$BB$21, "Not found", 0),"Missing")</f>
        <v>12.423650614739874</v>
      </c>
      <c r="V21" s="5" cm="1">
        <f t="array" ref="V21">_xlfn.SWITCH(F21,"R",_xlfn.XLOOKUP(E21&amp;"|"&amp;B21,
        Calculate_cap_emi_sens!$I$14:$I$21&amp;"|"&amp;Calculate_cap_emi_sens!$L$14:$L$21,
        Calculate_cap_emi_sens!$BE$14:$BE$21, "Not found", 0),"Rb",_xlfn.XLOOKUP(E21&amp;"|"&amp;B21,
        Calculate_cap_emi_sens!$I$14:$I$21&amp;"|"&amp;Calculate_cap_emi_sens!$L$14:$L$21,
        Calculate_cap_emi_sens!$BG$14:$BG$21, "Not found", 0),"Rl",_xlfn.XLOOKUP(E21&amp;"|"&amp;B21,
        Calculate_cap_emi_sens!$I$14:$I$21&amp;"|"&amp;Calculate_cap_emi_sens!$L$14:$L$21,
        Calculate_cap_emi_sens!$BH$14:$BH$21, "Not found", 0),"HP",_xlfn.XLOOKUP(E21&amp;"|"&amp;B21,
        Calculate_cap_emi_sens!$I$14:$I$21&amp;"|"&amp;Calculate_cap_emi_sens!$L$14:$L$21,
        Calculate_cap_emi_sens!$BF$14:$BF$21, "Not found", 0),"HPl",_xlfn.XLOOKUP(E21&amp;"|"&amp;B21,
        Calculate_cap_emi_sens!$I$14:$I$21&amp;"|"&amp;Calculate_cap_emi_sens!$L$14:$L$21,
        Calculate_cap_emi_sens!$BI$14:$BI$21, "Not found", 0),"Missing")</f>
        <v>0</v>
      </c>
      <c r="W21" s="5">
        <f>Results_proc_ener!L21</f>
        <v>6248.7743688918881</v>
      </c>
      <c r="X21" s="5">
        <f>Results_proc_ener!M21</f>
        <v>0</v>
      </c>
      <c r="Y21" s="5">
        <f>Results_proc_ener!N21</f>
        <v>0</v>
      </c>
      <c r="Z21" s="5">
        <f>Results_proc_ener!O21</f>
        <v>0</v>
      </c>
      <c r="AA21" s="5">
        <f>Results_proc_ener!P21</f>
        <v>0</v>
      </c>
      <c r="AB21" s="5">
        <f>Results_proc_ener!Q21</f>
        <v>221.5911942468</v>
      </c>
      <c r="AC21" s="5">
        <f>Results_proc_ener!R21</f>
        <v>4.5756503732009577</v>
      </c>
      <c r="AD21" s="5">
        <f>Results_proc_ener!S21</f>
        <v>27.594706715911837</v>
      </c>
      <c r="AE21" s="5">
        <f>Results_proc_ener!T21</f>
        <v>0</v>
      </c>
    </row>
    <row r="22" spans="1:31" x14ac:dyDescent="0.25">
      <c r="A22" s="5" t="s">
        <v>7</v>
      </c>
      <c r="B22" s="5" t="str">
        <f t="shared" si="0"/>
        <v>Mod-Nom</v>
      </c>
      <c r="C22" s="5" t="str">
        <f t="shared" si="1"/>
        <v>Mod</v>
      </c>
      <c r="D22" s="5" t="str">
        <f t="shared" si="2"/>
        <v>Nom</v>
      </c>
      <c r="E22" s="5" t="s">
        <v>3</v>
      </c>
      <c r="F22" s="5" t="s">
        <v>15</v>
      </c>
      <c r="G22" s="5"/>
      <c r="H22" s="5"/>
      <c r="I22" s="5" cm="1">
        <f t="array" ref="I22">_xlfn.SWITCH(F22,"R",_xlfn.XLOOKUP(E22&amp;"|"&amp;B22,
        Calculate_cap_emi!$I$14:$I$21&amp;"|"&amp;Calculate_cap_emi!$L$14:$L$21,
        Calculate_cap_emi!$W$14:$W$21, "Not found", 0),"Rb",_xlfn.XLOOKUP(E22&amp;"|"&amp;B22,
        Calculate_cap_emi!$I$14:$I$21&amp;"|"&amp;Calculate_cap_emi!$L$14:$L$21,
        Calculate_cap_emi!$Y$14:$Y$21, "Not found", 0),"Rl",_xlfn.XLOOKUP(E22&amp;"|"&amp;B22,
        Calculate_cap_emi!$I$14:$I$21&amp;"|"&amp;Calculate_cap_emi!$L$14:$L$21,
        Calculate_cap_emi!$Z$14:$Z$21, "Not found", 0),0)</f>
        <v>4</v>
      </c>
      <c r="J22" s="5"/>
      <c r="K22" s="5"/>
      <c r="L22" s="5" cm="1">
        <f t="array" ref="L22">_xlfn.SWITCH(F22,"R",_xlfn.XLOOKUP(E22&amp;"|"&amp;B22,
        Calculate_cap_emi!$I$14:$I$21&amp;"|"&amp;Calculate_cap_emi!$L$14:$L$21,
        Calculate_cap_emi!$AC$14:$AC$21, "Not found", 0),"Rb",_xlfn.XLOOKUP(E22&amp;"|"&amp;B22,
        Calculate_cap_emi!$I$14:$I$21&amp;"|"&amp;Calculate_cap_emi!$L$14:$L$21,
        Calculate_cap_emi!$AE$14:$AE$21, "Not found", 0),"Rl",_xlfn.XLOOKUP(E22&amp;"|"&amp;B22,
        Calculate_cap_emi!$I$14:$I$21&amp;"|"&amp;Calculate_cap_emi!$L$14:$L$21,
        Calculate_cap_emi!$AF$14:$AF$21, "Not found", 0),"HP",_xlfn.XLOOKUP(E22&amp;"|"&amp;B22,
        Calculate_cap_emi!$I$14:$I$21&amp;"|"&amp;Calculate_cap_emi!$L$14:$L$21,
        Calculate_cap_emi!$AD$14:$AD$21, "Not found", 0),"HPl",_xlfn.XLOOKUP(E22&amp;"|"&amp;B22,
        Calculate_cap_emi!$I$14:$I$21&amp;"|"&amp;Calculate_cap_emi!$L$14:$L$21,
        Calculate_cap_emi!$AG$14:$AG$21, "Not found", 0),"Missing")</f>
        <v>478.01077307880126</v>
      </c>
      <c r="M22" s="5"/>
      <c r="N22" s="5"/>
      <c r="O22" s="5"/>
      <c r="P22" s="5"/>
      <c r="Q22" s="5" cm="1">
        <f t="array" ref="Q22">_xlfn.SWITCH(F22,"R",_xlfn.XLOOKUP(E22&amp;"|"&amp;B22,
        Calculate_cap_emi!$I$14:$I$21&amp;"|"&amp;Calculate_cap_emi!$L$14:$L$21,
        Calculate_cap_emi!$AJ$14:$AJ$21, "Not found", 0),"Rb",_xlfn.XLOOKUP(E22&amp;"|"&amp;B22,
        Calculate_cap_emi!$I$14:$I$21&amp;"|"&amp;Calculate_cap_emi!$L$14:$L$21,
        Calculate_cap_emi!$AL$14:$AL$21, "Not found", 0),"Rl",_xlfn.XLOOKUP(E22&amp;"|"&amp;B22,
        Calculate_cap_emi!$I$14:$I$21&amp;"|"&amp;Calculate_cap_emi!$L$14:$L$21,
        Calculate_cap_emi!$AM$14:$AM$21, "Not found", 0),"HP",_xlfn.XLOOKUP(E22&amp;"|"&amp;B22,
        Calculate_cap_emi!$I$14:$I$21&amp;"|"&amp;Calculate_cap_emi!$L$14:$L$21,
        Calculate_cap_emi!$AK$14:$AK$21, "Not found", 0),"HPl",_xlfn.XLOOKUP(E22&amp;"|"&amp;B22,
        Calculate_cap_emi!$I$14:$I$21&amp;"|"&amp;Calculate_cap_emi!$L$14:$L$21,
        Calculate_cap_emi!$AN$14:$AN$21, "Not found", 0),"Missing")</f>
        <v>20.925909588705881</v>
      </c>
      <c r="R22" s="5" cm="1">
        <f t="array" ref="R22">_xlfn.SWITCH(F22,"R",_xlfn.XLOOKUP(E22&amp;"|"&amp;B22,
        Calculate_cap_emi!$I$14:$I$21&amp;"|"&amp;Calculate_cap_emi!$L$14:$L$21,
        Calculate_cap_emi!$AQ$14:$AQ$21, "Not found", 0),"Rb",_xlfn.XLOOKUP(E22&amp;"|"&amp;B22,
        Calculate_cap_emi!$I$14:$I$21&amp;"|"&amp;Calculate_cap_emi!$L$14:$L$21,
        Calculate_cap_emi!$AS$14:$AS$21, "Not found", 0),"Rl",_xlfn.XLOOKUP(E22&amp;"|"&amp;B22,
        Calculate_cap_emi!$I$14:$I$21&amp;"|"&amp;Calculate_cap_emi!$L$14:$L$21,
        Calculate_cap_emi!$AT$14:$AT$21, "Not found", 0),"HP",_xlfn.XLOOKUP(E22&amp;"|"&amp;B22,
        Calculate_cap_emi!$I$14:$I$21&amp;"|"&amp;Calculate_cap_emi!$L$14:$L$21,
        Calculate_cap_emi!$AR$14:$AR$21, "Not found", 0),"HPl",_xlfn.XLOOKUP(E22&amp;"|"&amp;B22,
        Calculate_cap_emi!$I$14:$I$21&amp;"|"&amp;Calculate_cap_emi!$L$14:$L$21,
        Calculate_cap_emi!$AU$14:$AU$21, "Not found", 0),"Missing")</f>
        <v>2.7351567091876587</v>
      </c>
      <c r="S22" s="5" cm="1">
        <f t="array" ref="S22">_xlfn.SWITCH(F22,"R",_xlfn.XLOOKUP(E22&amp;"|"&amp;B22,
        Calculate_cap_emi!$I$14:$I$21&amp;"|"&amp;Calculate_cap_emi!$L$14:$L$21,
        Calculate_cap_emi!$AX$14:$AX$21, "Not found", 0),"Rb",_xlfn.XLOOKUP(E22&amp;"|"&amp;B22,
        Calculate_cap_emi!$I$14:$I$21&amp;"|"&amp;Calculate_cap_emi!$L$14:$L$21,
        Calculate_cap_emi!$AZ$14:$AZ$21, "Not found", 0),"Rl",_xlfn.XLOOKUP(E22&amp;"|"&amp;B22,
        Calculate_cap_emi!$I$14:$I$21&amp;"|"&amp;Calculate_cap_emi!$L$14:$L$21,
        Calculate_cap_emi!$BA$14:$BA$21, "Not found", 0),"HP",_xlfn.XLOOKUP(E22&amp;"|"&amp;B22,
        Calculate_cap_emi!$I$14:$I$21&amp;"|"&amp;Calculate_cap_emi!$L$14:$L$21,
        Calculate_cap_emi!$AY$14:$AY$21, "Not found", 0),"HPl",_xlfn.XLOOKUP(E22&amp;"|"&amp;B22,
        Calculate_cap_emi!$I$14:$I$21&amp;"|"&amp;Calculate_cap_emi!$L$14:$L$21,
        Calculate_cap_emi!$BB$14:$BB$21, "Not found", 0),"Missing")</f>
        <v>24.847301229479747</v>
      </c>
      <c r="T22" s="5" cm="1">
        <f t="array" ref="T22">_xlfn.SWITCH(F22,"R",_xlfn.XLOOKUP(E22&amp;"|"&amp;B22,
        Calculate_cap_emi!$I$14:$I$21&amp;"|"&amp;Calculate_cap_emi!$L$14:$L$21,
        Calculate_cap_emi!$BE$14:$BE$21, "Not found", 0),"Rb",_xlfn.XLOOKUP(E22&amp;"|"&amp;B22,
        Calculate_cap_emi!$I$14:$I$21&amp;"|"&amp;Calculate_cap_emi!$L$14:$L$21,
        Calculate_cap_emi!$BG$14:$BG$21, "Not found", 0),"Rl",_xlfn.XLOOKUP(E22&amp;"|"&amp;B22,
        Calculate_cap_emi!$I$14:$I$21&amp;"|"&amp;Calculate_cap_emi!$L$14:$L$21,
        Calculate_cap_emi!$BH$14:$BH$21, "Not found", 0),"HP",_xlfn.XLOOKUP(E22&amp;"|"&amp;B22,
        Calculate_cap_emi!$I$14:$I$21&amp;"|"&amp;Calculate_cap_emi!$L$14:$L$21,
        Calculate_cap_emi!$BF$14:$BF$21, "Not found", 0),"HPl",_xlfn.XLOOKUP(E22&amp;"|"&amp;B22,
        Calculate_cap_emi!$I$14:$I$21&amp;"|"&amp;Calculate_cap_emi!$L$14:$L$21,
        Calculate_cap_emi!$BI$14:$BI$21, "Not found", 0),"Missing")</f>
        <v>0</v>
      </c>
      <c r="U22" s="5" cm="1">
        <f t="array" ref="U22">_xlfn.SWITCH(F22,"R",_xlfn.XLOOKUP(E22&amp;"|"&amp;B22,
        Calculate_cap_emi_sens!$I$14:$I$21&amp;"|"&amp;Calculate_cap_emi_sens!$L$14:$L$21,
        Calculate_cap_emi_sens!$AX$14:$AX$21, "Not found", 0),"Rb",_xlfn.XLOOKUP(E22&amp;"|"&amp;B22,
        Calculate_cap_emi_sens!$I$14:$I$21&amp;"|"&amp;Calculate_cap_emi_sens!$L$14:$L$21,
        Calculate_cap_emi_sens!$AZ$14:$AZ$21, "Not found", 0),"Rl",_xlfn.XLOOKUP(E22&amp;"|"&amp;B22,
        Calculate_cap_emi_sens!$I$14:$I$21&amp;"|"&amp;Calculate_cap_emi_sens!$L$14:$L$21,
        Calculate_cap_emi_sens!$BA$14:$BA$21, "Not found", 0),"HP",_xlfn.XLOOKUP(E22&amp;"|"&amp;B22,
        Calculate_cap_emi_sens!$I$14:$I$21&amp;"|"&amp;Calculate_cap_emi_sens!$L$14:$L$21,
        Calculate_cap_emi_sens!$AY$14:$AY$21, "Not found", 0),"HPl",_xlfn.XLOOKUP(E22&amp;"|"&amp;B22,
        Calculate_cap_emi_sens!$I$14:$I$21&amp;"|"&amp;Calculate_cap_emi_sens!$L$14:$L$21,
        Calculate_cap_emi_sens!$BB$14:$BB$21, "Not found", 0),"Missing")</f>
        <v>24.847301229479747</v>
      </c>
      <c r="V22" s="5" cm="1">
        <f t="array" ref="V22">_xlfn.SWITCH(F22,"R",_xlfn.XLOOKUP(E22&amp;"|"&amp;B22,
        Calculate_cap_emi_sens!$I$14:$I$21&amp;"|"&amp;Calculate_cap_emi_sens!$L$14:$L$21,
        Calculate_cap_emi_sens!$BE$14:$BE$21, "Not found", 0),"Rb",_xlfn.XLOOKUP(E22&amp;"|"&amp;B22,
        Calculate_cap_emi_sens!$I$14:$I$21&amp;"|"&amp;Calculate_cap_emi_sens!$L$14:$L$21,
        Calculate_cap_emi_sens!$BG$14:$BG$21, "Not found", 0),"Rl",_xlfn.XLOOKUP(E22&amp;"|"&amp;B22,
        Calculate_cap_emi_sens!$I$14:$I$21&amp;"|"&amp;Calculate_cap_emi_sens!$L$14:$L$21,
        Calculate_cap_emi_sens!$BH$14:$BH$21, "Not found", 0),"HP",_xlfn.XLOOKUP(E22&amp;"|"&amp;B22,
        Calculate_cap_emi_sens!$I$14:$I$21&amp;"|"&amp;Calculate_cap_emi_sens!$L$14:$L$21,
        Calculate_cap_emi_sens!$BF$14:$BF$21, "Not found", 0),"HPl",_xlfn.XLOOKUP(E22&amp;"|"&amp;B22,
        Calculate_cap_emi_sens!$I$14:$I$21&amp;"|"&amp;Calculate_cap_emi_sens!$L$14:$L$21,
        Calculate_cap_emi_sens!$BI$14:$BI$21, "Not found", 0),"Missing")</f>
        <v>0</v>
      </c>
      <c r="W22" s="5">
        <f>Results_proc_ener!L22</f>
        <v>12497.548737783776</v>
      </c>
      <c r="X22" s="5">
        <f>Results_proc_ener!M22</f>
        <v>0</v>
      </c>
      <c r="Y22" s="5">
        <f>Results_proc_ener!N22</f>
        <v>0</v>
      </c>
      <c r="Z22" s="5">
        <f>Results_proc_ener!O22</f>
        <v>0</v>
      </c>
      <c r="AA22" s="5">
        <f>Results_proc_ener!P22</f>
        <v>0</v>
      </c>
      <c r="AB22" s="5">
        <f>Results_proc_ener!Q22</f>
        <v>443.1823884936</v>
      </c>
      <c r="AC22" s="5">
        <f>Results_proc_ener!R22</f>
        <v>9.1513007464019154</v>
      </c>
      <c r="AD22" s="5">
        <f>Results_proc_ener!S22</f>
        <v>55.189413431823674</v>
      </c>
      <c r="AE22" s="5">
        <f>Results_proc_ener!T22</f>
        <v>0</v>
      </c>
    </row>
    <row r="23" spans="1:31" x14ac:dyDescent="0.25">
      <c r="A23" s="5" t="s">
        <v>8</v>
      </c>
      <c r="B23" s="5" t="str">
        <f t="shared" si="0"/>
        <v>Mod-Nom</v>
      </c>
      <c r="C23" s="5" t="str">
        <f t="shared" si="1"/>
        <v>Mod</v>
      </c>
      <c r="D23" s="5" t="str">
        <f t="shared" si="2"/>
        <v>Nom</v>
      </c>
      <c r="E23" s="5" t="s">
        <v>3</v>
      </c>
      <c r="F23" s="5" t="s">
        <v>15</v>
      </c>
      <c r="G23" s="5"/>
      <c r="H23" s="5"/>
      <c r="I23" s="5" cm="1">
        <f t="array" ref="I23">_xlfn.SWITCH(F23,"R",_xlfn.XLOOKUP(E23&amp;"|"&amp;B23,
        Calculate_cap_emi!$I$14:$I$21&amp;"|"&amp;Calculate_cap_emi!$L$14:$L$21,
        Calculate_cap_emi!$W$14:$W$21, "Not found", 0),"Rb",_xlfn.XLOOKUP(E23&amp;"|"&amp;B23,
        Calculate_cap_emi!$I$14:$I$21&amp;"|"&amp;Calculate_cap_emi!$L$14:$L$21,
        Calculate_cap_emi!$Y$14:$Y$21, "Not found", 0),"Rl",_xlfn.XLOOKUP(E23&amp;"|"&amp;B23,
        Calculate_cap_emi!$I$14:$I$21&amp;"|"&amp;Calculate_cap_emi!$L$14:$L$21,
        Calculate_cap_emi!$Z$14:$Z$21, "Not found", 0),0)</f>
        <v>4</v>
      </c>
      <c r="J23" s="5"/>
      <c r="K23" s="5"/>
      <c r="L23" s="5" cm="1">
        <f t="array" ref="L23">_xlfn.SWITCH(F23,"R",_xlfn.XLOOKUP(E23&amp;"|"&amp;B23,
        Calculate_cap_emi!$I$14:$I$21&amp;"|"&amp;Calculate_cap_emi!$L$14:$L$21,
        Calculate_cap_emi!$AC$14:$AC$21, "Not found", 0),"Rb",_xlfn.XLOOKUP(E23&amp;"|"&amp;B23,
        Calculate_cap_emi!$I$14:$I$21&amp;"|"&amp;Calculate_cap_emi!$L$14:$L$21,
        Calculate_cap_emi!$AE$14:$AE$21, "Not found", 0),"Rl",_xlfn.XLOOKUP(E23&amp;"|"&amp;B23,
        Calculate_cap_emi!$I$14:$I$21&amp;"|"&amp;Calculate_cap_emi!$L$14:$L$21,
        Calculate_cap_emi!$AF$14:$AF$21, "Not found", 0),"HP",_xlfn.XLOOKUP(E23&amp;"|"&amp;B23,
        Calculate_cap_emi!$I$14:$I$21&amp;"|"&amp;Calculate_cap_emi!$L$14:$L$21,
        Calculate_cap_emi!$AD$14:$AD$21, "Not found", 0),"HPl",_xlfn.XLOOKUP(E23&amp;"|"&amp;B23,
        Calculate_cap_emi!$I$14:$I$21&amp;"|"&amp;Calculate_cap_emi!$L$14:$L$21,
        Calculate_cap_emi!$AG$14:$AG$21, "Not found", 0),"Missing")</f>
        <v>478.01077307880126</v>
      </c>
      <c r="M23" s="5"/>
      <c r="N23" s="5"/>
      <c r="O23" s="5"/>
      <c r="P23" s="5"/>
      <c r="Q23" s="5" cm="1">
        <f t="array" ref="Q23">_xlfn.SWITCH(F23,"R",_xlfn.XLOOKUP(E23&amp;"|"&amp;B23,
        Calculate_cap_emi!$I$14:$I$21&amp;"|"&amp;Calculate_cap_emi!$L$14:$L$21,
        Calculate_cap_emi!$AJ$14:$AJ$21, "Not found", 0),"Rb",_xlfn.XLOOKUP(E23&amp;"|"&amp;B23,
        Calculate_cap_emi!$I$14:$I$21&amp;"|"&amp;Calculate_cap_emi!$L$14:$L$21,
        Calculate_cap_emi!$AL$14:$AL$21, "Not found", 0),"Rl",_xlfn.XLOOKUP(E23&amp;"|"&amp;B23,
        Calculate_cap_emi!$I$14:$I$21&amp;"|"&amp;Calculate_cap_emi!$L$14:$L$21,
        Calculate_cap_emi!$AM$14:$AM$21, "Not found", 0),"HP",_xlfn.XLOOKUP(E23&amp;"|"&amp;B23,
        Calculate_cap_emi!$I$14:$I$21&amp;"|"&amp;Calculate_cap_emi!$L$14:$L$21,
        Calculate_cap_emi!$AK$14:$AK$21, "Not found", 0),"HPl",_xlfn.XLOOKUP(E23&amp;"|"&amp;B23,
        Calculate_cap_emi!$I$14:$I$21&amp;"|"&amp;Calculate_cap_emi!$L$14:$L$21,
        Calculate_cap_emi!$AN$14:$AN$21, "Not found", 0),"Missing")</f>
        <v>20.925909588705881</v>
      </c>
      <c r="R23" s="5" cm="1">
        <f t="array" ref="R23">_xlfn.SWITCH(F23,"R",_xlfn.XLOOKUP(E23&amp;"|"&amp;B23,
        Calculate_cap_emi!$I$14:$I$21&amp;"|"&amp;Calculate_cap_emi!$L$14:$L$21,
        Calculate_cap_emi!$AQ$14:$AQ$21, "Not found", 0),"Rb",_xlfn.XLOOKUP(E23&amp;"|"&amp;B23,
        Calculate_cap_emi!$I$14:$I$21&amp;"|"&amp;Calculate_cap_emi!$L$14:$L$21,
        Calculate_cap_emi!$AS$14:$AS$21, "Not found", 0),"Rl",_xlfn.XLOOKUP(E23&amp;"|"&amp;B23,
        Calculate_cap_emi!$I$14:$I$21&amp;"|"&amp;Calculate_cap_emi!$L$14:$L$21,
        Calculate_cap_emi!$AT$14:$AT$21, "Not found", 0),"HP",_xlfn.XLOOKUP(E23&amp;"|"&amp;B23,
        Calculate_cap_emi!$I$14:$I$21&amp;"|"&amp;Calculate_cap_emi!$L$14:$L$21,
        Calculate_cap_emi!$AR$14:$AR$21, "Not found", 0),"HPl",_xlfn.XLOOKUP(E23&amp;"|"&amp;B23,
        Calculate_cap_emi!$I$14:$I$21&amp;"|"&amp;Calculate_cap_emi!$L$14:$L$21,
        Calculate_cap_emi!$AU$14:$AU$21, "Not found", 0),"Missing")</f>
        <v>2.7351567091876587</v>
      </c>
      <c r="S23" s="5" cm="1">
        <f t="array" ref="S23">_xlfn.SWITCH(F23,"R",_xlfn.XLOOKUP(E23&amp;"|"&amp;B23,
        Calculate_cap_emi!$I$14:$I$21&amp;"|"&amp;Calculate_cap_emi!$L$14:$L$21,
        Calculate_cap_emi!$AX$14:$AX$21, "Not found", 0),"Rb",_xlfn.XLOOKUP(E23&amp;"|"&amp;B23,
        Calculate_cap_emi!$I$14:$I$21&amp;"|"&amp;Calculate_cap_emi!$L$14:$L$21,
        Calculate_cap_emi!$AZ$14:$AZ$21, "Not found", 0),"Rl",_xlfn.XLOOKUP(E23&amp;"|"&amp;B23,
        Calculate_cap_emi!$I$14:$I$21&amp;"|"&amp;Calculate_cap_emi!$L$14:$L$21,
        Calculate_cap_emi!$BA$14:$BA$21, "Not found", 0),"HP",_xlfn.XLOOKUP(E23&amp;"|"&amp;B23,
        Calculate_cap_emi!$I$14:$I$21&amp;"|"&amp;Calculate_cap_emi!$L$14:$L$21,
        Calculate_cap_emi!$AY$14:$AY$21, "Not found", 0),"HPl",_xlfn.XLOOKUP(E23&amp;"|"&amp;B23,
        Calculate_cap_emi!$I$14:$I$21&amp;"|"&amp;Calculate_cap_emi!$L$14:$L$21,
        Calculate_cap_emi!$BB$14:$BB$21, "Not found", 0),"Missing")</f>
        <v>24.847301229479747</v>
      </c>
      <c r="T23" s="5" cm="1">
        <f t="array" ref="T23">_xlfn.SWITCH(F23,"R",_xlfn.XLOOKUP(E23&amp;"|"&amp;B23,
        Calculate_cap_emi!$I$14:$I$21&amp;"|"&amp;Calculate_cap_emi!$L$14:$L$21,
        Calculate_cap_emi!$BE$14:$BE$21, "Not found", 0),"Rb",_xlfn.XLOOKUP(E23&amp;"|"&amp;B23,
        Calculate_cap_emi!$I$14:$I$21&amp;"|"&amp;Calculate_cap_emi!$L$14:$L$21,
        Calculate_cap_emi!$BG$14:$BG$21, "Not found", 0),"Rl",_xlfn.XLOOKUP(E23&amp;"|"&amp;B23,
        Calculate_cap_emi!$I$14:$I$21&amp;"|"&amp;Calculate_cap_emi!$L$14:$L$21,
        Calculate_cap_emi!$BH$14:$BH$21, "Not found", 0),"HP",_xlfn.XLOOKUP(E23&amp;"|"&amp;B23,
        Calculate_cap_emi!$I$14:$I$21&amp;"|"&amp;Calculate_cap_emi!$L$14:$L$21,
        Calculate_cap_emi!$BF$14:$BF$21, "Not found", 0),"HPl",_xlfn.XLOOKUP(E23&amp;"|"&amp;B23,
        Calculate_cap_emi!$I$14:$I$21&amp;"|"&amp;Calculate_cap_emi!$L$14:$L$21,
        Calculate_cap_emi!$BI$14:$BI$21, "Not found", 0),"Missing")</f>
        <v>0</v>
      </c>
      <c r="U23" s="5" cm="1">
        <f t="array" ref="U23">_xlfn.SWITCH(F23,"R",_xlfn.XLOOKUP(E23&amp;"|"&amp;B23,
        Calculate_cap_emi_sens!$I$14:$I$21&amp;"|"&amp;Calculate_cap_emi_sens!$L$14:$L$21,
        Calculate_cap_emi_sens!$AX$14:$AX$21, "Not found", 0),"Rb",_xlfn.XLOOKUP(E23&amp;"|"&amp;B23,
        Calculate_cap_emi_sens!$I$14:$I$21&amp;"|"&amp;Calculate_cap_emi_sens!$L$14:$L$21,
        Calculate_cap_emi_sens!$AZ$14:$AZ$21, "Not found", 0),"Rl",_xlfn.XLOOKUP(E23&amp;"|"&amp;B23,
        Calculate_cap_emi_sens!$I$14:$I$21&amp;"|"&amp;Calculate_cap_emi_sens!$L$14:$L$21,
        Calculate_cap_emi_sens!$BA$14:$BA$21, "Not found", 0),"HP",_xlfn.XLOOKUP(E23&amp;"|"&amp;B23,
        Calculate_cap_emi_sens!$I$14:$I$21&amp;"|"&amp;Calculate_cap_emi_sens!$L$14:$L$21,
        Calculate_cap_emi_sens!$AY$14:$AY$21, "Not found", 0),"HPl",_xlfn.XLOOKUP(E23&amp;"|"&amp;B23,
        Calculate_cap_emi_sens!$I$14:$I$21&amp;"|"&amp;Calculate_cap_emi_sens!$L$14:$L$21,
        Calculate_cap_emi_sens!$BB$14:$BB$21, "Not found", 0),"Missing")</f>
        <v>24.847301229479747</v>
      </c>
      <c r="V23" s="5" cm="1">
        <f t="array" ref="V23">_xlfn.SWITCH(F23,"R",_xlfn.XLOOKUP(E23&amp;"|"&amp;B23,
        Calculate_cap_emi_sens!$I$14:$I$21&amp;"|"&amp;Calculate_cap_emi_sens!$L$14:$L$21,
        Calculate_cap_emi_sens!$BE$14:$BE$21, "Not found", 0),"Rb",_xlfn.XLOOKUP(E23&amp;"|"&amp;B23,
        Calculate_cap_emi_sens!$I$14:$I$21&amp;"|"&amp;Calculate_cap_emi_sens!$L$14:$L$21,
        Calculate_cap_emi_sens!$BG$14:$BG$21, "Not found", 0),"Rl",_xlfn.XLOOKUP(E23&amp;"|"&amp;B23,
        Calculate_cap_emi_sens!$I$14:$I$21&amp;"|"&amp;Calculate_cap_emi_sens!$L$14:$L$21,
        Calculate_cap_emi_sens!$BH$14:$BH$21, "Not found", 0),"HP",_xlfn.XLOOKUP(E23&amp;"|"&amp;B23,
        Calculate_cap_emi_sens!$I$14:$I$21&amp;"|"&amp;Calculate_cap_emi_sens!$L$14:$L$21,
        Calculate_cap_emi_sens!$BF$14:$BF$21, "Not found", 0),"HPl",_xlfn.XLOOKUP(E23&amp;"|"&amp;B23,
        Calculate_cap_emi_sens!$I$14:$I$21&amp;"|"&amp;Calculate_cap_emi_sens!$L$14:$L$21,
        Calculate_cap_emi_sens!$BI$14:$BI$21, "Not found", 0),"Missing")</f>
        <v>0</v>
      </c>
      <c r="W23" s="5">
        <f>Results_proc_ener!L23</f>
        <v>12497.548737783776</v>
      </c>
      <c r="X23" s="5">
        <f>Results_proc_ener!M23</f>
        <v>0</v>
      </c>
      <c r="Y23" s="5">
        <f>Results_proc_ener!N23</f>
        <v>0</v>
      </c>
      <c r="Z23" s="5">
        <f>Results_proc_ener!O23</f>
        <v>0</v>
      </c>
      <c r="AA23" s="5">
        <f>Results_proc_ener!P23</f>
        <v>0</v>
      </c>
      <c r="AB23" s="5">
        <f>Results_proc_ener!Q23</f>
        <v>443.1823884936</v>
      </c>
      <c r="AC23" s="5">
        <f>Results_proc_ener!R23</f>
        <v>9.1513007464019154</v>
      </c>
      <c r="AD23" s="5">
        <f>Results_proc_ener!S23</f>
        <v>55.189413431823674</v>
      </c>
      <c r="AE23" s="5">
        <f>Results_proc_ener!T23</f>
        <v>0</v>
      </c>
    </row>
    <row r="24" spans="1:31" x14ac:dyDescent="0.25">
      <c r="A24" s="5" t="s">
        <v>9</v>
      </c>
      <c r="B24" s="5" t="str">
        <f t="shared" si="0"/>
        <v>Mod-H1</v>
      </c>
      <c r="C24" s="5" t="str">
        <f t="shared" si="1"/>
        <v>Mod</v>
      </c>
      <c r="D24" s="5" t="str">
        <f t="shared" si="2"/>
        <v>H1</v>
      </c>
      <c r="E24" s="5" t="s">
        <v>3</v>
      </c>
      <c r="F24" s="5" t="s">
        <v>15</v>
      </c>
      <c r="G24" s="5"/>
      <c r="H24" s="5"/>
      <c r="I24" s="5" cm="1">
        <f t="array" ref="I24">_xlfn.SWITCH(F24,"R",_xlfn.XLOOKUP(E24&amp;"|"&amp;B24,
        Calculate_cap_emi!$I$14:$I$21&amp;"|"&amp;Calculate_cap_emi!$L$14:$L$21,
        Calculate_cap_emi!$W$14:$W$21, "Not found", 0),"Rb",_xlfn.XLOOKUP(E24&amp;"|"&amp;B24,
        Calculate_cap_emi!$I$14:$I$21&amp;"|"&amp;Calculate_cap_emi!$L$14:$L$21,
        Calculate_cap_emi!$Y$14:$Y$21, "Not found", 0),"Rl",_xlfn.XLOOKUP(E24&amp;"|"&amp;B24,
        Calculate_cap_emi!$I$14:$I$21&amp;"|"&amp;Calculate_cap_emi!$L$14:$L$21,
        Calculate_cap_emi!$Z$14:$Z$21, "Not found", 0),0)</f>
        <v>4</v>
      </c>
      <c r="J24" s="5"/>
      <c r="K24" s="5"/>
      <c r="L24" s="5" cm="1">
        <f t="array" ref="L24">_xlfn.SWITCH(F24,"R",_xlfn.XLOOKUP(E24&amp;"|"&amp;B24,
        Calculate_cap_emi!$I$14:$I$21&amp;"|"&amp;Calculate_cap_emi!$L$14:$L$21,
        Calculate_cap_emi!$AC$14:$AC$21, "Not found", 0),"Rb",_xlfn.XLOOKUP(E24&amp;"|"&amp;B24,
        Calculate_cap_emi!$I$14:$I$21&amp;"|"&amp;Calculate_cap_emi!$L$14:$L$21,
        Calculate_cap_emi!$AE$14:$AE$21, "Not found", 0),"Rl",_xlfn.XLOOKUP(E24&amp;"|"&amp;B24,
        Calculate_cap_emi!$I$14:$I$21&amp;"|"&amp;Calculate_cap_emi!$L$14:$L$21,
        Calculate_cap_emi!$AF$14:$AF$21, "Not found", 0),"HP",_xlfn.XLOOKUP(E24&amp;"|"&amp;B24,
        Calculate_cap_emi!$I$14:$I$21&amp;"|"&amp;Calculate_cap_emi!$L$14:$L$21,
        Calculate_cap_emi!$AD$14:$AD$21, "Not found", 0),"HPl",_xlfn.XLOOKUP(E24&amp;"|"&amp;B24,
        Calculate_cap_emi!$I$14:$I$21&amp;"|"&amp;Calculate_cap_emi!$L$14:$L$21,
        Calculate_cap_emi!$AG$14:$AG$21, "Not found", 0),"Missing")</f>
        <v>478.01077307880126</v>
      </c>
      <c r="M24" s="5"/>
      <c r="N24" s="5"/>
      <c r="O24" s="5"/>
      <c r="P24" s="5"/>
      <c r="Q24" s="5" cm="1">
        <f t="array" ref="Q24">_xlfn.SWITCH(F24,"R",_xlfn.XLOOKUP(E24&amp;"|"&amp;B24,
        Calculate_cap_emi!$I$14:$I$21&amp;"|"&amp;Calculate_cap_emi!$L$14:$L$21,
        Calculate_cap_emi!$AJ$14:$AJ$21, "Not found", 0),"Rb",_xlfn.XLOOKUP(E24&amp;"|"&amp;B24,
        Calculate_cap_emi!$I$14:$I$21&amp;"|"&amp;Calculate_cap_emi!$L$14:$L$21,
        Calculate_cap_emi!$AL$14:$AL$21, "Not found", 0),"Rl",_xlfn.XLOOKUP(E24&amp;"|"&amp;B24,
        Calculate_cap_emi!$I$14:$I$21&amp;"|"&amp;Calculate_cap_emi!$L$14:$L$21,
        Calculate_cap_emi!$AM$14:$AM$21, "Not found", 0),"HP",_xlfn.XLOOKUP(E24&amp;"|"&amp;B24,
        Calculate_cap_emi!$I$14:$I$21&amp;"|"&amp;Calculate_cap_emi!$L$14:$L$21,
        Calculate_cap_emi!$AK$14:$AK$21, "Not found", 0),"HPl",_xlfn.XLOOKUP(E24&amp;"|"&amp;B24,
        Calculate_cap_emi!$I$14:$I$21&amp;"|"&amp;Calculate_cap_emi!$L$14:$L$21,
        Calculate_cap_emi!$AN$14:$AN$21, "Not found", 0),"Missing")</f>
        <v>20.925909588705881</v>
      </c>
      <c r="R24" s="5" cm="1">
        <f t="array" ref="R24">_xlfn.SWITCH(F24,"R",_xlfn.XLOOKUP(E24&amp;"|"&amp;B24,
        Calculate_cap_emi!$I$14:$I$21&amp;"|"&amp;Calculate_cap_emi!$L$14:$L$21,
        Calculate_cap_emi!$AQ$14:$AQ$21, "Not found", 0),"Rb",_xlfn.XLOOKUP(E24&amp;"|"&amp;B24,
        Calculate_cap_emi!$I$14:$I$21&amp;"|"&amp;Calculate_cap_emi!$L$14:$L$21,
        Calculate_cap_emi!$AS$14:$AS$21, "Not found", 0),"Rl",_xlfn.XLOOKUP(E24&amp;"|"&amp;B24,
        Calculate_cap_emi!$I$14:$I$21&amp;"|"&amp;Calculate_cap_emi!$L$14:$L$21,
        Calculate_cap_emi!$AT$14:$AT$21, "Not found", 0),"HP",_xlfn.XLOOKUP(E24&amp;"|"&amp;B24,
        Calculate_cap_emi!$I$14:$I$21&amp;"|"&amp;Calculate_cap_emi!$L$14:$L$21,
        Calculate_cap_emi!$AR$14:$AR$21, "Not found", 0),"HPl",_xlfn.XLOOKUP(E24&amp;"|"&amp;B24,
        Calculate_cap_emi!$I$14:$I$21&amp;"|"&amp;Calculate_cap_emi!$L$14:$L$21,
        Calculate_cap_emi!$AU$14:$AU$21, "Not found", 0),"Missing")</f>
        <v>2.7351567091876587</v>
      </c>
      <c r="S24" s="5" cm="1">
        <f t="array" ref="S24">_xlfn.SWITCH(F24,"R",_xlfn.XLOOKUP(E24&amp;"|"&amp;B24,
        Calculate_cap_emi!$I$14:$I$21&amp;"|"&amp;Calculate_cap_emi!$L$14:$L$21,
        Calculate_cap_emi!$AX$14:$AX$21, "Not found", 0),"Rb",_xlfn.XLOOKUP(E24&amp;"|"&amp;B24,
        Calculate_cap_emi!$I$14:$I$21&amp;"|"&amp;Calculate_cap_emi!$L$14:$L$21,
        Calculate_cap_emi!$AZ$14:$AZ$21, "Not found", 0),"Rl",_xlfn.XLOOKUP(E24&amp;"|"&amp;B24,
        Calculate_cap_emi!$I$14:$I$21&amp;"|"&amp;Calculate_cap_emi!$L$14:$L$21,
        Calculate_cap_emi!$BA$14:$BA$21, "Not found", 0),"HP",_xlfn.XLOOKUP(E24&amp;"|"&amp;B24,
        Calculate_cap_emi!$I$14:$I$21&amp;"|"&amp;Calculate_cap_emi!$L$14:$L$21,
        Calculate_cap_emi!$AY$14:$AY$21, "Not found", 0),"HPl",_xlfn.XLOOKUP(E24&amp;"|"&amp;B24,
        Calculate_cap_emi!$I$14:$I$21&amp;"|"&amp;Calculate_cap_emi!$L$14:$L$21,
        Calculate_cap_emi!$BB$14:$BB$21, "Not found", 0),"Missing")</f>
        <v>24.847301229479747</v>
      </c>
      <c r="T24" s="5" cm="1">
        <f t="array" ref="T24">_xlfn.SWITCH(F24,"R",_xlfn.XLOOKUP(E24&amp;"|"&amp;B24,
        Calculate_cap_emi!$I$14:$I$21&amp;"|"&amp;Calculate_cap_emi!$L$14:$L$21,
        Calculate_cap_emi!$BE$14:$BE$21, "Not found", 0),"Rb",_xlfn.XLOOKUP(E24&amp;"|"&amp;B24,
        Calculate_cap_emi!$I$14:$I$21&amp;"|"&amp;Calculate_cap_emi!$L$14:$L$21,
        Calculate_cap_emi!$BG$14:$BG$21, "Not found", 0),"Rl",_xlfn.XLOOKUP(E24&amp;"|"&amp;B24,
        Calculate_cap_emi!$I$14:$I$21&amp;"|"&amp;Calculate_cap_emi!$L$14:$L$21,
        Calculate_cap_emi!$BH$14:$BH$21, "Not found", 0),"HP",_xlfn.XLOOKUP(E24&amp;"|"&amp;B24,
        Calculate_cap_emi!$I$14:$I$21&amp;"|"&amp;Calculate_cap_emi!$L$14:$L$21,
        Calculate_cap_emi!$BF$14:$BF$21, "Not found", 0),"HPl",_xlfn.XLOOKUP(E24&amp;"|"&amp;B24,
        Calculate_cap_emi!$I$14:$I$21&amp;"|"&amp;Calculate_cap_emi!$L$14:$L$21,
        Calculate_cap_emi!$BI$14:$BI$21, "Not found", 0),"Missing")</f>
        <v>0</v>
      </c>
      <c r="U24" s="5" cm="1">
        <f t="array" ref="U24">_xlfn.SWITCH(F24,"R",_xlfn.XLOOKUP(E24&amp;"|"&amp;B24,
        Calculate_cap_emi_sens!$I$14:$I$21&amp;"|"&amp;Calculate_cap_emi_sens!$L$14:$L$21,
        Calculate_cap_emi_sens!$AX$14:$AX$21, "Not found", 0),"Rb",_xlfn.XLOOKUP(E24&amp;"|"&amp;B24,
        Calculate_cap_emi_sens!$I$14:$I$21&amp;"|"&amp;Calculate_cap_emi_sens!$L$14:$L$21,
        Calculate_cap_emi_sens!$AZ$14:$AZ$21, "Not found", 0),"Rl",_xlfn.XLOOKUP(E24&amp;"|"&amp;B24,
        Calculate_cap_emi_sens!$I$14:$I$21&amp;"|"&amp;Calculate_cap_emi_sens!$L$14:$L$21,
        Calculate_cap_emi_sens!$BA$14:$BA$21, "Not found", 0),"HP",_xlfn.XLOOKUP(E24&amp;"|"&amp;B24,
        Calculate_cap_emi_sens!$I$14:$I$21&amp;"|"&amp;Calculate_cap_emi_sens!$L$14:$L$21,
        Calculate_cap_emi_sens!$AY$14:$AY$21, "Not found", 0),"HPl",_xlfn.XLOOKUP(E24&amp;"|"&amp;B24,
        Calculate_cap_emi_sens!$I$14:$I$21&amp;"|"&amp;Calculate_cap_emi_sens!$L$14:$L$21,
        Calculate_cap_emi_sens!$BB$14:$BB$21, "Not found", 0),"Missing")</f>
        <v>24.847301229479747</v>
      </c>
      <c r="V24" s="5" cm="1">
        <f t="array" ref="V24">_xlfn.SWITCH(F24,"R",_xlfn.XLOOKUP(E24&amp;"|"&amp;B24,
        Calculate_cap_emi_sens!$I$14:$I$21&amp;"|"&amp;Calculate_cap_emi_sens!$L$14:$L$21,
        Calculate_cap_emi_sens!$BE$14:$BE$21, "Not found", 0),"Rb",_xlfn.XLOOKUP(E24&amp;"|"&amp;B24,
        Calculate_cap_emi_sens!$I$14:$I$21&amp;"|"&amp;Calculate_cap_emi_sens!$L$14:$L$21,
        Calculate_cap_emi_sens!$BG$14:$BG$21, "Not found", 0),"Rl",_xlfn.XLOOKUP(E24&amp;"|"&amp;B24,
        Calculate_cap_emi_sens!$I$14:$I$21&amp;"|"&amp;Calculate_cap_emi_sens!$L$14:$L$21,
        Calculate_cap_emi_sens!$BH$14:$BH$21, "Not found", 0),"HP",_xlfn.XLOOKUP(E24&amp;"|"&amp;B24,
        Calculate_cap_emi_sens!$I$14:$I$21&amp;"|"&amp;Calculate_cap_emi_sens!$L$14:$L$21,
        Calculate_cap_emi_sens!$BF$14:$BF$21, "Not found", 0),"HPl",_xlfn.XLOOKUP(E24&amp;"|"&amp;B24,
        Calculate_cap_emi_sens!$I$14:$I$21&amp;"|"&amp;Calculate_cap_emi_sens!$L$14:$L$21,
        Calculate_cap_emi_sens!$BI$14:$BI$21, "Not found", 0),"Missing")</f>
        <v>0</v>
      </c>
      <c r="W24" s="5">
        <f>Results_proc_ener!L24</f>
        <v>12497.548737783776</v>
      </c>
      <c r="X24" s="5">
        <f>Results_proc_ener!M24</f>
        <v>0</v>
      </c>
      <c r="Y24" s="5">
        <f>Results_proc_ener!N24</f>
        <v>0</v>
      </c>
      <c r="Z24" s="5">
        <f>Results_proc_ener!O24</f>
        <v>0</v>
      </c>
      <c r="AA24" s="5">
        <f>Results_proc_ener!P24</f>
        <v>0</v>
      </c>
      <c r="AB24" s="5">
        <f>Results_proc_ener!Q24</f>
        <v>443.1823884936</v>
      </c>
      <c r="AC24" s="5">
        <f>Results_proc_ener!R24</f>
        <v>9.1513007464019154</v>
      </c>
      <c r="AD24" s="5">
        <f>Results_proc_ener!S24</f>
        <v>55.189413431823674</v>
      </c>
      <c r="AE24" s="5">
        <f>Results_proc_ener!T24</f>
        <v>0</v>
      </c>
    </row>
    <row r="25" spans="1:31" x14ac:dyDescent="0.25">
      <c r="A25" s="5" t="s">
        <v>10</v>
      </c>
      <c r="B25" s="5" t="str">
        <f t="shared" si="0"/>
        <v>Mod-H1</v>
      </c>
      <c r="C25" s="5" t="str">
        <f t="shared" si="1"/>
        <v>Mod</v>
      </c>
      <c r="D25" s="5" t="str">
        <f t="shared" si="2"/>
        <v>H1</v>
      </c>
      <c r="E25" s="5" t="s">
        <v>3</v>
      </c>
      <c r="F25" s="5" t="s">
        <v>15</v>
      </c>
      <c r="G25" s="5"/>
      <c r="H25" s="5"/>
      <c r="I25" s="5" cm="1">
        <f t="array" ref="I25">_xlfn.SWITCH(F25,"R",_xlfn.XLOOKUP(E25&amp;"|"&amp;B25,
        Calculate_cap_emi!$I$14:$I$21&amp;"|"&amp;Calculate_cap_emi!$L$14:$L$21,
        Calculate_cap_emi!$W$14:$W$21, "Not found", 0),"Rb",_xlfn.XLOOKUP(E25&amp;"|"&amp;B25,
        Calculate_cap_emi!$I$14:$I$21&amp;"|"&amp;Calculate_cap_emi!$L$14:$L$21,
        Calculate_cap_emi!$Y$14:$Y$21, "Not found", 0),"Rl",_xlfn.XLOOKUP(E25&amp;"|"&amp;B25,
        Calculate_cap_emi!$I$14:$I$21&amp;"|"&amp;Calculate_cap_emi!$L$14:$L$21,
        Calculate_cap_emi!$Z$14:$Z$21, "Not found", 0),0)</f>
        <v>4</v>
      </c>
      <c r="J25" s="5"/>
      <c r="K25" s="5"/>
      <c r="L25" s="5" cm="1">
        <f t="array" ref="L25">_xlfn.SWITCH(F25,"R",_xlfn.XLOOKUP(E25&amp;"|"&amp;B25,
        Calculate_cap_emi!$I$14:$I$21&amp;"|"&amp;Calculate_cap_emi!$L$14:$L$21,
        Calculate_cap_emi!$AC$14:$AC$21, "Not found", 0),"Rb",_xlfn.XLOOKUP(E25&amp;"|"&amp;B25,
        Calculate_cap_emi!$I$14:$I$21&amp;"|"&amp;Calculate_cap_emi!$L$14:$L$21,
        Calculate_cap_emi!$AE$14:$AE$21, "Not found", 0),"Rl",_xlfn.XLOOKUP(E25&amp;"|"&amp;B25,
        Calculate_cap_emi!$I$14:$I$21&amp;"|"&amp;Calculate_cap_emi!$L$14:$L$21,
        Calculate_cap_emi!$AF$14:$AF$21, "Not found", 0),"HP",_xlfn.XLOOKUP(E25&amp;"|"&amp;B25,
        Calculate_cap_emi!$I$14:$I$21&amp;"|"&amp;Calculate_cap_emi!$L$14:$L$21,
        Calculate_cap_emi!$AD$14:$AD$21, "Not found", 0),"HPl",_xlfn.XLOOKUP(E25&amp;"|"&amp;B25,
        Calculate_cap_emi!$I$14:$I$21&amp;"|"&amp;Calculate_cap_emi!$L$14:$L$21,
        Calculate_cap_emi!$AG$14:$AG$21, "Not found", 0),"Missing")</f>
        <v>478.01077307880126</v>
      </c>
      <c r="M25" s="5"/>
      <c r="N25" s="5"/>
      <c r="O25" s="5"/>
      <c r="P25" s="5"/>
      <c r="Q25" s="5" cm="1">
        <f t="array" ref="Q25">_xlfn.SWITCH(F25,"R",_xlfn.XLOOKUP(E25&amp;"|"&amp;B25,
        Calculate_cap_emi!$I$14:$I$21&amp;"|"&amp;Calculate_cap_emi!$L$14:$L$21,
        Calculate_cap_emi!$AJ$14:$AJ$21, "Not found", 0),"Rb",_xlfn.XLOOKUP(E25&amp;"|"&amp;B25,
        Calculate_cap_emi!$I$14:$I$21&amp;"|"&amp;Calculate_cap_emi!$L$14:$L$21,
        Calculate_cap_emi!$AL$14:$AL$21, "Not found", 0),"Rl",_xlfn.XLOOKUP(E25&amp;"|"&amp;B25,
        Calculate_cap_emi!$I$14:$I$21&amp;"|"&amp;Calculate_cap_emi!$L$14:$L$21,
        Calculate_cap_emi!$AM$14:$AM$21, "Not found", 0),"HP",_xlfn.XLOOKUP(E25&amp;"|"&amp;B25,
        Calculate_cap_emi!$I$14:$I$21&amp;"|"&amp;Calculate_cap_emi!$L$14:$L$21,
        Calculate_cap_emi!$AK$14:$AK$21, "Not found", 0),"HPl",_xlfn.XLOOKUP(E25&amp;"|"&amp;B25,
        Calculate_cap_emi!$I$14:$I$21&amp;"|"&amp;Calculate_cap_emi!$L$14:$L$21,
        Calculate_cap_emi!$AN$14:$AN$21, "Not found", 0),"Missing")</f>
        <v>20.925909588705881</v>
      </c>
      <c r="R25" s="5" cm="1">
        <f t="array" ref="R25">_xlfn.SWITCH(F25,"R",_xlfn.XLOOKUP(E25&amp;"|"&amp;B25,
        Calculate_cap_emi!$I$14:$I$21&amp;"|"&amp;Calculate_cap_emi!$L$14:$L$21,
        Calculate_cap_emi!$AQ$14:$AQ$21, "Not found", 0),"Rb",_xlfn.XLOOKUP(E25&amp;"|"&amp;B25,
        Calculate_cap_emi!$I$14:$I$21&amp;"|"&amp;Calculate_cap_emi!$L$14:$L$21,
        Calculate_cap_emi!$AS$14:$AS$21, "Not found", 0),"Rl",_xlfn.XLOOKUP(E25&amp;"|"&amp;B25,
        Calculate_cap_emi!$I$14:$I$21&amp;"|"&amp;Calculate_cap_emi!$L$14:$L$21,
        Calculate_cap_emi!$AT$14:$AT$21, "Not found", 0),"HP",_xlfn.XLOOKUP(E25&amp;"|"&amp;B25,
        Calculate_cap_emi!$I$14:$I$21&amp;"|"&amp;Calculate_cap_emi!$L$14:$L$21,
        Calculate_cap_emi!$AR$14:$AR$21, "Not found", 0),"HPl",_xlfn.XLOOKUP(E25&amp;"|"&amp;B25,
        Calculate_cap_emi!$I$14:$I$21&amp;"|"&amp;Calculate_cap_emi!$L$14:$L$21,
        Calculate_cap_emi!$AU$14:$AU$21, "Not found", 0),"Missing")</f>
        <v>2.7351567091876587</v>
      </c>
      <c r="S25" s="5" cm="1">
        <f t="array" ref="S25">_xlfn.SWITCH(F25,"R",_xlfn.XLOOKUP(E25&amp;"|"&amp;B25,
        Calculate_cap_emi!$I$14:$I$21&amp;"|"&amp;Calculate_cap_emi!$L$14:$L$21,
        Calculate_cap_emi!$AX$14:$AX$21, "Not found", 0),"Rb",_xlfn.XLOOKUP(E25&amp;"|"&amp;B25,
        Calculate_cap_emi!$I$14:$I$21&amp;"|"&amp;Calculate_cap_emi!$L$14:$L$21,
        Calculate_cap_emi!$AZ$14:$AZ$21, "Not found", 0),"Rl",_xlfn.XLOOKUP(E25&amp;"|"&amp;B25,
        Calculate_cap_emi!$I$14:$I$21&amp;"|"&amp;Calculate_cap_emi!$L$14:$L$21,
        Calculate_cap_emi!$BA$14:$BA$21, "Not found", 0),"HP",_xlfn.XLOOKUP(E25&amp;"|"&amp;B25,
        Calculate_cap_emi!$I$14:$I$21&amp;"|"&amp;Calculate_cap_emi!$L$14:$L$21,
        Calculate_cap_emi!$AY$14:$AY$21, "Not found", 0),"HPl",_xlfn.XLOOKUP(E25&amp;"|"&amp;B25,
        Calculate_cap_emi!$I$14:$I$21&amp;"|"&amp;Calculate_cap_emi!$L$14:$L$21,
        Calculate_cap_emi!$BB$14:$BB$21, "Not found", 0),"Missing")</f>
        <v>24.847301229479747</v>
      </c>
      <c r="T25" s="5" cm="1">
        <f t="array" ref="T25">_xlfn.SWITCH(F25,"R",_xlfn.XLOOKUP(E25&amp;"|"&amp;B25,
        Calculate_cap_emi!$I$14:$I$21&amp;"|"&amp;Calculate_cap_emi!$L$14:$L$21,
        Calculate_cap_emi!$BE$14:$BE$21, "Not found", 0),"Rb",_xlfn.XLOOKUP(E25&amp;"|"&amp;B25,
        Calculate_cap_emi!$I$14:$I$21&amp;"|"&amp;Calculate_cap_emi!$L$14:$L$21,
        Calculate_cap_emi!$BG$14:$BG$21, "Not found", 0),"Rl",_xlfn.XLOOKUP(E25&amp;"|"&amp;B25,
        Calculate_cap_emi!$I$14:$I$21&amp;"|"&amp;Calculate_cap_emi!$L$14:$L$21,
        Calculate_cap_emi!$BH$14:$BH$21, "Not found", 0),"HP",_xlfn.XLOOKUP(E25&amp;"|"&amp;B25,
        Calculate_cap_emi!$I$14:$I$21&amp;"|"&amp;Calculate_cap_emi!$L$14:$L$21,
        Calculate_cap_emi!$BF$14:$BF$21, "Not found", 0),"HPl",_xlfn.XLOOKUP(E25&amp;"|"&amp;B25,
        Calculate_cap_emi!$I$14:$I$21&amp;"|"&amp;Calculate_cap_emi!$L$14:$L$21,
        Calculate_cap_emi!$BI$14:$BI$21, "Not found", 0),"Missing")</f>
        <v>0</v>
      </c>
      <c r="U25" s="5" cm="1">
        <f t="array" ref="U25">_xlfn.SWITCH(F25,"R",_xlfn.XLOOKUP(E25&amp;"|"&amp;B25,
        Calculate_cap_emi_sens!$I$14:$I$21&amp;"|"&amp;Calculate_cap_emi_sens!$L$14:$L$21,
        Calculate_cap_emi_sens!$AX$14:$AX$21, "Not found", 0),"Rb",_xlfn.XLOOKUP(E25&amp;"|"&amp;B25,
        Calculate_cap_emi_sens!$I$14:$I$21&amp;"|"&amp;Calculate_cap_emi_sens!$L$14:$L$21,
        Calculate_cap_emi_sens!$AZ$14:$AZ$21, "Not found", 0),"Rl",_xlfn.XLOOKUP(E25&amp;"|"&amp;B25,
        Calculate_cap_emi_sens!$I$14:$I$21&amp;"|"&amp;Calculate_cap_emi_sens!$L$14:$L$21,
        Calculate_cap_emi_sens!$BA$14:$BA$21, "Not found", 0),"HP",_xlfn.XLOOKUP(E25&amp;"|"&amp;B25,
        Calculate_cap_emi_sens!$I$14:$I$21&amp;"|"&amp;Calculate_cap_emi_sens!$L$14:$L$21,
        Calculate_cap_emi_sens!$AY$14:$AY$21, "Not found", 0),"HPl",_xlfn.XLOOKUP(E25&amp;"|"&amp;B25,
        Calculate_cap_emi_sens!$I$14:$I$21&amp;"|"&amp;Calculate_cap_emi_sens!$L$14:$L$21,
        Calculate_cap_emi_sens!$BB$14:$BB$21, "Not found", 0),"Missing")</f>
        <v>24.847301229479747</v>
      </c>
      <c r="V25" s="5" cm="1">
        <f t="array" ref="V25">_xlfn.SWITCH(F25,"R",_xlfn.XLOOKUP(E25&amp;"|"&amp;B25,
        Calculate_cap_emi_sens!$I$14:$I$21&amp;"|"&amp;Calculate_cap_emi_sens!$L$14:$L$21,
        Calculate_cap_emi_sens!$BE$14:$BE$21, "Not found", 0),"Rb",_xlfn.XLOOKUP(E25&amp;"|"&amp;B25,
        Calculate_cap_emi_sens!$I$14:$I$21&amp;"|"&amp;Calculate_cap_emi_sens!$L$14:$L$21,
        Calculate_cap_emi_sens!$BG$14:$BG$21, "Not found", 0),"Rl",_xlfn.XLOOKUP(E25&amp;"|"&amp;B25,
        Calculate_cap_emi_sens!$I$14:$I$21&amp;"|"&amp;Calculate_cap_emi_sens!$L$14:$L$21,
        Calculate_cap_emi_sens!$BH$14:$BH$21, "Not found", 0),"HP",_xlfn.XLOOKUP(E25&amp;"|"&amp;B25,
        Calculate_cap_emi_sens!$I$14:$I$21&amp;"|"&amp;Calculate_cap_emi_sens!$L$14:$L$21,
        Calculate_cap_emi_sens!$BF$14:$BF$21, "Not found", 0),"HPl",_xlfn.XLOOKUP(E25&amp;"|"&amp;B25,
        Calculate_cap_emi_sens!$I$14:$I$21&amp;"|"&amp;Calculate_cap_emi_sens!$L$14:$L$21,
        Calculate_cap_emi_sens!$BI$14:$BI$21, "Not found", 0),"Missing")</f>
        <v>0</v>
      </c>
      <c r="W25" s="5">
        <f>Results_proc_ener!L25</f>
        <v>12497.548737783776</v>
      </c>
      <c r="X25" s="5">
        <f>Results_proc_ener!M25</f>
        <v>0</v>
      </c>
      <c r="Y25" s="5">
        <f>Results_proc_ener!N25</f>
        <v>0</v>
      </c>
      <c r="Z25" s="5">
        <f>Results_proc_ener!O25</f>
        <v>0</v>
      </c>
      <c r="AA25" s="5">
        <f>Results_proc_ener!P25</f>
        <v>0</v>
      </c>
      <c r="AB25" s="5">
        <f>Results_proc_ener!Q25</f>
        <v>443.1823884936</v>
      </c>
      <c r="AC25" s="5">
        <f>Results_proc_ener!R25</f>
        <v>9.1513007464019154</v>
      </c>
      <c r="AD25" s="5">
        <f>Results_proc_ener!S25</f>
        <v>55.189413431823674</v>
      </c>
      <c r="AE25" s="5">
        <f>Results_proc_ener!T25</f>
        <v>0</v>
      </c>
    </row>
    <row r="26" spans="1:31" x14ac:dyDescent="0.25">
      <c r="A26" s="5" t="s">
        <v>4</v>
      </c>
      <c r="B26" s="5" t="str">
        <f t="shared" si="0"/>
        <v>Mass-Nom</v>
      </c>
      <c r="C26" s="5" t="str">
        <f t="shared" si="1"/>
        <v>Mass</v>
      </c>
      <c r="D26" s="5" t="str">
        <f t="shared" si="2"/>
        <v>Nom</v>
      </c>
      <c r="E26" s="5" t="s">
        <v>11</v>
      </c>
      <c r="F26" s="5" t="s">
        <v>15</v>
      </c>
      <c r="G26" s="5"/>
      <c r="H26" s="5"/>
      <c r="I26" s="5" cm="1">
        <f t="array" ref="I26">_xlfn.SWITCH(F26,"R",_xlfn.XLOOKUP(E26&amp;"|"&amp;B26,
        Calculate_cap_emi!$I$14:$I$21&amp;"|"&amp;Calculate_cap_emi!$L$14:$L$21,
        Calculate_cap_emi!$W$14:$W$21, "Not found", 0),"Rb",_xlfn.XLOOKUP(E26&amp;"|"&amp;B26,
        Calculate_cap_emi!$I$14:$I$21&amp;"|"&amp;Calculate_cap_emi!$L$14:$L$21,
        Calculate_cap_emi!$Y$14:$Y$21, "Not found", 0),"Rl",_xlfn.XLOOKUP(E26&amp;"|"&amp;B26,
        Calculate_cap_emi!$I$14:$I$21&amp;"|"&amp;Calculate_cap_emi!$L$14:$L$21,
        Calculate_cap_emi!$Z$14:$Z$21, "Not found", 0),0)</f>
        <v>7</v>
      </c>
      <c r="J26" s="5"/>
      <c r="K26" s="5"/>
      <c r="L26" s="5" cm="1">
        <f t="array" ref="L26">_xlfn.SWITCH(F26,"R",_xlfn.XLOOKUP(E26&amp;"|"&amp;B26,
        Calculate_cap_emi!$I$14:$I$21&amp;"|"&amp;Calculate_cap_emi!$L$14:$L$21,
        Calculate_cap_emi!$AC$14:$AC$21, "Not found", 0),"Rb",_xlfn.XLOOKUP(E26&amp;"|"&amp;B26,
        Calculate_cap_emi!$I$14:$I$21&amp;"|"&amp;Calculate_cap_emi!$L$14:$L$21,
        Calculate_cap_emi!$AE$14:$AE$21, "Not found", 0),"Rl",_xlfn.XLOOKUP(E26&amp;"|"&amp;B26,
        Calculate_cap_emi!$I$14:$I$21&amp;"|"&amp;Calculate_cap_emi!$L$14:$L$21,
        Calculate_cap_emi!$AF$14:$AF$21, "Not found", 0),"HP",_xlfn.XLOOKUP(E26&amp;"|"&amp;B26,
        Calculate_cap_emi!$I$14:$I$21&amp;"|"&amp;Calculate_cap_emi!$L$14:$L$21,
        Calculate_cap_emi!$AD$14:$AD$21, "Not found", 0),"HPl",_xlfn.XLOOKUP(E26&amp;"|"&amp;B26,
        Calculate_cap_emi!$I$14:$I$21&amp;"|"&amp;Calculate_cap_emi!$L$14:$L$21,
        Calculate_cap_emi!$AG$14:$AG$21, "Not found", 0),"Missing")</f>
        <v>615.23193761518587</v>
      </c>
      <c r="M26" s="5"/>
      <c r="N26" s="5"/>
      <c r="O26" s="5"/>
      <c r="P26" s="5"/>
      <c r="Q26" s="5" cm="1">
        <f t="array" ref="Q26">_xlfn.SWITCH(F26,"R",_xlfn.XLOOKUP(E26&amp;"|"&amp;B26,
        Calculate_cap_emi!$I$14:$I$21&amp;"|"&amp;Calculate_cap_emi!$L$14:$L$21,
        Calculate_cap_emi!$AJ$14:$AJ$21, "Not found", 0),"Rb",_xlfn.XLOOKUP(E26&amp;"|"&amp;B26,
        Calculate_cap_emi!$I$14:$I$21&amp;"|"&amp;Calculate_cap_emi!$L$14:$L$21,
        Calculate_cap_emi!$AL$14:$AL$21, "Not found", 0),"Rl",_xlfn.XLOOKUP(E26&amp;"|"&amp;B26,
        Calculate_cap_emi!$I$14:$I$21&amp;"|"&amp;Calculate_cap_emi!$L$14:$L$21,
        Calculate_cap_emi!$AM$14:$AM$21, "Not found", 0),"HP",_xlfn.XLOOKUP(E26&amp;"|"&amp;B26,
        Calculate_cap_emi!$I$14:$I$21&amp;"|"&amp;Calculate_cap_emi!$L$14:$L$21,
        Calculate_cap_emi!$AK$14:$AK$21, "Not found", 0),"HPl",_xlfn.XLOOKUP(E26&amp;"|"&amp;B26,
        Calculate_cap_emi!$I$14:$I$21&amp;"|"&amp;Calculate_cap_emi!$L$14:$L$21,
        Calculate_cap_emi!$AN$14:$AN$21, "Not found", 0),"Missing")</f>
        <v>29.937346077388234</v>
      </c>
      <c r="R26" s="5" cm="1">
        <f t="array" ref="R26">_xlfn.SWITCH(F26,"R",_xlfn.XLOOKUP(E26&amp;"|"&amp;B26,
        Calculate_cap_emi!$I$14:$I$21&amp;"|"&amp;Calculate_cap_emi!$L$14:$L$21,
        Calculate_cap_emi!$AQ$14:$AQ$21, "Not found", 0),"Rb",_xlfn.XLOOKUP(E26&amp;"|"&amp;B26,
        Calculate_cap_emi!$I$14:$I$21&amp;"|"&amp;Calculate_cap_emi!$L$14:$L$21,
        Calculate_cap_emi!$AS$14:$AS$21, "Not found", 0),"Rl",_xlfn.XLOOKUP(E26&amp;"|"&amp;B26,
        Calculate_cap_emi!$I$14:$I$21&amp;"|"&amp;Calculate_cap_emi!$L$14:$L$21,
        Calculate_cap_emi!$AT$14:$AT$21, "Not found", 0),"HP",_xlfn.XLOOKUP(E26&amp;"|"&amp;B26,
        Calculate_cap_emi!$I$14:$I$21&amp;"|"&amp;Calculate_cap_emi!$L$14:$L$21,
        Calculate_cap_emi!$AR$14:$AR$21, "Not found", 0),"HPl",_xlfn.XLOOKUP(E26&amp;"|"&amp;B26,
        Calculate_cap_emi!$I$14:$I$21&amp;"|"&amp;Calculate_cap_emi!$L$14:$L$21,
        Calculate_cap_emi!$AU$14:$AU$21, "Not found", 0),"Missing")</f>
        <v>3.0919928586861296</v>
      </c>
      <c r="S26" s="5" cm="1">
        <f t="array" ref="S26">_xlfn.SWITCH(F26,"R",_xlfn.XLOOKUP(E26&amp;"|"&amp;B26,
        Calculate_cap_emi!$I$14:$I$21&amp;"|"&amp;Calculate_cap_emi!$L$14:$L$21,
        Calculate_cap_emi!$AX$14:$AX$21, "Not found", 0),"Rb",_xlfn.XLOOKUP(E26&amp;"|"&amp;B26,
        Calculate_cap_emi!$I$14:$I$21&amp;"|"&amp;Calculate_cap_emi!$L$14:$L$21,
        Calculate_cap_emi!$AZ$14:$AZ$21, "Not found", 0),"Rl",_xlfn.XLOOKUP(E26&amp;"|"&amp;B26,
        Calculate_cap_emi!$I$14:$I$21&amp;"|"&amp;Calculate_cap_emi!$L$14:$L$21,
        Calculate_cap_emi!$BA$14:$BA$21, "Not found", 0),"HP",_xlfn.XLOOKUP(E26&amp;"|"&amp;B26,
        Calculate_cap_emi!$I$14:$I$21&amp;"|"&amp;Calculate_cap_emi!$L$14:$L$21,
        Calculate_cap_emi!$AY$14:$AY$21, "Not found", 0),"HPl",_xlfn.XLOOKUP(E26&amp;"|"&amp;B26,
        Calculate_cap_emi!$I$14:$I$21&amp;"|"&amp;Calculate_cap_emi!$L$14:$L$21,
        Calculate_cap_emi!$BB$14:$BB$21, "Not found", 0),"Missing")</f>
        <v>35.438552096308321</v>
      </c>
      <c r="T26" s="5" cm="1">
        <f t="array" ref="T26">_xlfn.SWITCH(F26,"R",_xlfn.XLOOKUP(E26&amp;"|"&amp;B26,
        Calculate_cap_emi!$I$14:$I$21&amp;"|"&amp;Calculate_cap_emi!$L$14:$L$21,
        Calculate_cap_emi!$BE$14:$BE$21, "Not found", 0),"Rb",_xlfn.XLOOKUP(E26&amp;"|"&amp;B26,
        Calculate_cap_emi!$I$14:$I$21&amp;"|"&amp;Calculate_cap_emi!$L$14:$L$21,
        Calculate_cap_emi!$BG$14:$BG$21, "Not found", 0),"Rl",_xlfn.XLOOKUP(E26&amp;"|"&amp;B26,
        Calculate_cap_emi!$I$14:$I$21&amp;"|"&amp;Calculate_cap_emi!$L$14:$L$21,
        Calculate_cap_emi!$BH$14:$BH$21, "Not found", 0),"HP",_xlfn.XLOOKUP(E26&amp;"|"&amp;B26,
        Calculate_cap_emi!$I$14:$I$21&amp;"|"&amp;Calculate_cap_emi!$L$14:$L$21,
        Calculate_cap_emi!$BF$14:$BF$21, "Not found", 0),"HPl",_xlfn.XLOOKUP(E26&amp;"|"&amp;B26,
        Calculate_cap_emi!$I$14:$I$21&amp;"|"&amp;Calculate_cap_emi!$L$14:$L$21,
        Calculate_cap_emi!$BI$14:$BI$21, "Not found", 0),"Missing")</f>
        <v>0</v>
      </c>
      <c r="U26" s="5" cm="1">
        <f t="array" ref="U26">_xlfn.SWITCH(F26,"R",_xlfn.XLOOKUP(E26&amp;"|"&amp;B26,
        Calculate_cap_emi_sens!$I$14:$I$21&amp;"|"&amp;Calculate_cap_emi_sens!$L$14:$L$21,
        Calculate_cap_emi_sens!$AX$14:$AX$21, "Not found", 0),"Rb",_xlfn.XLOOKUP(E26&amp;"|"&amp;B26,
        Calculate_cap_emi_sens!$I$14:$I$21&amp;"|"&amp;Calculate_cap_emi_sens!$L$14:$L$21,
        Calculate_cap_emi_sens!$AZ$14:$AZ$21, "Not found", 0),"Rl",_xlfn.XLOOKUP(E26&amp;"|"&amp;B26,
        Calculate_cap_emi_sens!$I$14:$I$21&amp;"|"&amp;Calculate_cap_emi_sens!$L$14:$L$21,
        Calculate_cap_emi_sens!$BA$14:$BA$21, "Not found", 0),"HP",_xlfn.XLOOKUP(E26&amp;"|"&amp;B26,
        Calculate_cap_emi_sens!$I$14:$I$21&amp;"|"&amp;Calculate_cap_emi_sens!$L$14:$L$21,
        Calculate_cap_emi_sens!$AY$14:$AY$21, "Not found", 0),"HPl",_xlfn.XLOOKUP(E26&amp;"|"&amp;B26,
        Calculate_cap_emi_sens!$I$14:$I$21&amp;"|"&amp;Calculate_cap_emi_sens!$L$14:$L$21,
        Calculate_cap_emi_sens!$BB$14:$BB$21, "Not found", 0),"Missing")</f>
        <v>35.438552096308321</v>
      </c>
      <c r="V26" s="5" cm="1">
        <f t="array" ref="V26">_xlfn.SWITCH(F26,"R",_xlfn.XLOOKUP(E26&amp;"|"&amp;B26,
        Calculate_cap_emi_sens!$I$14:$I$21&amp;"|"&amp;Calculate_cap_emi_sens!$L$14:$L$21,
        Calculate_cap_emi_sens!$BE$14:$BE$21, "Not found", 0),"Rb",_xlfn.XLOOKUP(E26&amp;"|"&amp;B26,
        Calculate_cap_emi_sens!$I$14:$I$21&amp;"|"&amp;Calculate_cap_emi_sens!$L$14:$L$21,
        Calculate_cap_emi_sens!$BG$14:$BG$21, "Not found", 0),"Rl",_xlfn.XLOOKUP(E26&amp;"|"&amp;B26,
        Calculate_cap_emi_sens!$I$14:$I$21&amp;"|"&amp;Calculate_cap_emi_sens!$L$14:$L$21,
        Calculate_cap_emi_sens!$BH$14:$BH$21, "Not found", 0),"HP",_xlfn.XLOOKUP(E26&amp;"|"&amp;B26,
        Calculate_cap_emi_sens!$I$14:$I$21&amp;"|"&amp;Calculate_cap_emi_sens!$L$14:$L$21,
        Calculate_cap_emi_sens!$BF$14:$BF$21, "Not found", 0),"HPl",_xlfn.XLOOKUP(E26&amp;"|"&amp;B26,
        Calculate_cap_emi_sens!$I$14:$I$21&amp;"|"&amp;Calculate_cap_emi_sens!$L$14:$L$21,
        Calculate_cap_emi_sens!$BI$14:$BI$21, "Not found", 0),"Missing")</f>
        <v>0</v>
      </c>
      <c r="W26" s="5">
        <f>Results_proc_ener!L26</f>
        <v>16185.708533022098</v>
      </c>
      <c r="X26" s="5">
        <f>Results_proc_ener!M26</f>
        <v>0</v>
      </c>
      <c r="Y26" s="5">
        <f>Results_proc_ener!N26</f>
        <v>0</v>
      </c>
      <c r="Z26" s="5">
        <f>Results_proc_ener!O26</f>
        <v>0</v>
      </c>
      <c r="AA26" s="5">
        <f>Results_proc_ener!P26</f>
        <v>0</v>
      </c>
      <c r="AB26" s="5">
        <f>Results_proc_ener!Q26</f>
        <v>634.03239335877004</v>
      </c>
      <c r="AC26" s="5">
        <f>Results_proc_ener!R26</f>
        <v>11.642137770141677</v>
      </c>
      <c r="AD26" s="5">
        <f>Results_proc_ener!S26</f>
        <v>66.494484797232133</v>
      </c>
      <c r="AE26" s="5">
        <f>Results_proc_ener!T26</f>
        <v>0</v>
      </c>
    </row>
    <row r="27" spans="1:31" x14ac:dyDescent="0.25">
      <c r="A27" s="5" t="s">
        <v>2</v>
      </c>
      <c r="B27" s="5" t="str">
        <f t="shared" si="0"/>
        <v>Mass-Nom</v>
      </c>
      <c r="C27" s="5" t="str">
        <f t="shared" si="1"/>
        <v>Mass</v>
      </c>
      <c r="D27" s="5" t="str">
        <f t="shared" si="2"/>
        <v>Nom</v>
      </c>
      <c r="E27" s="5" t="s">
        <v>11</v>
      </c>
      <c r="F27" s="5" t="s">
        <v>15</v>
      </c>
      <c r="G27" s="5"/>
      <c r="H27" s="5"/>
      <c r="I27" s="5" cm="1">
        <f t="array" ref="I27">_xlfn.SWITCH(F27,"R",_xlfn.XLOOKUP(E27&amp;"|"&amp;B27,
        Calculate_cap_emi!$I$14:$I$21&amp;"|"&amp;Calculate_cap_emi!$L$14:$L$21,
        Calculate_cap_emi!$W$14:$W$21, "Not found", 0),"Rb",_xlfn.XLOOKUP(E27&amp;"|"&amp;B27,
        Calculate_cap_emi!$I$14:$I$21&amp;"|"&amp;Calculate_cap_emi!$L$14:$L$21,
        Calculate_cap_emi!$Y$14:$Y$21, "Not found", 0),"Rl",_xlfn.XLOOKUP(E27&amp;"|"&amp;B27,
        Calculate_cap_emi!$I$14:$I$21&amp;"|"&amp;Calculate_cap_emi!$L$14:$L$21,
        Calculate_cap_emi!$Z$14:$Z$21, "Not found", 0),0)</f>
        <v>7</v>
      </c>
      <c r="J27" s="5"/>
      <c r="K27" s="5"/>
      <c r="L27" s="5" cm="1">
        <f t="array" ref="L27">_xlfn.SWITCH(F27,"R",_xlfn.XLOOKUP(E27&amp;"|"&amp;B27,
        Calculate_cap_emi!$I$14:$I$21&amp;"|"&amp;Calculate_cap_emi!$L$14:$L$21,
        Calculate_cap_emi!$AC$14:$AC$21, "Not found", 0),"Rb",_xlfn.XLOOKUP(E27&amp;"|"&amp;B27,
        Calculate_cap_emi!$I$14:$I$21&amp;"|"&amp;Calculate_cap_emi!$L$14:$L$21,
        Calculate_cap_emi!$AE$14:$AE$21, "Not found", 0),"Rl",_xlfn.XLOOKUP(E27&amp;"|"&amp;B27,
        Calculate_cap_emi!$I$14:$I$21&amp;"|"&amp;Calculate_cap_emi!$L$14:$L$21,
        Calculate_cap_emi!$AF$14:$AF$21, "Not found", 0),"HP",_xlfn.XLOOKUP(E27&amp;"|"&amp;B27,
        Calculate_cap_emi!$I$14:$I$21&amp;"|"&amp;Calculate_cap_emi!$L$14:$L$21,
        Calculate_cap_emi!$AD$14:$AD$21, "Not found", 0),"HPl",_xlfn.XLOOKUP(E27&amp;"|"&amp;B27,
        Calculate_cap_emi!$I$14:$I$21&amp;"|"&amp;Calculate_cap_emi!$L$14:$L$21,
        Calculate_cap_emi!$AG$14:$AG$21, "Not found", 0),"Missing")</f>
        <v>615.23193761518587</v>
      </c>
      <c r="M27" s="5"/>
      <c r="N27" s="5"/>
      <c r="O27" s="5"/>
      <c r="P27" s="5"/>
      <c r="Q27" s="5" cm="1">
        <f t="array" ref="Q27">_xlfn.SWITCH(F27,"R",_xlfn.XLOOKUP(E27&amp;"|"&amp;B27,
        Calculate_cap_emi!$I$14:$I$21&amp;"|"&amp;Calculate_cap_emi!$L$14:$L$21,
        Calculate_cap_emi!$AJ$14:$AJ$21, "Not found", 0),"Rb",_xlfn.XLOOKUP(E27&amp;"|"&amp;B27,
        Calculate_cap_emi!$I$14:$I$21&amp;"|"&amp;Calculate_cap_emi!$L$14:$L$21,
        Calculate_cap_emi!$AL$14:$AL$21, "Not found", 0),"Rl",_xlfn.XLOOKUP(E27&amp;"|"&amp;B27,
        Calculate_cap_emi!$I$14:$I$21&amp;"|"&amp;Calculate_cap_emi!$L$14:$L$21,
        Calculate_cap_emi!$AM$14:$AM$21, "Not found", 0),"HP",_xlfn.XLOOKUP(E27&amp;"|"&amp;B27,
        Calculate_cap_emi!$I$14:$I$21&amp;"|"&amp;Calculate_cap_emi!$L$14:$L$21,
        Calculate_cap_emi!$AK$14:$AK$21, "Not found", 0),"HPl",_xlfn.XLOOKUP(E27&amp;"|"&amp;B27,
        Calculate_cap_emi!$I$14:$I$21&amp;"|"&amp;Calculate_cap_emi!$L$14:$L$21,
        Calculate_cap_emi!$AN$14:$AN$21, "Not found", 0),"Missing")</f>
        <v>29.937346077388234</v>
      </c>
      <c r="R27" s="5" cm="1">
        <f t="array" ref="R27">_xlfn.SWITCH(F27,"R",_xlfn.XLOOKUP(E27&amp;"|"&amp;B27,
        Calculate_cap_emi!$I$14:$I$21&amp;"|"&amp;Calculate_cap_emi!$L$14:$L$21,
        Calculate_cap_emi!$AQ$14:$AQ$21, "Not found", 0),"Rb",_xlfn.XLOOKUP(E27&amp;"|"&amp;B27,
        Calculate_cap_emi!$I$14:$I$21&amp;"|"&amp;Calculate_cap_emi!$L$14:$L$21,
        Calculate_cap_emi!$AS$14:$AS$21, "Not found", 0),"Rl",_xlfn.XLOOKUP(E27&amp;"|"&amp;B27,
        Calculate_cap_emi!$I$14:$I$21&amp;"|"&amp;Calculate_cap_emi!$L$14:$L$21,
        Calculate_cap_emi!$AT$14:$AT$21, "Not found", 0),"HP",_xlfn.XLOOKUP(E27&amp;"|"&amp;B27,
        Calculate_cap_emi!$I$14:$I$21&amp;"|"&amp;Calculate_cap_emi!$L$14:$L$21,
        Calculate_cap_emi!$AR$14:$AR$21, "Not found", 0),"HPl",_xlfn.XLOOKUP(E27&amp;"|"&amp;B27,
        Calculate_cap_emi!$I$14:$I$21&amp;"|"&amp;Calculate_cap_emi!$L$14:$L$21,
        Calculate_cap_emi!$AU$14:$AU$21, "Not found", 0),"Missing")</f>
        <v>3.0919928586861296</v>
      </c>
      <c r="S27" s="5" cm="1">
        <f t="array" ref="S27">_xlfn.SWITCH(F27,"R",_xlfn.XLOOKUP(E27&amp;"|"&amp;B27,
        Calculate_cap_emi!$I$14:$I$21&amp;"|"&amp;Calculate_cap_emi!$L$14:$L$21,
        Calculate_cap_emi!$AX$14:$AX$21, "Not found", 0),"Rb",_xlfn.XLOOKUP(E27&amp;"|"&amp;B27,
        Calculate_cap_emi!$I$14:$I$21&amp;"|"&amp;Calculate_cap_emi!$L$14:$L$21,
        Calculate_cap_emi!$AZ$14:$AZ$21, "Not found", 0),"Rl",_xlfn.XLOOKUP(E27&amp;"|"&amp;B27,
        Calculate_cap_emi!$I$14:$I$21&amp;"|"&amp;Calculate_cap_emi!$L$14:$L$21,
        Calculate_cap_emi!$BA$14:$BA$21, "Not found", 0),"HP",_xlfn.XLOOKUP(E27&amp;"|"&amp;B27,
        Calculate_cap_emi!$I$14:$I$21&amp;"|"&amp;Calculate_cap_emi!$L$14:$L$21,
        Calculate_cap_emi!$AY$14:$AY$21, "Not found", 0),"HPl",_xlfn.XLOOKUP(E27&amp;"|"&amp;B27,
        Calculate_cap_emi!$I$14:$I$21&amp;"|"&amp;Calculate_cap_emi!$L$14:$L$21,
        Calculate_cap_emi!$BB$14:$BB$21, "Not found", 0),"Missing")</f>
        <v>35.438552096308321</v>
      </c>
      <c r="T27" s="5" cm="1">
        <f t="array" ref="T27">_xlfn.SWITCH(F27,"R",_xlfn.XLOOKUP(E27&amp;"|"&amp;B27,
        Calculate_cap_emi!$I$14:$I$21&amp;"|"&amp;Calculate_cap_emi!$L$14:$L$21,
        Calculate_cap_emi!$BE$14:$BE$21, "Not found", 0),"Rb",_xlfn.XLOOKUP(E27&amp;"|"&amp;B27,
        Calculate_cap_emi!$I$14:$I$21&amp;"|"&amp;Calculate_cap_emi!$L$14:$L$21,
        Calculate_cap_emi!$BG$14:$BG$21, "Not found", 0),"Rl",_xlfn.XLOOKUP(E27&amp;"|"&amp;B27,
        Calculate_cap_emi!$I$14:$I$21&amp;"|"&amp;Calculate_cap_emi!$L$14:$L$21,
        Calculate_cap_emi!$BH$14:$BH$21, "Not found", 0),"HP",_xlfn.XLOOKUP(E27&amp;"|"&amp;B27,
        Calculate_cap_emi!$I$14:$I$21&amp;"|"&amp;Calculate_cap_emi!$L$14:$L$21,
        Calculate_cap_emi!$BF$14:$BF$21, "Not found", 0),"HPl",_xlfn.XLOOKUP(E27&amp;"|"&amp;B27,
        Calculate_cap_emi!$I$14:$I$21&amp;"|"&amp;Calculate_cap_emi!$L$14:$L$21,
        Calculate_cap_emi!$BI$14:$BI$21, "Not found", 0),"Missing")</f>
        <v>0</v>
      </c>
      <c r="U27" s="5" cm="1">
        <f t="array" ref="U27">_xlfn.SWITCH(F27,"R",_xlfn.XLOOKUP(E27&amp;"|"&amp;B27,
        Calculate_cap_emi_sens!$I$14:$I$21&amp;"|"&amp;Calculate_cap_emi_sens!$L$14:$L$21,
        Calculate_cap_emi_sens!$AX$14:$AX$21, "Not found", 0),"Rb",_xlfn.XLOOKUP(E27&amp;"|"&amp;B27,
        Calculate_cap_emi_sens!$I$14:$I$21&amp;"|"&amp;Calculate_cap_emi_sens!$L$14:$L$21,
        Calculate_cap_emi_sens!$AZ$14:$AZ$21, "Not found", 0),"Rl",_xlfn.XLOOKUP(E27&amp;"|"&amp;B27,
        Calculate_cap_emi_sens!$I$14:$I$21&amp;"|"&amp;Calculate_cap_emi_sens!$L$14:$L$21,
        Calculate_cap_emi_sens!$BA$14:$BA$21, "Not found", 0),"HP",_xlfn.XLOOKUP(E27&amp;"|"&amp;B27,
        Calculate_cap_emi_sens!$I$14:$I$21&amp;"|"&amp;Calculate_cap_emi_sens!$L$14:$L$21,
        Calculate_cap_emi_sens!$AY$14:$AY$21, "Not found", 0),"HPl",_xlfn.XLOOKUP(E27&amp;"|"&amp;B27,
        Calculate_cap_emi_sens!$I$14:$I$21&amp;"|"&amp;Calculate_cap_emi_sens!$L$14:$L$21,
        Calculate_cap_emi_sens!$BB$14:$BB$21, "Not found", 0),"Missing")</f>
        <v>35.438552096308321</v>
      </c>
      <c r="V27" s="5" cm="1">
        <f t="array" ref="V27">_xlfn.SWITCH(F27,"R",_xlfn.XLOOKUP(E27&amp;"|"&amp;B27,
        Calculate_cap_emi_sens!$I$14:$I$21&amp;"|"&amp;Calculate_cap_emi_sens!$L$14:$L$21,
        Calculate_cap_emi_sens!$BE$14:$BE$21, "Not found", 0),"Rb",_xlfn.XLOOKUP(E27&amp;"|"&amp;B27,
        Calculate_cap_emi_sens!$I$14:$I$21&amp;"|"&amp;Calculate_cap_emi_sens!$L$14:$L$21,
        Calculate_cap_emi_sens!$BG$14:$BG$21, "Not found", 0),"Rl",_xlfn.XLOOKUP(E27&amp;"|"&amp;B27,
        Calculate_cap_emi_sens!$I$14:$I$21&amp;"|"&amp;Calculate_cap_emi_sens!$L$14:$L$21,
        Calculate_cap_emi_sens!$BH$14:$BH$21, "Not found", 0),"HP",_xlfn.XLOOKUP(E27&amp;"|"&amp;B27,
        Calculate_cap_emi_sens!$I$14:$I$21&amp;"|"&amp;Calculate_cap_emi_sens!$L$14:$L$21,
        Calculate_cap_emi_sens!$BF$14:$BF$21, "Not found", 0),"HPl",_xlfn.XLOOKUP(E27&amp;"|"&amp;B27,
        Calculate_cap_emi_sens!$I$14:$I$21&amp;"|"&amp;Calculate_cap_emi_sens!$L$14:$L$21,
        Calculate_cap_emi_sens!$BI$14:$BI$21, "Not found", 0),"Missing")</f>
        <v>0</v>
      </c>
      <c r="W27" s="5">
        <f>Results_proc_ener!L27</f>
        <v>16185.708533022098</v>
      </c>
      <c r="X27" s="5">
        <f>Results_proc_ener!M27</f>
        <v>0</v>
      </c>
      <c r="Y27" s="5">
        <f>Results_proc_ener!N27</f>
        <v>0</v>
      </c>
      <c r="Z27" s="5">
        <f>Results_proc_ener!O27</f>
        <v>0</v>
      </c>
      <c r="AA27" s="5">
        <f>Results_proc_ener!P27</f>
        <v>0</v>
      </c>
      <c r="AB27" s="5">
        <f>Results_proc_ener!Q27</f>
        <v>634.03239335877004</v>
      </c>
      <c r="AC27" s="5">
        <f>Results_proc_ener!R27</f>
        <v>11.642137770141677</v>
      </c>
      <c r="AD27" s="5">
        <f>Results_proc_ener!S27</f>
        <v>66.494484797232133</v>
      </c>
      <c r="AE27" s="5">
        <f>Results_proc_ener!T27</f>
        <v>0</v>
      </c>
    </row>
    <row r="28" spans="1:31" x14ac:dyDescent="0.25">
      <c r="A28" s="5" t="s">
        <v>5</v>
      </c>
      <c r="B28" s="5" t="str">
        <f t="shared" si="0"/>
        <v>Mass-H1</v>
      </c>
      <c r="C28" s="5" t="str">
        <f t="shared" si="1"/>
        <v>Mass</v>
      </c>
      <c r="D28" s="5" t="str">
        <f t="shared" si="2"/>
        <v>H1</v>
      </c>
      <c r="E28" s="5" t="s">
        <v>11</v>
      </c>
      <c r="F28" s="5" t="s">
        <v>15</v>
      </c>
      <c r="G28" s="5"/>
      <c r="H28" s="5"/>
      <c r="I28" s="5" cm="1">
        <f t="array" ref="I28">_xlfn.SWITCH(F28,"R",_xlfn.XLOOKUP(E28&amp;"|"&amp;B28,
        Calculate_cap_emi!$I$14:$I$21&amp;"|"&amp;Calculate_cap_emi!$L$14:$L$21,
        Calculate_cap_emi!$W$14:$W$21, "Not found", 0),"Rb",_xlfn.XLOOKUP(E28&amp;"|"&amp;B28,
        Calculate_cap_emi!$I$14:$I$21&amp;"|"&amp;Calculate_cap_emi!$L$14:$L$21,
        Calculate_cap_emi!$Y$14:$Y$21, "Not found", 0),"Rl",_xlfn.XLOOKUP(E28&amp;"|"&amp;B28,
        Calculate_cap_emi!$I$14:$I$21&amp;"|"&amp;Calculate_cap_emi!$L$14:$L$21,
        Calculate_cap_emi!$Z$14:$Z$21, "Not found", 0),0)</f>
        <v>3.5</v>
      </c>
      <c r="J28" s="5"/>
      <c r="K28" s="5"/>
      <c r="L28" s="5" cm="1">
        <f t="array" ref="L28">_xlfn.SWITCH(F28,"R",_xlfn.XLOOKUP(E28&amp;"|"&amp;B28,
        Calculate_cap_emi!$I$14:$I$21&amp;"|"&amp;Calculate_cap_emi!$L$14:$L$21,
        Calculate_cap_emi!$AC$14:$AC$21, "Not found", 0),"Rb",_xlfn.XLOOKUP(E28&amp;"|"&amp;B28,
        Calculate_cap_emi!$I$14:$I$21&amp;"|"&amp;Calculate_cap_emi!$L$14:$L$21,
        Calculate_cap_emi!$AE$14:$AE$21, "Not found", 0),"Rl",_xlfn.XLOOKUP(E28&amp;"|"&amp;B28,
        Calculate_cap_emi!$I$14:$I$21&amp;"|"&amp;Calculate_cap_emi!$L$14:$L$21,
        Calculate_cap_emi!$AF$14:$AF$21, "Not found", 0),"HP",_xlfn.XLOOKUP(E28&amp;"|"&amp;B28,
        Calculate_cap_emi!$I$14:$I$21&amp;"|"&amp;Calculate_cap_emi!$L$14:$L$21,
        Calculate_cap_emi!$AD$14:$AD$21, "Not found", 0),"HPl",_xlfn.XLOOKUP(E28&amp;"|"&amp;B28,
        Calculate_cap_emi!$I$14:$I$21&amp;"|"&amp;Calculate_cap_emi!$L$14:$L$21,
        Calculate_cap_emi!$AG$14:$AG$21, "Not found", 0),"Missing")</f>
        <v>307.61596880759294</v>
      </c>
      <c r="M28" s="5"/>
      <c r="N28" s="5"/>
      <c r="O28" s="5"/>
      <c r="P28" s="5"/>
      <c r="Q28" s="5" cm="1">
        <f t="array" ref="Q28">_xlfn.SWITCH(F28,"R",_xlfn.XLOOKUP(E28&amp;"|"&amp;B28,
        Calculate_cap_emi!$I$14:$I$21&amp;"|"&amp;Calculate_cap_emi!$L$14:$L$21,
        Calculate_cap_emi!$AJ$14:$AJ$21, "Not found", 0),"Rb",_xlfn.XLOOKUP(E28&amp;"|"&amp;B28,
        Calculate_cap_emi!$I$14:$I$21&amp;"|"&amp;Calculate_cap_emi!$L$14:$L$21,
        Calculate_cap_emi!$AL$14:$AL$21, "Not found", 0),"Rl",_xlfn.XLOOKUP(E28&amp;"|"&amp;B28,
        Calculate_cap_emi!$I$14:$I$21&amp;"|"&amp;Calculate_cap_emi!$L$14:$L$21,
        Calculate_cap_emi!$AM$14:$AM$21, "Not found", 0),"HP",_xlfn.XLOOKUP(E28&amp;"|"&amp;B28,
        Calculate_cap_emi!$I$14:$I$21&amp;"|"&amp;Calculate_cap_emi!$L$14:$L$21,
        Calculate_cap_emi!$AK$14:$AK$21, "Not found", 0),"HPl",_xlfn.XLOOKUP(E28&amp;"|"&amp;B28,
        Calculate_cap_emi!$I$14:$I$21&amp;"|"&amp;Calculate_cap_emi!$L$14:$L$21,
        Calculate_cap_emi!$AN$14:$AN$21, "Not found", 0),"Missing")</f>
        <v>14.968673038694117</v>
      </c>
      <c r="R28" s="5" cm="1">
        <f t="array" ref="R28">_xlfn.SWITCH(F28,"R",_xlfn.XLOOKUP(E28&amp;"|"&amp;B28,
        Calculate_cap_emi!$I$14:$I$21&amp;"|"&amp;Calculate_cap_emi!$L$14:$L$21,
        Calculate_cap_emi!$AQ$14:$AQ$21, "Not found", 0),"Rb",_xlfn.XLOOKUP(E28&amp;"|"&amp;B28,
        Calculate_cap_emi!$I$14:$I$21&amp;"|"&amp;Calculate_cap_emi!$L$14:$L$21,
        Calculate_cap_emi!$AS$14:$AS$21, "Not found", 0),"Rl",_xlfn.XLOOKUP(E28&amp;"|"&amp;B28,
        Calculate_cap_emi!$I$14:$I$21&amp;"|"&amp;Calculate_cap_emi!$L$14:$L$21,
        Calculate_cap_emi!$AT$14:$AT$21, "Not found", 0),"HP",_xlfn.XLOOKUP(E28&amp;"|"&amp;B28,
        Calculate_cap_emi!$I$14:$I$21&amp;"|"&amp;Calculate_cap_emi!$L$14:$L$21,
        Calculate_cap_emi!$AR$14:$AR$21, "Not found", 0),"HPl",_xlfn.XLOOKUP(E28&amp;"|"&amp;B28,
        Calculate_cap_emi!$I$14:$I$21&amp;"|"&amp;Calculate_cap_emi!$L$14:$L$21,
        Calculate_cap_emi!$AU$14:$AU$21, "Not found", 0),"Missing")</f>
        <v>1.545996429343065</v>
      </c>
      <c r="S28" s="5" cm="1">
        <f t="array" ref="S28">_xlfn.SWITCH(F28,"R",_xlfn.XLOOKUP(E28&amp;"|"&amp;B28,
        Calculate_cap_emi!$I$14:$I$21&amp;"|"&amp;Calculate_cap_emi!$L$14:$L$21,
        Calculate_cap_emi!$AX$14:$AX$21, "Not found", 0),"Rb",_xlfn.XLOOKUP(E28&amp;"|"&amp;B28,
        Calculate_cap_emi!$I$14:$I$21&amp;"|"&amp;Calculate_cap_emi!$L$14:$L$21,
        Calculate_cap_emi!$AZ$14:$AZ$21, "Not found", 0),"Rl",_xlfn.XLOOKUP(E28&amp;"|"&amp;B28,
        Calculate_cap_emi!$I$14:$I$21&amp;"|"&amp;Calculate_cap_emi!$L$14:$L$21,
        Calculate_cap_emi!$BA$14:$BA$21, "Not found", 0),"HP",_xlfn.XLOOKUP(E28&amp;"|"&amp;B28,
        Calculate_cap_emi!$I$14:$I$21&amp;"|"&amp;Calculate_cap_emi!$L$14:$L$21,
        Calculate_cap_emi!$AY$14:$AY$21, "Not found", 0),"HPl",_xlfn.XLOOKUP(E28&amp;"|"&amp;B28,
        Calculate_cap_emi!$I$14:$I$21&amp;"|"&amp;Calculate_cap_emi!$L$14:$L$21,
        Calculate_cap_emi!$BB$14:$BB$21, "Not found", 0),"Missing")</f>
        <v>17.71927604815416</v>
      </c>
      <c r="T28" s="5" cm="1">
        <f t="array" ref="T28">_xlfn.SWITCH(F28,"R",_xlfn.XLOOKUP(E28&amp;"|"&amp;B28,
        Calculate_cap_emi!$I$14:$I$21&amp;"|"&amp;Calculate_cap_emi!$L$14:$L$21,
        Calculate_cap_emi!$BE$14:$BE$21, "Not found", 0),"Rb",_xlfn.XLOOKUP(E28&amp;"|"&amp;B28,
        Calculate_cap_emi!$I$14:$I$21&amp;"|"&amp;Calculate_cap_emi!$L$14:$L$21,
        Calculate_cap_emi!$BG$14:$BG$21, "Not found", 0),"Rl",_xlfn.XLOOKUP(E28&amp;"|"&amp;B28,
        Calculate_cap_emi!$I$14:$I$21&amp;"|"&amp;Calculate_cap_emi!$L$14:$L$21,
        Calculate_cap_emi!$BH$14:$BH$21, "Not found", 0),"HP",_xlfn.XLOOKUP(E28&amp;"|"&amp;B28,
        Calculate_cap_emi!$I$14:$I$21&amp;"|"&amp;Calculate_cap_emi!$L$14:$L$21,
        Calculate_cap_emi!$BF$14:$BF$21, "Not found", 0),"HPl",_xlfn.XLOOKUP(E28&amp;"|"&amp;B28,
        Calculate_cap_emi!$I$14:$I$21&amp;"|"&amp;Calculate_cap_emi!$L$14:$L$21,
        Calculate_cap_emi!$BI$14:$BI$21, "Not found", 0),"Missing")</f>
        <v>0</v>
      </c>
      <c r="U28" s="5" cm="1">
        <f t="array" ref="U28">_xlfn.SWITCH(F28,"R",_xlfn.XLOOKUP(E28&amp;"|"&amp;B28,
        Calculate_cap_emi_sens!$I$14:$I$21&amp;"|"&amp;Calculate_cap_emi_sens!$L$14:$L$21,
        Calculate_cap_emi_sens!$AX$14:$AX$21, "Not found", 0),"Rb",_xlfn.XLOOKUP(E28&amp;"|"&amp;B28,
        Calculate_cap_emi_sens!$I$14:$I$21&amp;"|"&amp;Calculate_cap_emi_sens!$L$14:$L$21,
        Calculate_cap_emi_sens!$AZ$14:$AZ$21, "Not found", 0),"Rl",_xlfn.XLOOKUP(E28&amp;"|"&amp;B28,
        Calculate_cap_emi_sens!$I$14:$I$21&amp;"|"&amp;Calculate_cap_emi_sens!$L$14:$L$21,
        Calculate_cap_emi_sens!$BA$14:$BA$21, "Not found", 0),"HP",_xlfn.XLOOKUP(E28&amp;"|"&amp;B28,
        Calculate_cap_emi_sens!$I$14:$I$21&amp;"|"&amp;Calculate_cap_emi_sens!$L$14:$L$21,
        Calculate_cap_emi_sens!$AY$14:$AY$21, "Not found", 0),"HPl",_xlfn.XLOOKUP(E28&amp;"|"&amp;B28,
        Calculate_cap_emi_sens!$I$14:$I$21&amp;"|"&amp;Calculate_cap_emi_sens!$L$14:$L$21,
        Calculate_cap_emi_sens!$BB$14:$BB$21, "Not found", 0),"Missing")</f>
        <v>17.71927604815416</v>
      </c>
      <c r="V28" s="5" cm="1">
        <f t="array" ref="V28">_xlfn.SWITCH(F28,"R",_xlfn.XLOOKUP(E28&amp;"|"&amp;B28,
        Calculate_cap_emi_sens!$I$14:$I$21&amp;"|"&amp;Calculate_cap_emi_sens!$L$14:$L$21,
        Calculate_cap_emi_sens!$BE$14:$BE$21, "Not found", 0),"Rb",_xlfn.XLOOKUP(E28&amp;"|"&amp;B28,
        Calculate_cap_emi_sens!$I$14:$I$21&amp;"|"&amp;Calculate_cap_emi_sens!$L$14:$L$21,
        Calculate_cap_emi_sens!$BG$14:$BG$21, "Not found", 0),"Rl",_xlfn.XLOOKUP(E28&amp;"|"&amp;B28,
        Calculate_cap_emi_sens!$I$14:$I$21&amp;"|"&amp;Calculate_cap_emi_sens!$L$14:$L$21,
        Calculate_cap_emi_sens!$BH$14:$BH$21, "Not found", 0),"HP",_xlfn.XLOOKUP(E28&amp;"|"&amp;B28,
        Calculate_cap_emi_sens!$I$14:$I$21&amp;"|"&amp;Calculate_cap_emi_sens!$L$14:$L$21,
        Calculate_cap_emi_sens!$BF$14:$BF$21, "Not found", 0),"HPl",_xlfn.XLOOKUP(E28&amp;"|"&amp;B28,
        Calculate_cap_emi_sens!$I$14:$I$21&amp;"|"&amp;Calculate_cap_emi_sens!$L$14:$L$21,
        Calculate_cap_emi_sens!$BI$14:$BI$21, "Not found", 0),"Missing")</f>
        <v>0</v>
      </c>
      <c r="W28" s="5">
        <f>Results_proc_ener!L28</f>
        <v>8092.8542665110499</v>
      </c>
      <c r="X28" s="5">
        <f>Results_proc_ener!M28</f>
        <v>0</v>
      </c>
      <c r="Y28" s="5">
        <f>Results_proc_ener!N28</f>
        <v>0</v>
      </c>
      <c r="Z28" s="5">
        <f>Results_proc_ener!O28</f>
        <v>0</v>
      </c>
      <c r="AA28" s="5">
        <f>Results_proc_ener!P28</f>
        <v>0</v>
      </c>
      <c r="AB28" s="5">
        <f>Results_proc_ener!Q28</f>
        <v>317.01619667938502</v>
      </c>
      <c r="AC28" s="5">
        <f>Results_proc_ener!R28</f>
        <v>5.8210688850708392</v>
      </c>
      <c r="AD28" s="5">
        <f>Results_proc_ener!S28</f>
        <v>33.247242398616066</v>
      </c>
      <c r="AE28" s="5">
        <f>Results_proc_ener!T28</f>
        <v>0</v>
      </c>
    </row>
    <row r="29" spans="1:31" x14ac:dyDescent="0.25">
      <c r="A29" s="5" t="s">
        <v>6</v>
      </c>
      <c r="B29" s="5" t="str">
        <f t="shared" si="0"/>
        <v>Mass-H1</v>
      </c>
      <c r="C29" s="5" t="str">
        <f t="shared" si="1"/>
        <v>Mass</v>
      </c>
      <c r="D29" s="5" t="str">
        <f t="shared" si="2"/>
        <v>H1</v>
      </c>
      <c r="E29" s="5" t="s">
        <v>11</v>
      </c>
      <c r="F29" s="5" t="s">
        <v>15</v>
      </c>
      <c r="G29" s="5"/>
      <c r="H29" s="5"/>
      <c r="I29" s="5" cm="1">
        <f t="array" ref="I29">_xlfn.SWITCH(F29,"R",_xlfn.XLOOKUP(E29&amp;"|"&amp;B29,
        Calculate_cap_emi!$I$14:$I$21&amp;"|"&amp;Calculate_cap_emi!$L$14:$L$21,
        Calculate_cap_emi!$W$14:$W$21, "Not found", 0),"Rb",_xlfn.XLOOKUP(E29&amp;"|"&amp;B29,
        Calculate_cap_emi!$I$14:$I$21&amp;"|"&amp;Calculate_cap_emi!$L$14:$L$21,
        Calculate_cap_emi!$Y$14:$Y$21, "Not found", 0),"Rl",_xlfn.XLOOKUP(E29&amp;"|"&amp;B29,
        Calculate_cap_emi!$I$14:$I$21&amp;"|"&amp;Calculate_cap_emi!$L$14:$L$21,
        Calculate_cap_emi!$Z$14:$Z$21, "Not found", 0),0)</f>
        <v>3.5</v>
      </c>
      <c r="J29" s="5"/>
      <c r="K29" s="5"/>
      <c r="L29" s="5" cm="1">
        <f t="array" ref="L29">_xlfn.SWITCH(F29,"R",_xlfn.XLOOKUP(E29&amp;"|"&amp;B29,
        Calculate_cap_emi!$I$14:$I$21&amp;"|"&amp;Calculate_cap_emi!$L$14:$L$21,
        Calculate_cap_emi!$AC$14:$AC$21, "Not found", 0),"Rb",_xlfn.XLOOKUP(E29&amp;"|"&amp;B29,
        Calculate_cap_emi!$I$14:$I$21&amp;"|"&amp;Calculate_cap_emi!$L$14:$L$21,
        Calculate_cap_emi!$AE$14:$AE$21, "Not found", 0),"Rl",_xlfn.XLOOKUP(E29&amp;"|"&amp;B29,
        Calculate_cap_emi!$I$14:$I$21&amp;"|"&amp;Calculate_cap_emi!$L$14:$L$21,
        Calculate_cap_emi!$AF$14:$AF$21, "Not found", 0),"HP",_xlfn.XLOOKUP(E29&amp;"|"&amp;B29,
        Calculate_cap_emi!$I$14:$I$21&amp;"|"&amp;Calculate_cap_emi!$L$14:$L$21,
        Calculate_cap_emi!$AD$14:$AD$21, "Not found", 0),"HPl",_xlfn.XLOOKUP(E29&amp;"|"&amp;B29,
        Calculate_cap_emi!$I$14:$I$21&amp;"|"&amp;Calculate_cap_emi!$L$14:$L$21,
        Calculate_cap_emi!$AG$14:$AG$21, "Not found", 0),"Missing")</f>
        <v>307.61596880759294</v>
      </c>
      <c r="M29" s="5"/>
      <c r="N29" s="5"/>
      <c r="O29" s="5"/>
      <c r="P29" s="5"/>
      <c r="Q29" s="5" cm="1">
        <f t="array" ref="Q29">_xlfn.SWITCH(F29,"R",_xlfn.XLOOKUP(E29&amp;"|"&amp;B29,
        Calculate_cap_emi!$I$14:$I$21&amp;"|"&amp;Calculate_cap_emi!$L$14:$L$21,
        Calculate_cap_emi!$AJ$14:$AJ$21, "Not found", 0),"Rb",_xlfn.XLOOKUP(E29&amp;"|"&amp;B29,
        Calculate_cap_emi!$I$14:$I$21&amp;"|"&amp;Calculate_cap_emi!$L$14:$L$21,
        Calculate_cap_emi!$AL$14:$AL$21, "Not found", 0),"Rl",_xlfn.XLOOKUP(E29&amp;"|"&amp;B29,
        Calculate_cap_emi!$I$14:$I$21&amp;"|"&amp;Calculate_cap_emi!$L$14:$L$21,
        Calculate_cap_emi!$AM$14:$AM$21, "Not found", 0),"HP",_xlfn.XLOOKUP(E29&amp;"|"&amp;B29,
        Calculate_cap_emi!$I$14:$I$21&amp;"|"&amp;Calculate_cap_emi!$L$14:$L$21,
        Calculate_cap_emi!$AK$14:$AK$21, "Not found", 0),"HPl",_xlfn.XLOOKUP(E29&amp;"|"&amp;B29,
        Calculate_cap_emi!$I$14:$I$21&amp;"|"&amp;Calculate_cap_emi!$L$14:$L$21,
        Calculate_cap_emi!$AN$14:$AN$21, "Not found", 0),"Missing")</f>
        <v>14.968673038694117</v>
      </c>
      <c r="R29" s="5" cm="1">
        <f t="array" ref="R29">_xlfn.SWITCH(F29,"R",_xlfn.XLOOKUP(E29&amp;"|"&amp;B29,
        Calculate_cap_emi!$I$14:$I$21&amp;"|"&amp;Calculate_cap_emi!$L$14:$L$21,
        Calculate_cap_emi!$AQ$14:$AQ$21, "Not found", 0),"Rb",_xlfn.XLOOKUP(E29&amp;"|"&amp;B29,
        Calculate_cap_emi!$I$14:$I$21&amp;"|"&amp;Calculate_cap_emi!$L$14:$L$21,
        Calculate_cap_emi!$AS$14:$AS$21, "Not found", 0),"Rl",_xlfn.XLOOKUP(E29&amp;"|"&amp;B29,
        Calculate_cap_emi!$I$14:$I$21&amp;"|"&amp;Calculate_cap_emi!$L$14:$L$21,
        Calculate_cap_emi!$AT$14:$AT$21, "Not found", 0),"HP",_xlfn.XLOOKUP(E29&amp;"|"&amp;B29,
        Calculate_cap_emi!$I$14:$I$21&amp;"|"&amp;Calculate_cap_emi!$L$14:$L$21,
        Calculate_cap_emi!$AR$14:$AR$21, "Not found", 0),"HPl",_xlfn.XLOOKUP(E29&amp;"|"&amp;B29,
        Calculate_cap_emi!$I$14:$I$21&amp;"|"&amp;Calculate_cap_emi!$L$14:$L$21,
        Calculate_cap_emi!$AU$14:$AU$21, "Not found", 0),"Missing")</f>
        <v>1.545996429343065</v>
      </c>
      <c r="S29" s="5" cm="1">
        <f t="array" ref="S29">_xlfn.SWITCH(F29,"R",_xlfn.XLOOKUP(E29&amp;"|"&amp;B29,
        Calculate_cap_emi!$I$14:$I$21&amp;"|"&amp;Calculate_cap_emi!$L$14:$L$21,
        Calculate_cap_emi!$AX$14:$AX$21, "Not found", 0),"Rb",_xlfn.XLOOKUP(E29&amp;"|"&amp;B29,
        Calculate_cap_emi!$I$14:$I$21&amp;"|"&amp;Calculate_cap_emi!$L$14:$L$21,
        Calculate_cap_emi!$AZ$14:$AZ$21, "Not found", 0),"Rl",_xlfn.XLOOKUP(E29&amp;"|"&amp;B29,
        Calculate_cap_emi!$I$14:$I$21&amp;"|"&amp;Calculate_cap_emi!$L$14:$L$21,
        Calculate_cap_emi!$BA$14:$BA$21, "Not found", 0),"HP",_xlfn.XLOOKUP(E29&amp;"|"&amp;B29,
        Calculate_cap_emi!$I$14:$I$21&amp;"|"&amp;Calculate_cap_emi!$L$14:$L$21,
        Calculate_cap_emi!$AY$14:$AY$21, "Not found", 0),"HPl",_xlfn.XLOOKUP(E29&amp;"|"&amp;B29,
        Calculate_cap_emi!$I$14:$I$21&amp;"|"&amp;Calculate_cap_emi!$L$14:$L$21,
        Calculate_cap_emi!$BB$14:$BB$21, "Not found", 0),"Missing")</f>
        <v>17.71927604815416</v>
      </c>
      <c r="T29" s="5" cm="1">
        <f t="array" ref="T29">_xlfn.SWITCH(F29,"R",_xlfn.XLOOKUP(E29&amp;"|"&amp;B29,
        Calculate_cap_emi!$I$14:$I$21&amp;"|"&amp;Calculate_cap_emi!$L$14:$L$21,
        Calculate_cap_emi!$BE$14:$BE$21, "Not found", 0),"Rb",_xlfn.XLOOKUP(E29&amp;"|"&amp;B29,
        Calculate_cap_emi!$I$14:$I$21&amp;"|"&amp;Calculate_cap_emi!$L$14:$L$21,
        Calculate_cap_emi!$BG$14:$BG$21, "Not found", 0),"Rl",_xlfn.XLOOKUP(E29&amp;"|"&amp;B29,
        Calculate_cap_emi!$I$14:$I$21&amp;"|"&amp;Calculate_cap_emi!$L$14:$L$21,
        Calculate_cap_emi!$BH$14:$BH$21, "Not found", 0),"HP",_xlfn.XLOOKUP(E29&amp;"|"&amp;B29,
        Calculate_cap_emi!$I$14:$I$21&amp;"|"&amp;Calculate_cap_emi!$L$14:$L$21,
        Calculate_cap_emi!$BF$14:$BF$21, "Not found", 0),"HPl",_xlfn.XLOOKUP(E29&amp;"|"&amp;B29,
        Calculate_cap_emi!$I$14:$I$21&amp;"|"&amp;Calculate_cap_emi!$L$14:$L$21,
        Calculate_cap_emi!$BI$14:$BI$21, "Not found", 0),"Missing")</f>
        <v>0</v>
      </c>
      <c r="U29" s="5" cm="1">
        <f t="array" ref="U29">_xlfn.SWITCH(F29,"R",_xlfn.XLOOKUP(E29&amp;"|"&amp;B29,
        Calculate_cap_emi_sens!$I$14:$I$21&amp;"|"&amp;Calculate_cap_emi_sens!$L$14:$L$21,
        Calculate_cap_emi_sens!$AX$14:$AX$21, "Not found", 0),"Rb",_xlfn.XLOOKUP(E29&amp;"|"&amp;B29,
        Calculate_cap_emi_sens!$I$14:$I$21&amp;"|"&amp;Calculate_cap_emi_sens!$L$14:$L$21,
        Calculate_cap_emi_sens!$AZ$14:$AZ$21, "Not found", 0),"Rl",_xlfn.XLOOKUP(E29&amp;"|"&amp;B29,
        Calculate_cap_emi_sens!$I$14:$I$21&amp;"|"&amp;Calculate_cap_emi_sens!$L$14:$L$21,
        Calculate_cap_emi_sens!$BA$14:$BA$21, "Not found", 0),"HP",_xlfn.XLOOKUP(E29&amp;"|"&amp;B29,
        Calculate_cap_emi_sens!$I$14:$I$21&amp;"|"&amp;Calculate_cap_emi_sens!$L$14:$L$21,
        Calculate_cap_emi_sens!$AY$14:$AY$21, "Not found", 0),"HPl",_xlfn.XLOOKUP(E29&amp;"|"&amp;B29,
        Calculate_cap_emi_sens!$I$14:$I$21&amp;"|"&amp;Calculate_cap_emi_sens!$L$14:$L$21,
        Calculate_cap_emi_sens!$BB$14:$BB$21, "Not found", 0),"Missing")</f>
        <v>17.71927604815416</v>
      </c>
      <c r="V29" s="5" cm="1">
        <f t="array" ref="V29">_xlfn.SWITCH(F29,"R",_xlfn.XLOOKUP(E29&amp;"|"&amp;B29,
        Calculate_cap_emi_sens!$I$14:$I$21&amp;"|"&amp;Calculate_cap_emi_sens!$L$14:$L$21,
        Calculate_cap_emi_sens!$BE$14:$BE$21, "Not found", 0),"Rb",_xlfn.XLOOKUP(E29&amp;"|"&amp;B29,
        Calculate_cap_emi_sens!$I$14:$I$21&amp;"|"&amp;Calculate_cap_emi_sens!$L$14:$L$21,
        Calculate_cap_emi_sens!$BG$14:$BG$21, "Not found", 0),"Rl",_xlfn.XLOOKUP(E29&amp;"|"&amp;B29,
        Calculate_cap_emi_sens!$I$14:$I$21&amp;"|"&amp;Calculate_cap_emi_sens!$L$14:$L$21,
        Calculate_cap_emi_sens!$BH$14:$BH$21, "Not found", 0),"HP",_xlfn.XLOOKUP(E29&amp;"|"&amp;B29,
        Calculate_cap_emi_sens!$I$14:$I$21&amp;"|"&amp;Calculate_cap_emi_sens!$L$14:$L$21,
        Calculate_cap_emi_sens!$BF$14:$BF$21, "Not found", 0),"HPl",_xlfn.XLOOKUP(E29&amp;"|"&amp;B29,
        Calculate_cap_emi_sens!$I$14:$I$21&amp;"|"&amp;Calculate_cap_emi_sens!$L$14:$L$21,
        Calculate_cap_emi_sens!$BI$14:$BI$21, "Not found", 0),"Missing")</f>
        <v>0</v>
      </c>
      <c r="W29" s="5">
        <f>Results_proc_ener!L29</f>
        <v>8092.8542665110499</v>
      </c>
      <c r="X29" s="5">
        <f>Results_proc_ener!M29</f>
        <v>0</v>
      </c>
      <c r="Y29" s="5">
        <f>Results_proc_ener!N29</f>
        <v>0</v>
      </c>
      <c r="Z29" s="5">
        <f>Results_proc_ener!O29</f>
        <v>0</v>
      </c>
      <c r="AA29" s="5">
        <f>Results_proc_ener!P29</f>
        <v>0</v>
      </c>
      <c r="AB29" s="5">
        <f>Results_proc_ener!Q29</f>
        <v>317.01619667938502</v>
      </c>
      <c r="AC29" s="5">
        <f>Results_proc_ener!R29</f>
        <v>5.8210688850708392</v>
      </c>
      <c r="AD29" s="5">
        <f>Results_proc_ener!S29</f>
        <v>33.247242398616066</v>
      </c>
      <c r="AE29" s="5">
        <f>Results_proc_ener!T29</f>
        <v>0</v>
      </c>
    </row>
    <row r="30" spans="1:31" x14ac:dyDescent="0.25">
      <c r="A30" s="5" t="s">
        <v>7</v>
      </c>
      <c r="B30" s="5" t="str">
        <f t="shared" si="0"/>
        <v>Mod-Nom</v>
      </c>
      <c r="C30" s="5" t="str">
        <f t="shared" si="1"/>
        <v>Mod</v>
      </c>
      <c r="D30" s="5" t="str">
        <f t="shared" si="2"/>
        <v>Nom</v>
      </c>
      <c r="E30" s="5" t="s">
        <v>11</v>
      </c>
      <c r="F30" s="5" t="s">
        <v>15</v>
      </c>
      <c r="G30" s="5"/>
      <c r="H30" s="5"/>
      <c r="I30" s="5" cm="1">
        <f t="array" ref="I30">_xlfn.SWITCH(F30,"R",_xlfn.XLOOKUP(E30&amp;"|"&amp;B30,
        Calculate_cap_emi!$I$14:$I$21&amp;"|"&amp;Calculate_cap_emi!$L$14:$L$21,
        Calculate_cap_emi!$W$14:$W$21, "Not found", 0),"Rb",_xlfn.XLOOKUP(E30&amp;"|"&amp;B30,
        Calculate_cap_emi!$I$14:$I$21&amp;"|"&amp;Calculate_cap_emi!$L$14:$L$21,
        Calculate_cap_emi!$Y$14:$Y$21, "Not found", 0),"Rl",_xlfn.XLOOKUP(E30&amp;"|"&amp;B30,
        Calculate_cap_emi!$I$14:$I$21&amp;"|"&amp;Calculate_cap_emi!$L$14:$L$21,
        Calculate_cap_emi!$Z$14:$Z$21, "Not found", 0),0)</f>
        <v>6.5</v>
      </c>
      <c r="J30" s="5"/>
      <c r="K30" s="5"/>
      <c r="L30" s="5" cm="1">
        <f t="array" ref="L30">_xlfn.SWITCH(F30,"R",_xlfn.XLOOKUP(E30&amp;"|"&amp;B30,
        Calculate_cap_emi!$I$14:$I$21&amp;"|"&amp;Calculate_cap_emi!$L$14:$L$21,
        Calculate_cap_emi!$AC$14:$AC$21, "Not found", 0),"Rb",_xlfn.XLOOKUP(E30&amp;"|"&amp;B30,
        Calculate_cap_emi!$I$14:$I$21&amp;"|"&amp;Calculate_cap_emi!$L$14:$L$21,
        Calculate_cap_emi!$AE$14:$AE$21, "Not found", 0),"Rl",_xlfn.XLOOKUP(E30&amp;"|"&amp;B30,
        Calculate_cap_emi!$I$14:$I$21&amp;"|"&amp;Calculate_cap_emi!$L$14:$L$21,
        Calculate_cap_emi!$AF$14:$AF$21, "Not found", 0),"HP",_xlfn.XLOOKUP(E30&amp;"|"&amp;B30,
        Calculate_cap_emi!$I$14:$I$21&amp;"|"&amp;Calculate_cap_emi!$L$14:$L$21,
        Calculate_cap_emi!$AD$14:$AD$21, "Not found", 0),"HPl",_xlfn.XLOOKUP(E30&amp;"|"&amp;B30,
        Calculate_cap_emi!$I$14:$I$21&amp;"|"&amp;Calculate_cap_emi!$L$14:$L$21,
        Calculate_cap_emi!$AG$14:$AG$21, "Not found", 0),"Missing")</f>
        <v>592.36174352578837</v>
      </c>
      <c r="M30" s="5"/>
      <c r="N30" s="5"/>
      <c r="O30" s="5"/>
      <c r="P30" s="5"/>
      <c r="Q30" s="5" cm="1">
        <f t="array" ref="Q30">_xlfn.SWITCH(F30,"R",_xlfn.XLOOKUP(E30&amp;"|"&amp;B30,
        Calculate_cap_emi!$I$14:$I$21&amp;"|"&amp;Calculate_cap_emi!$L$14:$L$21,
        Calculate_cap_emi!$AJ$14:$AJ$21, "Not found", 0),"Rb",_xlfn.XLOOKUP(E30&amp;"|"&amp;B30,
        Calculate_cap_emi!$I$14:$I$21&amp;"|"&amp;Calculate_cap_emi!$L$14:$L$21,
        Calculate_cap_emi!$AL$14:$AL$21, "Not found", 0),"Rl",_xlfn.XLOOKUP(E30&amp;"|"&amp;B30,
        Calculate_cap_emi!$I$14:$I$21&amp;"|"&amp;Calculate_cap_emi!$L$14:$L$21,
        Calculate_cap_emi!$AM$14:$AM$21, "Not found", 0),"HP",_xlfn.XLOOKUP(E30&amp;"|"&amp;B30,
        Calculate_cap_emi!$I$14:$I$21&amp;"|"&amp;Calculate_cap_emi!$L$14:$L$21,
        Calculate_cap_emi!$AK$14:$AK$21, "Not found", 0),"HPl",_xlfn.XLOOKUP(E30&amp;"|"&amp;B30,
        Calculate_cap_emi!$I$14:$I$21&amp;"|"&amp;Calculate_cap_emi!$L$14:$L$21,
        Calculate_cap_emi!$AN$14:$AN$21, "Not found", 0),"Missing")</f>
        <v>28.435439995941177</v>
      </c>
      <c r="R30" s="5" cm="1">
        <f t="array" ref="R30">_xlfn.SWITCH(F30,"R",_xlfn.XLOOKUP(E30&amp;"|"&amp;B30,
        Calculate_cap_emi!$I$14:$I$21&amp;"|"&amp;Calculate_cap_emi!$L$14:$L$21,
        Calculate_cap_emi!$AQ$14:$AQ$21, "Not found", 0),"Rb",_xlfn.XLOOKUP(E30&amp;"|"&amp;B30,
        Calculate_cap_emi!$I$14:$I$21&amp;"|"&amp;Calculate_cap_emi!$L$14:$L$21,
        Calculate_cap_emi!$AS$14:$AS$21, "Not found", 0),"Rl",_xlfn.XLOOKUP(E30&amp;"|"&amp;B30,
        Calculate_cap_emi!$I$14:$I$21&amp;"|"&amp;Calculate_cap_emi!$L$14:$L$21,
        Calculate_cap_emi!$AT$14:$AT$21, "Not found", 0),"HP",_xlfn.XLOOKUP(E30&amp;"|"&amp;B30,
        Calculate_cap_emi!$I$14:$I$21&amp;"|"&amp;Calculate_cap_emi!$L$14:$L$21,
        Calculate_cap_emi!$AR$14:$AR$21, "Not found", 0),"HPl",_xlfn.XLOOKUP(E30&amp;"|"&amp;B30,
        Calculate_cap_emi!$I$14:$I$21&amp;"|"&amp;Calculate_cap_emi!$L$14:$L$21,
        Calculate_cap_emi!$AU$14:$AU$21, "Not found", 0),"Missing")</f>
        <v>3.0325201671030508</v>
      </c>
      <c r="S30" s="5" cm="1">
        <f t="array" ref="S30">_xlfn.SWITCH(F30,"R",_xlfn.XLOOKUP(E30&amp;"|"&amp;B30,
        Calculate_cap_emi!$I$14:$I$21&amp;"|"&amp;Calculate_cap_emi!$L$14:$L$21,
        Calculate_cap_emi!$AX$14:$AX$21, "Not found", 0),"Rb",_xlfn.XLOOKUP(E30&amp;"|"&amp;B30,
        Calculate_cap_emi!$I$14:$I$21&amp;"|"&amp;Calculate_cap_emi!$L$14:$L$21,
        Calculate_cap_emi!$AZ$14:$AZ$21, "Not found", 0),"Rl",_xlfn.XLOOKUP(E30&amp;"|"&amp;B30,
        Calculate_cap_emi!$I$14:$I$21&amp;"|"&amp;Calculate_cap_emi!$L$14:$L$21,
        Calculate_cap_emi!$BA$14:$BA$21, "Not found", 0),"HP",_xlfn.XLOOKUP(E30&amp;"|"&amp;B30,
        Calculate_cap_emi!$I$14:$I$21&amp;"|"&amp;Calculate_cap_emi!$L$14:$L$21,
        Calculate_cap_emi!$AY$14:$AY$21, "Not found", 0),"HPl",_xlfn.XLOOKUP(E30&amp;"|"&amp;B30,
        Calculate_cap_emi!$I$14:$I$21&amp;"|"&amp;Calculate_cap_emi!$L$14:$L$21,
        Calculate_cap_emi!$BB$14:$BB$21, "Not found", 0),"Missing")</f>
        <v>33.673343618503566</v>
      </c>
      <c r="T30" s="5" cm="1">
        <f t="array" ref="T30">_xlfn.SWITCH(F30,"R",_xlfn.XLOOKUP(E30&amp;"|"&amp;B30,
        Calculate_cap_emi!$I$14:$I$21&amp;"|"&amp;Calculate_cap_emi!$L$14:$L$21,
        Calculate_cap_emi!$BE$14:$BE$21, "Not found", 0),"Rb",_xlfn.XLOOKUP(E30&amp;"|"&amp;B30,
        Calculate_cap_emi!$I$14:$I$21&amp;"|"&amp;Calculate_cap_emi!$L$14:$L$21,
        Calculate_cap_emi!$BG$14:$BG$21, "Not found", 0),"Rl",_xlfn.XLOOKUP(E30&amp;"|"&amp;B30,
        Calculate_cap_emi!$I$14:$I$21&amp;"|"&amp;Calculate_cap_emi!$L$14:$L$21,
        Calculate_cap_emi!$BH$14:$BH$21, "Not found", 0),"HP",_xlfn.XLOOKUP(E30&amp;"|"&amp;B30,
        Calculate_cap_emi!$I$14:$I$21&amp;"|"&amp;Calculate_cap_emi!$L$14:$L$21,
        Calculate_cap_emi!$BF$14:$BF$21, "Not found", 0),"HPl",_xlfn.XLOOKUP(E30&amp;"|"&amp;B30,
        Calculate_cap_emi!$I$14:$I$21&amp;"|"&amp;Calculate_cap_emi!$L$14:$L$21,
        Calculate_cap_emi!$BI$14:$BI$21, "Not found", 0),"Missing")</f>
        <v>0</v>
      </c>
      <c r="U30" s="5" cm="1">
        <f t="array" ref="U30">_xlfn.SWITCH(F30,"R",_xlfn.XLOOKUP(E30&amp;"|"&amp;B30,
        Calculate_cap_emi_sens!$I$14:$I$21&amp;"|"&amp;Calculate_cap_emi_sens!$L$14:$L$21,
        Calculate_cap_emi_sens!$AX$14:$AX$21, "Not found", 0),"Rb",_xlfn.XLOOKUP(E30&amp;"|"&amp;B30,
        Calculate_cap_emi_sens!$I$14:$I$21&amp;"|"&amp;Calculate_cap_emi_sens!$L$14:$L$21,
        Calculate_cap_emi_sens!$AZ$14:$AZ$21, "Not found", 0),"Rl",_xlfn.XLOOKUP(E30&amp;"|"&amp;B30,
        Calculate_cap_emi_sens!$I$14:$I$21&amp;"|"&amp;Calculate_cap_emi_sens!$L$14:$L$21,
        Calculate_cap_emi_sens!$BA$14:$BA$21, "Not found", 0),"HP",_xlfn.XLOOKUP(E30&amp;"|"&amp;B30,
        Calculate_cap_emi_sens!$I$14:$I$21&amp;"|"&amp;Calculate_cap_emi_sens!$L$14:$L$21,
        Calculate_cap_emi_sens!$AY$14:$AY$21, "Not found", 0),"HPl",_xlfn.XLOOKUP(E30&amp;"|"&amp;B30,
        Calculate_cap_emi_sens!$I$14:$I$21&amp;"|"&amp;Calculate_cap_emi_sens!$L$14:$L$21,
        Calculate_cap_emi_sens!$BB$14:$BB$21, "Not found", 0),"Missing")</f>
        <v>33.673343618503566</v>
      </c>
      <c r="V30" s="5" cm="1">
        <f t="array" ref="V30">_xlfn.SWITCH(F30,"R",_xlfn.XLOOKUP(E30&amp;"|"&amp;B30,
        Calculate_cap_emi_sens!$I$14:$I$21&amp;"|"&amp;Calculate_cap_emi_sens!$L$14:$L$21,
        Calculate_cap_emi_sens!$BE$14:$BE$21, "Not found", 0),"Rb",_xlfn.XLOOKUP(E30&amp;"|"&amp;B30,
        Calculate_cap_emi_sens!$I$14:$I$21&amp;"|"&amp;Calculate_cap_emi_sens!$L$14:$L$21,
        Calculate_cap_emi_sens!$BG$14:$BG$21, "Not found", 0),"Rl",_xlfn.XLOOKUP(E30&amp;"|"&amp;B30,
        Calculate_cap_emi_sens!$I$14:$I$21&amp;"|"&amp;Calculate_cap_emi_sens!$L$14:$L$21,
        Calculate_cap_emi_sens!$BH$14:$BH$21, "Not found", 0),"HP",_xlfn.XLOOKUP(E30&amp;"|"&amp;B30,
        Calculate_cap_emi_sens!$I$14:$I$21&amp;"|"&amp;Calculate_cap_emi_sens!$L$14:$L$21,
        Calculate_cap_emi_sens!$BF$14:$BF$21, "Not found", 0),"HPl",_xlfn.XLOOKUP(E30&amp;"|"&amp;B30,
        Calculate_cap_emi_sens!$I$14:$I$21&amp;"|"&amp;Calculate_cap_emi_sens!$L$14:$L$21,
        Calculate_cap_emi_sens!$BI$14:$BI$21, "Not found", 0),"Missing")</f>
        <v>0</v>
      </c>
      <c r="W30" s="5">
        <f>Results_proc_ener!L30</f>
        <v>15571.015233815706</v>
      </c>
      <c r="X30" s="5">
        <f>Results_proc_ener!M30</f>
        <v>0</v>
      </c>
      <c r="Y30" s="5">
        <f>Results_proc_ener!N30</f>
        <v>0</v>
      </c>
      <c r="Z30" s="5">
        <f>Results_proc_ener!O30</f>
        <v>0</v>
      </c>
      <c r="AA30" s="5">
        <f>Results_proc_ener!P30</f>
        <v>0</v>
      </c>
      <c r="AB30" s="5">
        <f>Results_proc_ener!Q30</f>
        <v>602.22405921457505</v>
      </c>
      <c r="AC30" s="5">
        <f>Results_proc_ener!R30</f>
        <v>11.226998266185042</v>
      </c>
      <c r="AD30" s="5">
        <f>Results_proc_ener!S30</f>
        <v>64.610306236330729</v>
      </c>
      <c r="AE30" s="5">
        <f>Results_proc_ener!T30</f>
        <v>0</v>
      </c>
    </row>
    <row r="31" spans="1:31" x14ac:dyDescent="0.25">
      <c r="A31" s="5" t="s">
        <v>8</v>
      </c>
      <c r="B31" s="5" t="str">
        <f t="shared" si="0"/>
        <v>Mod-Nom</v>
      </c>
      <c r="C31" s="5" t="str">
        <f t="shared" si="1"/>
        <v>Mod</v>
      </c>
      <c r="D31" s="5" t="str">
        <f t="shared" si="2"/>
        <v>Nom</v>
      </c>
      <c r="E31" s="5" t="s">
        <v>11</v>
      </c>
      <c r="F31" s="5" t="s">
        <v>15</v>
      </c>
      <c r="G31" s="5"/>
      <c r="H31" s="5"/>
      <c r="I31" s="5" cm="1">
        <f t="array" ref="I31">_xlfn.SWITCH(F31,"R",_xlfn.XLOOKUP(E31&amp;"|"&amp;B31,
        Calculate_cap_emi!$I$14:$I$21&amp;"|"&amp;Calculate_cap_emi!$L$14:$L$21,
        Calculate_cap_emi!$W$14:$W$21, "Not found", 0),"Rb",_xlfn.XLOOKUP(E31&amp;"|"&amp;B31,
        Calculate_cap_emi!$I$14:$I$21&amp;"|"&amp;Calculate_cap_emi!$L$14:$L$21,
        Calculate_cap_emi!$Y$14:$Y$21, "Not found", 0),"Rl",_xlfn.XLOOKUP(E31&amp;"|"&amp;B31,
        Calculate_cap_emi!$I$14:$I$21&amp;"|"&amp;Calculate_cap_emi!$L$14:$L$21,
        Calculate_cap_emi!$Z$14:$Z$21, "Not found", 0),0)</f>
        <v>6.5</v>
      </c>
      <c r="J31" s="5"/>
      <c r="K31" s="5"/>
      <c r="L31" s="5" cm="1">
        <f t="array" ref="L31">_xlfn.SWITCH(F31,"R",_xlfn.XLOOKUP(E31&amp;"|"&amp;B31,
        Calculate_cap_emi!$I$14:$I$21&amp;"|"&amp;Calculate_cap_emi!$L$14:$L$21,
        Calculate_cap_emi!$AC$14:$AC$21, "Not found", 0),"Rb",_xlfn.XLOOKUP(E31&amp;"|"&amp;B31,
        Calculate_cap_emi!$I$14:$I$21&amp;"|"&amp;Calculate_cap_emi!$L$14:$L$21,
        Calculate_cap_emi!$AE$14:$AE$21, "Not found", 0),"Rl",_xlfn.XLOOKUP(E31&amp;"|"&amp;B31,
        Calculate_cap_emi!$I$14:$I$21&amp;"|"&amp;Calculate_cap_emi!$L$14:$L$21,
        Calculate_cap_emi!$AF$14:$AF$21, "Not found", 0),"HP",_xlfn.XLOOKUP(E31&amp;"|"&amp;B31,
        Calculate_cap_emi!$I$14:$I$21&amp;"|"&amp;Calculate_cap_emi!$L$14:$L$21,
        Calculate_cap_emi!$AD$14:$AD$21, "Not found", 0),"HPl",_xlfn.XLOOKUP(E31&amp;"|"&amp;B31,
        Calculate_cap_emi!$I$14:$I$21&amp;"|"&amp;Calculate_cap_emi!$L$14:$L$21,
        Calculate_cap_emi!$AG$14:$AG$21, "Not found", 0),"Missing")</f>
        <v>592.36174352578837</v>
      </c>
      <c r="M31" s="5"/>
      <c r="N31" s="5"/>
      <c r="O31" s="5"/>
      <c r="P31" s="5"/>
      <c r="Q31" s="5" cm="1">
        <f t="array" ref="Q31">_xlfn.SWITCH(F31,"R",_xlfn.XLOOKUP(E31&amp;"|"&amp;B31,
        Calculate_cap_emi!$I$14:$I$21&amp;"|"&amp;Calculate_cap_emi!$L$14:$L$21,
        Calculate_cap_emi!$AJ$14:$AJ$21, "Not found", 0),"Rb",_xlfn.XLOOKUP(E31&amp;"|"&amp;B31,
        Calculate_cap_emi!$I$14:$I$21&amp;"|"&amp;Calculate_cap_emi!$L$14:$L$21,
        Calculate_cap_emi!$AL$14:$AL$21, "Not found", 0),"Rl",_xlfn.XLOOKUP(E31&amp;"|"&amp;B31,
        Calculate_cap_emi!$I$14:$I$21&amp;"|"&amp;Calculate_cap_emi!$L$14:$L$21,
        Calculate_cap_emi!$AM$14:$AM$21, "Not found", 0),"HP",_xlfn.XLOOKUP(E31&amp;"|"&amp;B31,
        Calculate_cap_emi!$I$14:$I$21&amp;"|"&amp;Calculate_cap_emi!$L$14:$L$21,
        Calculate_cap_emi!$AK$14:$AK$21, "Not found", 0),"HPl",_xlfn.XLOOKUP(E31&amp;"|"&amp;B31,
        Calculate_cap_emi!$I$14:$I$21&amp;"|"&amp;Calculate_cap_emi!$L$14:$L$21,
        Calculate_cap_emi!$AN$14:$AN$21, "Not found", 0),"Missing")</f>
        <v>28.435439995941177</v>
      </c>
      <c r="R31" s="5" cm="1">
        <f t="array" ref="R31">_xlfn.SWITCH(F31,"R",_xlfn.XLOOKUP(E31&amp;"|"&amp;B31,
        Calculate_cap_emi!$I$14:$I$21&amp;"|"&amp;Calculate_cap_emi!$L$14:$L$21,
        Calculate_cap_emi!$AQ$14:$AQ$21, "Not found", 0),"Rb",_xlfn.XLOOKUP(E31&amp;"|"&amp;B31,
        Calculate_cap_emi!$I$14:$I$21&amp;"|"&amp;Calculate_cap_emi!$L$14:$L$21,
        Calculate_cap_emi!$AS$14:$AS$21, "Not found", 0),"Rl",_xlfn.XLOOKUP(E31&amp;"|"&amp;B31,
        Calculate_cap_emi!$I$14:$I$21&amp;"|"&amp;Calculate_cap_emi!$L$14:$L$21,
        Calculate_cap_emi!$AT$14:$AT$21, "Not found", 0),"HP",_xlfn.XLOOKUP(E31&amp;"|"&amp;B31,
        Calculate_cap_emi!$I$14:$I$21&amp;"|"&amp;Calculate_cap_emi!$L$14:$L$21,
        Calculate_cap_emi!$AR$14:$AR$21, "Not found", 0),"HPl",_xlfn.XLOOKUP(E31&amp;"|"&amp;B31,
        Calculate_cap_emi!$I$14:$I$21&amp;"|"&amp;Calculate_cap_emi!$L$14:$L$21,
        Calculate_cap_emi!$AU$14:$AU$21, "Not found", 0),"Missing")</f>
        <v>3.0325201671030508</v>
      </c>
      <c r="S31" s="5" cm="1">
        <f t="array" ref="S31">_xlfn.SWITCH(F31,"R",_xlfn.XLOOKUP(E31&amp;"|"&amp;B31,
        Calculate_cap_emi!$I$14:$I$21&amp;"|"&amp;Calculate_cap_emi!$L$14:$L$21,
        Calculate_cap_emi!$AX$14:$AX$21, "Not found", 0),"Rb",_xlfn.XLOOKUP(E31&amp;"|"&amp;B31,
        Calculate_cap_emi!$I$14:$I$21&amp;"|"&amp;Calculate_cap_emi!$L$14:$L$21,
        Calculate_cap_emi!$AZ$14:$AZ$21, "Not found", 0),"Rl",_xlfn.XLOOKUP(E31&amp;"|"&amp;B31,
        Calculate_cap_emi!$I$14:$I$21&amp;"|"&amp;Calculate_cap_emi!$L$14:$L$21,
        Calculate_cap_emi!$BA$14:$BA$21, "Not found", 0),"HP",_xlfn.XLOOKUP(E31&amp;"|"&amp;B31,
        Calculate_cap_emi!$I$14:$I$21&amp;"|"&amp;Calculate_cap_emi!$L$14:$L$21,
        Calculate_cap_emi!$AY$14:$AY$21, "Not found", 0),"HPl",_xlfn.XLOOKUP(E31&amp;"|"&amp;B31,
        Calculate_cap_emi!$I$14:$I$21&amp;"|"&amp;Calculate_cap_emi!$L$14:$L$21,
        Calculate_cap_emi!$BB$14:$BB$21, "Not found", 0),"Missing")</f>
        <v>33.673343618503566</v>
      </c>
      <c r="T31" s="5" cm="1">
        <f t="array" ref="T31">_xlfn.SWITCH(F31,"R",_xlfn.XLOOKUP(E31&amp;"|"&amp;B31,
        Calculate_cap_emi!$I$14:$I$21&amp;"|"&amp;Calculate_cap_emi!$L$14:$L$21,
        Calculate_cap_emi!$BE$14:$BE$21, "Not found", 0),"Rb",_xlfn.XLOOKUP(E31&amp;"|"&amp;B31,
        Calculate_cap_emi!$I$14:$I$21&amp;"|"&amp;Calculate_cap_emi!$L$14:$L$21,
        Calculate_cap_emi!$BG$14:$BG$21, "Not found", 0),"Rl",_xlfn.XLOOKUP(E31&amp;"|"&amp;B31,
        Calculate_cap_emi!$I$14:$I$21&amp;"|"&amp;Calculate_cap_emi!$L$14:$L$21,
        Calculate_cap_emi!$BH$14:$BH$21, "Not found", 0),"HP",_xlfn.XLOOKUP(E31&amp;"|"&amp;B31,
        Calculate_cap_emi!$I$14:$I$21&amp;"|"&amp;Calculate_cap_emi!$L$14:$L$21,
        Calculate_cap_emi!$BF$14:$BF$21, "Not found", 0),"HPl",_xlfn.XLOOKUP(E31&amp;"|"&amp;B31,
        Calculate_cap_emi!$I$14:$I$21&amp;"|"&amp;Calculate_cap_emi!$L$14:$L$21,
        Calculate_cap_emi!$BI$14:$BI$21, "Not found", 0),"Missing")</f>
        <v>0</v>
      </c>
      <c r="U31" s="5" cm="1">
        <f t="array" ref="U31">_xlfn.SWITCH(F31,"R",_xlfn.XLOOKUP(E31&amp;"|"&amp;B31,
        Calculate_cap_emi_sens!$I$14:$I$21&amp;"|"&amp;Calculate_cap_emi_sens!$L$14:$L$21,
        Calculate_cap_emi_sens!$AX$14:$AX$21, "Not found", 0),"Rb",_xlfn.XLOOKUP(E31&amp;"|"&amp;B31,
        Calculate_cap_emi_sens!$I$14:$I$21&amp;"|"&amp;Calculate_cap_emi_sens!$L$14:$L$21,
        Calculate_cap_emi_sens!$AZ$14:$AZ$21, "Not found", 0),"Rl",_xlfn.XLOOKUP(E31&amp;"|"&amp;B31,
        Calculate_cap_emi_sens!$I$14:$I$21&amp;"|"&amp;Calculate_cap_emi_sens!$L$14:$L$21,
        Calculate_cap_emi_sens!$BA$14:$BA$21, "Not found", 0),"HP",_xlfn.XLOOKUP(E31&amp;"|"&amp;B31,
        Calculate_cap_emi_sens!$I$14:$I$21&amp;"|"&amp;Calculate_cap_emi_sens!$L$14:$L$21,
        Calculate_cap_emi_sens!$AY$14:$AY$21, "Not found", 0),"HPl",_xlfn.XLOOKUP(E31&amp;"|"&amp;B31,
        Calculate_cap_emi_sens!$I$14:$I$21&amp;"|"&amp;Calculate_cap_emi_sens!$L$14:$L$21,
        Calculate_cap_emi_sens!$BB$14:$BB$21, "Not found", 0),"Missing")</f>
        <v>33.673343618503566</v>
      </c>
      <c r="V31" s="5" cm="1">
        <f t="array" ref="V31">_xlfn.SWITCH(F31,"R",_xlfn.XLOOKUP(E31&amp;"|"&amp;B31,
        Calculate_cap_emi_sens!$I$14:$I$21&amp;"|"&amp;Calculate_cap_emi_sens!$L$14:$L$21,
        Calculate_cap_emi_sens!$BE$14:$BE$21, "Not found", 0),"Rb",_xlfn.XLOOKUP(E31&amp;"|"&amp;B31,
        Calculate_cap_emi_sens!$I$14:$I$21&amp;"|"&amp;Calculate_cap_emi_sens!$L$14:$L$21,
        Calculate_cap_emi_sens!$BG$14:$BG$21, "Not found", 0),"Rl",_xlfn.XLOOKUP(E31&amp;"|"&amp;B31,
        Calculate_cap_emi_sens!$I$14:$I$21&amp;"|"&amp;Calculate_cap_emi_sens!$L$14:$L$21,
        Calculate_cap_emi_sens!$BH$14:$BH$21, "Not found", 0),"HP",_xlfn.XLOOKUP(E31&amp;"|"&amp;B31,
        Calculate_cap_emi_sens!$I$14:$I$21&amp;"|"&amp;Calculate_cap_emi_sens!$L$14:$L$21,
        Calculate_cap_emi_sens!$BF$14:$BF$21, "Not found", 0),"HPl",_xlfn.XLOOKUP(E31&amp;"|"&amp;B31,
        Calculate_cap_emi_sens!$I$14:$I$21&amp;"|"&amp;Calculate_cap_emi_sens!$L$14:$L$21,
        Calculate_cap_emi_sens!$BI$14:$BI$21, "Not found", 0),"Missing")</f>
        <v>0</v>
      </c>
      <c r="W31" s="5">
        <f>Results_proc_ener!L31</f>
        <v>15571.015233815706</v>
      </c>
      <c r="X31" s="5">
        <f>Results_proc_ener!M31</f>
        <v>0</v>
      </c>
      <c r="Y31" s="5">
        <f>Results_proc_ener!N31</f>
        <v>0</v>
      </c>
      <c r="Z31" s="5">
        <f>Results_proc_ener!O31</f>
        <v>0</v>
      </c>
      <c r="AA31" s="5">
        <f>Results_proc_ener!P31</f>
        <v>0</v>
      </c>
      <c r="AB31" s="5">
        <f>Results_proc_ener!Q31</f>
        <v>602.22405921457505</v>
      </c>
      <c r="AC31" s="5">
        <f>Results_proc_ener!R31</f>
        <v>11.226998266185042</v>
      </c>
      <c r="AD31" s="5">
        <f>Results_proc_ener!S31</f>
        <v>64.610306236330729</v>
      </c>
      <c r="AE31" s="5">
        <f>Results_proc_ener!T31</f>
        <v>0</v>
      </c>
    </row>
    <row r="32" spans="1:31" x14ac:dyDescent="0.25">
      <c r="A32" s="5" t="s">
        <v>9</v>
      </c>
      <c r="B32" s="5" t="str">
        <f t="shared" si="0"/>
        <v>Mod-H1</v>
      </c>
      <c r="C32" s="5" t="str">
        <f t="shared" si="1"/>
        <v>Mod</v>
      </c>
      <c r="D32" s="5" t="str">
        <f t="shared" si="2"/>
        <v>H1</v>
      </c>
      <c r="E32" s="5" t="s">
        <v>11</v>
      </c>
      <c r="F32" s="5" t="s">
        <v>15</v>
      </c>
      <c r="G32" s="5"/>
      <c r="H32" s="5"/>
      <c r="I32" s="5" cm="1">
        <f t="array" ref="I32">_xlfn.SWITCH(F32,"R",_xlfn.XLOOKUP(E32&amp;"|"&amp;B32,
        Calculate_cap_emi!$I$14:$I$21&amp;"|"&amp;Calculate_cap_emi!$L$14:$L$21,
        Calculate_cap_emi!$W$14:$W$21, "Not found", 0),"Rb",_xlfn.XLOOKUP(E32&amp;"|"&amp;B32,
        Calculate_cap_emi!$I$14:$I$21&amp;"|"&amp;Calculate_cap_emi!$L$14:$L$21,
        Calculate_cap_emi!$Y$14:$Y$21, "Not found", 0),"Rl",_xlfn.XLOOKUP(E32&amp;"|"&amp;B32,
        Calculate_cap_emi!$I$14:$I$21&amp;"|"&amp;Calculate_cap_emi!$L$14:$L$21,
        Calculate_cap_emi!$Z$14:$Z$21, "Not found", 0),0)</f>
        <v>4.5</v>
      </c>
      <c r="J32" s="5"/>
      <c r="K32" s="5"/>
      <c r="L32" s="5" cm="1">
        <f t="array" ref="L32">_xlfn.SWITCH(F32,"R",_xlfn.XLOOKUP(E32&amp;"|"&amp;B32,
        Calculate_cap_emi!$I$14:$I$21&amp;"|"&amp;Calculate_cap_emi!$L$14:$L$21,
        Calculate_cap_emi!$AC$14:$AC$21, "Not found", 0),"Rb",_xlfn.XLOOKUP(E32&amp;"|"&amp;B32,
        Calculate_cap_emi!$I$14:$I$21&amp;"|"&amp;Calculate_cap_emi!$L$14:$L$21,
        Calculate_cap_emi!$AE$14:$AE$21, "Not found", 0),"Rl",_xlfn.XLOOKUP(E32&amp;"|"&amp;B32,
        Calculate_cap_emi!$I$14:$I$21&amp;"|"&amp;Calculate_cap_emi!$L$14:$L$21,
        Calculate_cap_emi!$AF$14:$AF$21, "Not found", 0),"HP",_xlfn.XLOOKUP(E32&amp;"|"&amp;B32,
        Calculate_cap_emi!$I$14:$I$21&amp;"|"&amp;Calculate_cap_emi!$L$14:$L$21,
        Calculate_cap_emi!$AD$14:$AD$21, "Not found", 0),"HPl",_xlfn.XLOOKUP(E32&amp;"|"&amp;B32,
        Calculate_cap_emi!$I$14:$I$21&amp;"|"&amp;Calculate_cap_emi!$L$14:$L$21,
        Calculate_cap_emi!$AG$14:$AG$21, "Not found", 0),"Missing")</f>
        <v>500.88096716819871</v>
      </c>
      <c r="M32" s="5"/>
      <c r="N32" s="5"/>
      <c r="O32" s="5"/>
      <c r="P32" s="5"/>
      <c r="Q32" s="5" cm="1">
        <f t="array" ref="Q32">_xlfn.SWITCH(F32,"R",_xlfn.XLOOKUP(E32&amp;"|"&amp;B32,
        Calculate_cap_emi!$I$14:$I$21&amp;"|"&amp;Calculate_cap_emi!$L$14:$L$21,
        Calculate_cap_emi!$AJ$14:$AJ$21, "Not found", 0),"Rb",_xlfn.XLOOKUP(E32&amp;"|"&amp;B32,
        Calculate_cap_emi!$I$14:$I$21&amp;"|"&amp;Calculate_cap_emi!$L$14:$L$21,
        Calculate_cap_emi!$AL$14:$AL$21, "Not found", 0),"Rl",_xlfn.XLOOKUP(E32&amp;"|"&amp;B32,
        Calculate_cap_emi!$I$14:$I$21&amp;"|"&amp;Calculate_cap_emi!$L$14:$L$21,
        Calculate_cap_emi!$AM$14:$AM$21, "Not found", 0),"HP",_xlfn.XLOOKUP(E32&amp;"|"&amp;B32,
        Calculate_cap_emi!$I$14:$I$21&amp;"|"&amp;Calculate_cap_emi!$L$14:$L$21,
        Calculate_cap_emi!$AK$14:$AK$21, "Not found", 0),"HPl",_xlfn.XLOOKUP(E32&amp;"|"&amp;B32,
        Calculate_cap_emi!$I$14:$I$21&amp;"|"&amp;Calculate_cap_emi!$L$14:$L$21,
        Calculate_cap_emi!$AN$14:$AN$21, "Not found", 0),"Missing")</f>
        <v>22.427815670152938</v>
      </c>
      <c r="R32" s="5" cm="1">
        <f t="array" ref="R32">_xlfn.SWITCH(F32,"R",_xlfn.XLOOKUP(E32&amp;"|"&amp;B32,
        Calculate_cap_emi!$I$14:$I$21&amp;"|"&amp;Calculate_cap_emi!$L$14:$L$21,
        Calculate_cap_emi!$AQ$14:$AQ$21, "Not found", 0),"Rb",_xlfn.XLOOKUP(E32&amp;"|"&amp;B32,
        Calculate_cap_emi!$I$14:$I$21&amp;"|"&amp;Calculate_cap_emi!$L$14:$L$21,
        Calculate_cap_emi!$AS$14:$AS$21, "Not found", 0),"Rl",_xlfn.XLOOKUP(E32&amp;"|"&amp;B32,
        Calculate_cap_emi!$I$14:$I$21&amp;"|"&amp;Calculate_cap_emi!$L$14:$L$21,
        Calculate_cap_emi!$AT$14:$AT$21, "Not found", 0),"HP",_xlfn.XLOOKUP(E32&amp;"|"&amp;B32,
        Calculate_cap_emi!$I$14:$I$21&amp;"|"&amp;Calculate_cap_emi!$L$14:$L$21,
        Calculate_cap_emi!$AR$14:$AR$21, "Not found", 0),"HPl",_xlfn.XLOOKUP(E32&amp;"|"&amp;B32,
        Calculate_cap_emi!$I$14:$I$21&amp;"|"&amp;Calculate_cap_emi!$L$14:$L$21,
        Calculate_cap_emi!$AU$14:$AU$21, "Not found", 0),"Missing")</f>
        <v>2.7946294007707371</v>
      </c>
      <c r="S32" s="5" cm="1">
        <f t="array" ref="S32">_xlfn.SWITCH(F32,"R",_xlfn.XLOOKUP(E32&amp;"|"&amp;B32,
        Calculate_cap_emi!$I$14:$I$21&amp;"|"&amp;Calculate_cap_emi!$L$14:$L$21,
        Calculate_cap_emi!$AX$14:$AX$21, "Not found", 0),"Rb",_xlfn.XLOOKUP(E32&amp;"|"&amp;B32,
        Calculate_cap_emi!$I$14:$I$21&amp;"|"&amp;Calculate_cap_emi!$L$14:$L$21,
        Calculate_cap_emi!$AZ$14:$AZ$21, "Not found", 0),"Rl",_xlfn.XLOOKUP(E32&amp;"|"&amp;B32,
        Calculate_cap_emi!$I$14:$I$21&amp;"|"&amp;Calculate_cap_emi!$L$14:$L$21,
        Calculate_cap_emi!$BA$14:$BA$21, "Not found", 0),"HP",_xlfn.XLOOKUP(E32&amp;"|"&amp;B32,
        Calculate_cap_emi!$I$14:$I$21&amp;"|"&amp;Calculate_cap_emi!$L$14:$L$21,
        Calculate_cap_emi!$AY$14:$AY$21, "Not found", 0),"HPl",_xlfn.XLOOKUP(E32&amp;"|"&amp;B32,
        Calculate_cap_emi!$I$14:$I$21&amp;"|"&amp;Calculate_cap_emi!$L$14:$L$21,
        Calculate_cap_emi!$BB$14:$BB$21, "Not found", 0),"Missing")</f>
        <v>26.612509707284509</v>
      </c>
      <c r="T32" s="5" cm="1">
        <f t="array" ref="T32">_xlfn.SWITCH(F32,"R",_xlfn.XLOOKUP(E32&amp;"|"&amp;B32,
        Calculate_cap_emi!$I$14:$I$21&amp;"|"&amp;Calculate_cap_emi!$L$14:$L$21,
        Calculate_cap_emi!$BE$14:$BE$21, "Not found", 0),"Rb",_xlfn.XLOOKUP(E32&amp;"|"&amp;B32,
        Calculate_cap_emi!$I$14:$I$21&amp;"|"&amp;Calculate_cap_emi!$L$14:$L$21,
        Calculate_cap_emi!$BG$14:$BG$21, "Not found", 0),"Rl",_xlfn.XLOOKUP(E32&amp;"|"&amp;B32,
        Calculate_cap_emi!$I$14:$I$21&amp;"|"&amp;Calculate_cap_emi!$L$14:$L$21,
        Calculate_cap_emi!$BH$14:$BH$21, "Not found", 0),"HP",_xlfn.XLOOKUP(E32&amp;"|"&amp;B32,
        Calculate_cap_emi!$I$14:$I$21&amp;"|"&amp;Calculate_cap_emi!$L$14:$L$21,
        Calculate_cap_emi!$BF$14:$BF$21, "Not found", 0),"HPl",_xlfn.XLOOKUP(E32&amp;"|"&amp;B32,
        Calculate_cap_emi!$I$14:$I$21&amp;"|"&amp;Calculate_cap_emi!$L$14:$L$21,
        Calculate_cap_emi!$BI$14:$BI$21, "Not found", 0),"Missing")</f>
        <v>0</v>
      </c>
      <c r="U32" s="5" cm="1">
        <f t="array" ref="U32">_xlfn.SWITCH(F32,"R",_xlfn.XLOOKUP(E32&amp;"|"&amp;B32,
        Calculate_cap_emi_sens!$I$14:$I$21&amp;"|"&amp;Calculate_cap_emi_sens!$L$14:$L$21,
        Calculate_cap_emi_sens!$AX$14:$AX$21, "Not found", 0),"Rb",_xlfn.XLOOKUP(E32&amp;"|"&amp;B32,
        Calculate_cap_emi_sens!$I$14:$I$21&amp;"|"&amp;Calculate_cap_emi_sens!$L$14:$L$21,
        Calculate_cap_emi_sens!$AZ$14:$AZ$21, "Not found", 0),"Rl",_xlfn.XLOOKUP(E32&amp;"|"&amp;B32,
        Calculate_cap_emi_sens!$I$14:$I$21&amp;"|"&amp;Calculate_cap_emi_sens!$L$14:$L$21,
        Calculate_cap_emi_sens!$BA$14:$BA$21, "Not found", 0),"HP",_xlfn.XLOOKUP(E32&amp;"|"&amp;B32,
        Calculate_cap_emi_sens!$I$14:$I$21&amp;"|"&amp;Calculate_cap_emi_sens!$L$14:$L$21,
        Calculate_cap_emi_sens!$AY$14:$AY$21, "Not found", 0),"HPl",_xlfn.XLOOKUP(E32&amp;"|"&amp;B32,
        Calculate_cap_emi_sens!$I$14:$I$21&amp;"|"&amp;Calculate_cap_emi_sens!$L$14:$L$21,
        Calculate_cap_emi_sens!$BB$14:$BB$21, "Not found", 0),"Missing")</f>
        <v>26.612509707284509</v>
      </c>
      <c r="V32" s="5" cm="1">
        <f t="array" ref="V32">_xlfn.SWITCH(F32,"R",_xlfn.XLOOKUP(E32&amp;"|"&amp;B32,
        Calculate_cap_emi_sens!$I$14:$I$21&amp;"|"&amp;Calculate_cap_emi_sens!$L$14:$L$21,
        Calculate_cap_emi_sens!$BE$14:$BE$21, "Not found", 0),"Rb",_xlfn.XLOOKUP(E32&amp;"|"&amp;B32,
        Calculate_cap_emi_sens!$I$14:$I$21&amp;"|"&amp;Calculate_cap_emi_sens!$L$14:$L$21,
        Calculate_cap_emi_sens!$BG$14:$BG$21, "Not found", 0),"Rl",_xlfn.XLOOKUP(E32&amp;"|"&amp;B32,
        Calculate_cap_emi_sens!$I$14:$I$21&amp;"|"&amp;Calculate_cap_emi_sens!$L$14:$L$21,
        Calculate_cap_emi_sens!$BH$14:$BH$21, "Not found", 0),"HP",_xlfn.XLOOKUP(E32&amp;"|"&amp;B32,
        Calculate_cap_emi_sens!$I$14:$I$21&amp;"|"&amp;Calculate_cap_emi_sens!$L$14:$L$21,
        Calculate_cap_emi_sens!$BF$14:$BF$21, "Not found", 0),"HPl",_xlfn.XLOOKUP(E32&amp;"|"&amp;B32,
        Calculate_cap_emi_sens!$I$14:$I$21&amp;"|"&amp;Calculate_cap_emi_sens!$L$14:$L$21,
        Calculate_cap_emi_sens!$BI$14:$BI$21, "Not found", 0),"Missing")</f>
        <v>0</v>
      </c>
      <c r="W32" s="5">
        <f>Results_proc_ener!L32</f>
        <v>13112.242036990161</v>
      </c>
      <c r="X32" s="5">
        <f>Results_proc_ener!M32</f>
        <v>0</v>
      </c>
      <c r="Y32" s="5">
        <f>Results_proc_ener!N32</f>
        <v>0</v>
      </c>
      <c r="Z32" s="5">
        <f>Results_proc_ener!O32</f>
        <v>0</v>
      </c>
      <c r="AA32" s="5">
        <f>Results_proc_ener!P32</f>
        <v>0</v>
      </c>
      <c r="AB32" s="5">
        <f>Results_proc_ener!Q32</f>
        <v>474.99072263779505</v>
      </c>
      <c r="AC32" s="5">
        <f>Results_proc_ener!R32</f>
        <v>9.5664402503585393</v>
      </c>
      <c r="AD32" s="5">
        <f>Results_proc_ener!S32</f>
        <v>57.073591992725085</v>
      </c>
      <c r="AE32" s="5">
        <f>Results_proc_ener!T32</f>
        <v>0</v>
      </c>
    </row>
    <row r="33" spans="1:31" x14ac:dyDescent="0.25">
      <c r="A33" s="5" t="s">
        <v>10</v>
      </c>
      <c r="B33" s="5" t="str">
        <f t="shared" si="0"/>
        <v>Mod-H1</v>
      </c>
      <c r="C33" s="5" t="str">
        <f t="shared" si="1"/>
        <v>Mod</v>
      </c>
      <c r="D33" s="5" t="str">
        <f t="shared" si="2"/>
        <v>H1</v>
      </c>
      <c r="E33" s="5" t="s">
        <v>11</v>
      </c>
      <c r="F33" s="5" t="s">
        <v>15</v>
      </c>
      <c r="G33" s="5"/>
      <c r="H33" s="5"/>
      <c r="I33" s="5" cm="1">
        <f t="array" ref="I33">_xlfn.SWITCH(F33,"R",_xlfn.XLOOKUP(E33&amp;"|"&amp;B33,
        Calculate_cap_emi!$I$14:$I$21&amp;"|"&amp;Calculate_cap_emi!$L$14:$L$21,
        Calculate_cap_emi!$W$14:$W$21, "Not found", 0),"Rb",_xlfn.XLOOKUP(E33&amp;"|"&amp;B33,
        Calculate_cap_emi!$I$14:$I$21&amp;"|"&amp;Calculate_cap_emi!$L$14:$L$21,
        Calculate_cap_emi!$Y$14:$Y$21, "Not found", 0),"Rl",_xlfn.XLOOKUP(E33&amp;"|"&amp;B33,
        Calculate_cap_emi!$I$14:$I$21&amp;"|"&amp;Calculate_cap_emi!$L$14:$L$21,
        Calculate_cap_emi!$Z$14:$Z$21, "Not found", 0),0)</f>
        <v>4.5</v>
      </c>
      <c r="J33" s="5"/>
      <c r="K33" s="5"/>
      <c r="L33" s="5" cm="1">
        <f t="array" ref="L33">_xlfn.SWITCH(F33,"R",_xlfn.XLOOKUP(E33&amp;"|"&amp;B33,
        Calculate_cap_emi!$I$14:$I$21&amp;"|"&amp;Calculate_cap_emi!$L$14:$L$21,
        Calculate_cap_emi!$AC$14:$AC$21, "Not found", 0),"Rb",_xlfn.XLOOKUP(E33&amp;"|"&amp;B33,
        Calculate_cap_emi!$I$14:$I$21&amp;"|"&amp;Calculate_cap_emi!$L$14:$L$21,
        Calculate_cap_emi!$AE$14:$AE$21, "Not found", 0),"Rl",_xlfn.XLOOKUP(E33&amp;"|"&amp;B33,
        Calculate_cap_emi!$I$14:$I$21&amp;"|"&amp;Calculate_cap_emi!$L$14:$L$21,
        Calculate_cap_emi!$AF$14:$AF$21, "Not found", 0),"HP",_xlfn.XLOOKUP(E33&amp;"|"&amp;B33,
        Calculate_cap_emi!$I$14:$I$21&amp;"|"&amp;Calculate_cap_emi!$L$14:$L$21,
        Calculate_cap_emi!$AD$14:$AD$21, "Not found", 0),"HPl",_xlfn.XLOOKUP(E33&amp;"|"&amp;B33,
        Calculate_cap_emi!$I$14:$I$21&amp;"|"&amp;Calculate_cap_emi!$L$14:$L$21,
        Calculate_cap_emi!$AG$14:$AG$21, "Not found", 0),"Missing")</f>
        <v>500.88096716819871</v>
      </c>
      <c r="M33" s="5"/>
      <c r="N33" s="5"/>
      <c r="O33" s="5"/>
      <c r="P33" s="5"/>
      <c r="Q33" s="5" cm="1">
        <f t="array" ref="Q33">_xlfn.SWITCH(F33,"R",_xlfn.XLOOKUP(E33&amp;"|"&amp;B33,
        Calculate_cap_emi!$I$14:$I$21&amp;"|"&amp;Calculate_cap_emi!$L$14:$L$21,
        Calculate_cap_emi!$AJ$14:$AJ$21, "Not found", 0),"Rb",_xlfn.XLOOKUP(E33&amp;"|"&amp;B33,
        Calculate_cap_emi!$I$14:$I$21&amp;"|"&amp;Calculate_cap_emi!$L$14:$L$21,
        Calculate_cap_emi!$AL$14:$AL$21, "Not found", 0),"Rl",_xlfn.XLOOKUP(E33&amp;"|"&amp;B33,
        Calculate_cap_emi!$I$14:$I$21&amp;"|"&amp;Calculate_cap_emi!$L$14:$L$21,
        Calculate_cap_emi!$AM$14:$AM$21, "Not found", 0),"HP",_xlfn.XLOOKUP(E33&amp;"|"&amp;B33,
        Calculate_cap_emi!$I$14:$I$21&amp;"|"&amp;Calculate_cap_emi!$L$14:$L$21,
        Calculate_cap_emi!$AK$14:$AK$21, "Not found", 0),"HPl",_xlfn.XLOOKUP(E33&amp;"|"&amp;B33,
        Calculate_cap_emi!$I$14:$I$21&amp;"|"&amp;Calculate_cap_emi!$L$14:$L$21,
        Calculate_cap_emi!$AN$14:$AN$21, "Not found", 0),"Missing")</f>
        <v>22.427815670152938</v>
      </c>
      <c r="R33" s="5" cm="1">
        <f t="array" ref="R33">_xlfn.SWITCH(F33,"R",_xlfn.XLOOKUP(E33&amp;"|"&amp;B33,
        Calculate_cap_emi!$I$14:$I$21&amp;"|"&amp;Calculate_cap_emi!$L$14:$L$21,
        Calculate_cap_emi!$AQ$14:$AQ$21, "Not found", 0),"Rb",_xlfn.XLOOKUP(E33&amp;"|"&amp;B33,
        Calculate_cap_emi!$I$14:$I$21&amp;"|"&amp;Calculate_cap_emi!$L$14:$L$21,
        Calculate_cap_emi!$AS$14:$AS$21, "Not found", 0),"Rl",_xlfn.XLOOKUP(E33&amp;"|"&amp;B33,
        Calculate_cap_emi!$I$14:$I$21&amp;"|"&amp;Calculate_cap_emi!$L$14:$L$21,
        Calculate_cap_emi!$AT$14:$AT$21, "Not found", 0),"HP",_xlfn.XLOOKUP(E33&amp;"|"&amp;B33,
        Calculate_cap_emi!$I$14:$I$21&amp;"|"&amp;Calculate_cap_emi!$L$14:$L$21,
        Calculate_cap_emi!$AR$14:$AR$21, "Not found", 0),"HPl",_xlfn.XLOOKUP(E33&amp;"|"&amp;B33,
        Calculate_cap_emi!$I$14:$I$21&amp;"|"&amp;Calculate_cap_emi!$L$14:$L$21,
        Calculate_cap_emi!$AU$14:$AU$21, "Not found", 0),"Missing")</f>
        <v>2.7946294007707371</v>
      </c>
      <c r="S33" s="5" cm="1">
        <f t="array" ref="S33">_xlfn.SWITCH(F33,"R",_xlfn.XLOOKUP(E33&amp;"|"&amp;B33,
        Calculate_cap_emi!$I$14:$I$21&amp;"|"&amp;Calculate_cap_emi!$L$14:$L$21,
        Calculate_cap_emi!$AX$14:$AX$21, "Not found", 0),"Rb",_xlfn.XLOOKUP(E33&amp;"|"&amp;B33,
        Calculate_cap_emi!$I$14:$I$21&amp;"|"&amp;Calculate_cap_emi!$L$14:$L$21,
        Calculate_cap_emi!$AZ$14:$AZ$21, "Not found", 0),"Rl",_xlfn.XLOOKUP(E33&amp;"|"&amp;B33,
        Calculate_cap_emi!$I$14:$I$21&amp;"|"&amp;Calculate_cap_emi!$L$14:$L$21,
        Calculate_cap_emi!$BA$14:$BA$21, "Not found", 0),"HP",_xlfn.XLOOKUP(E33&amp;"|"&amp;B33,
        Calculate_cap_emi!$I$14:$I$21&amp;"|"&amp;Calculate_cap_emi!$L$14:$L$21,
        Calculate_cap_emi!$AY$14:$AY$21, "Not found", 0),"HPl",_xlfn.XLOOKUP(E33&amp;"|"&amp;B33,
        Calculate_cap_emi!$I$14:$I$21&amp;"|"&amp;Calculate_cap_emi!$L$14:$L$21,
        Calculate_cap_emi!$BB$14:$BB$21, "Not found", 0),"Missing")</f>
        <v>26.612509707284509</v>
      </c>
      <c r="T33" s="5" cm="1">
        <f t="array" ref="T33">_xlfn.SWITCH(F33,"R",_xlfn.XLOOKUP(E33&amp;"|"&amp;B33,
        Calculate_cap_emi!$I$14:$I$21&amp;"|"&amp;Calculate_cap_emi!$L$14:$L$21,
        Calculate_cap_emi!$BE$14:$BE$21, "Not found", 0),"Rb",_xlfn.XLOOKUP(E33&amp;"|"&amp;B33,
        Calculate_cap_emi!$I$14:$I$21&amp;"|"&amp;Calculate_cap_emi!$L$14:$L$21,
        Calculate_cap_emi!$BG$14:$BG$21, "Not found", 0),"Rl",_xlfn.XLOOKUP(E33&amp;"|"&amp;B33,
        Calculate_cap_emi!$I$14:$I$21&amp;"|"&amp;Calculate_cap_emi!$L$14:$L$21,
        Calculate_cap_emi!$BH$14:$BH$21, "Not found", 0),"HP",_xlfn.XLOOKUP(E33&amp;"|"&amp;B33,
        Calculate_cap_emi!$I$14:$I$21&amp;"|"&amp;Calculate_cap_emi!$L$14:$L$21,
        Calculate_cap_emi!$BF$14:$BF$21, "Not found", 0),"HPl",_xlfn.XLOOKUP(E33&amp;"|"&amp;B33,
        Calculate_cap_emi!$I$14:$I$21&amp;"|"&amp;Calculate_cap_emi!$L$14:$L$21,
        Calculate_cap_emi!$BI$14:$BI$21, "Not found", 0),"Missing")</f>
        <v>0</v>
      </c>
      <c r="U33" s="5" cm="1">
        <f t="array" ref="U33">_xlfn.SWITCH(F33,"R",_xlfn.XLOOKUP(E33&amp;"|"&amp;B33,
        Calculate_cap_emi_sens!$I$14:$I$21&amp;"|"&amp;Calculate_cap_emi_sens!$L$14:$L$21,
        Calculate_cap_emi_sens!$AX$14:$AX$21, "Not found", 0),"Rb",_xlfn.XLOOKUP(E33&amp;"|"&amp;B33,
        Calculate_cap_emi_sens!$I$14:$I$21&amp;"|"&amp;Calculate_cap_emi_sens!$L$14:$L$21,
        Calculate_cap_emi_sens!$AZ$14:$AZ$21, "Not found", 0),"Rl",_xlfn.XLOOKUP(E33&amp;"|"&amp;B33,
        Calculate_cap_emi_sens!$I$14:$I$21&amp;"|"&amp;Calculate_cap_emi_sens!$L$14:$L$21,
        Calculate_cap_emi_sens!$BA$14:$BA$21, "Not found", 0),"HP",_xlfn.XLOOKUP(E33&amp;"|"&amp;B33,
        Calculate_cap_emi_sens!$I$14:$I$21&amp;"|"&amp;Calculate_cap_emi_sens!$L$14:$L$21,
        Calculate_cap_emi_sens!$AY$14:$AY$21, "Not found", 0),"HPl",_xlfn.XLOOKUP(E33&amp;"|"&amp;B33,
        Calculate_cap_emi_sens!$I$14:$I$21&amp;"|"&amp;Calculate_cap_emi_sens!$L$14:$L$21,
        Calculate_cap_emi_sens!$BB$14:$BB$21, "Not found", 0),"Missing")</f>
        <v>26.612509707284509</v>
      </c>
      <c r="V33" s="5" cm="1">
        <f t="array" ref="V33">_xlfn.SWITCH(F33,"R",_xlfn.XLOOKUP(E33&amp;"|"&amp;B33,
        Calculate_cap_emi_sens!$I$14:$I$21&amp;"|"&amp;Calculate_cap_emi_sens!$L$14:$L$21,
        Calculate_cap_emi_sens!$BE$14:$BE$21, "Not found", 0),"Rb",_xlfn.XLOOKUP(E33&amp;"|"&amp;B33,
        Calculate_cap_emi_sens!$I$14:$I$21&amp;"|"&amp;Calculate_cap_emi_sens!$L$14:$L$21,
        Calculate_cap_emi_sens!$BG$14:$BG$21, "Not found", 0),"Rl",_xlfn.XLOOKUP(E33&amp;"|"&amp;B33,
        Calculate_cap_emi_sens!$I$14:$I$21&amp;"|"&amp;Calculate_cap_emi_sens!$L$14:$L$21,
        Calculate_cap_emi_sens!$BH$14:$BH$21, "Not found", 0),"HP",_xlfn.XLOOKUP(E33&amp;"|"&amp;B33,
        Calculate_cap_emi_sens!$I$14:$I$21&amp;"|"&amp;Calculate_cap_emi_sens!$L$14:$L$21,
        Calculate_cap_emi_sens!$BF$14:$BF$21, "Not found", 0),"HPl",_xlfn.XLOOKUP(E33&amp;"|"&amp;B33,
        Calculate_cap_emi_sens!$I$14:$I$21&amp;"|"&amp;Calculate_cap_emi_sens!$L$14:$L$21,
        Calculate_cap_emi_sens!$BI$14:$BI$21, "Not found", 0),"Missing")</f>
        <v>0</v>
      </c>
      <c r="W33" s="5">
        <f>Results_proc_ener!L33</f>
        <v>13112.242036990161</v>
      </c>
      <c r="X33" s="5">
        <f>Results_proc_ener!M33</f>
        <v>0</v>
      </c>
      <c r="Y33" s="5">
        <f>Results_proc_ener!N33</f>
        <v>0</v>
      </c>
      <c r="Z33" s="5">
        <f>Results_proc_ener!O33</f>
        <v>0</v>
      </c>
      <c r="AA33" s="5">
        <f>Results_proc_ener!P33</f>
        <v>0</v>
      </c>
      <c r="AB33" s="5">
        <f>Results_proc_ener!Q33</f>
        <v>474.99072263779505</v>
      </c>
      <c r="AC33" s="5">
        <f>Results_proc_ener!R33</f>
        <v>9.5664402503585393</v>
      </c>
      <c r="AD33" s="5">
        <f>Results_proc_ener!S33</f>
        <v>57.073591992725085</v>
      </c>
      <c r="AE33" s="5">
        <f>Results_proc_ener!T33</f>
        <v>0</v>
      </c>
    </row>
    <row r="34" spans="1:31" x14ac:dyDescent="0.25">
      <c r="A34" s="5" t="s">
        <v>4</v>
      </c>
      <c r="B34" s="5" t="str">
        <f t="shared" si="0"/>
        <v>Mass-Nom</v>
      </c>
      <c r="C34" s="5" t="str">
        <f t="shared" si="1"/>
        <v>Mass</v>
      </c>
      <c r="D34" s="5" t="str">
        <f t="shared" si="2"/>
        <v>Nom</v>
      </c>
      <c r="E34" s="5" t="s">
        <v>3</v>
      </c>
      <c r="F34" s="5" t="s">
        <v>14</v>
      </c>
      <c r="G34" s="5"/>
      <c r="H34" s="5"/>
      <c r="I34" s="5" cm="1">
        <f t="array" ref="I34">_xlfn.SWITCH(F34,"R",_xlfn.XLOOKUP(E34&amp;"|"&amp;B34,
        Calculate_cap_emi!$I$14:$I$21&amp;"|"&amp;Calculate_cap_emi!$L$14:$L$21,
        Calculate_cap_emi!$W$14:$W$21, "Not found", 0),"Rb",_xlfn.XLOOKUP(E34&amp;"|"&amp;B34,
        Calculate_cap_emi!$I$14:$I$21&amp;"|"&amp;Calculate_cap_emi!$L$14:$L$21,
        Calculate_cap_emi!$Y$14:$Y$21, "Not found", 0),"Rl",_xlfn.XLOOKUP(E34&amp;"|"&amp;B34,
        Calculate_cap_emi!$I$14:$I$21&amp;"|"&amp;Calculate_cap_emi!$L$14:$L$21,
        Calculate_cap_emi!$Z$14:$Z$21, "Not found", 0),0)</f>
        <v>7</v>
      </c>
      <c r="J34" s="5"/>
      <c r="K34" s="5"/>
      <c r="L34" s="5" cm="1">
        <f t="array" ref="L34">_xlfn.SWITCH(F34,"R",_xlfn.XLOOKUP(E34&amp;"|"&amp;B34,
        Calculate_cap_emi!$I$14:$I$21&amp;"|"&amp;Calculate_cap_emi!$L$14:$L$21,
        Calculate_cap_emi!$AC$14:$AC$21, "Not found", 0),"Rb",_xlfn.XLOOKUP(E34&amp;"|"&amp;B34,
        Calculate_cap_emi!$I$14:$I$21&amp;"|"&amp;Calculate_cap_emi!$L$14:$L$21,
        Calculate_cap_emi!$AE$14:$AE$21, "Not found", 0),"Rl",_xlfn.XLOOKUP(E34&amp;"|"&amp;B34,
        Calculate_cap_emi!$I$14:$I$21&amp;"|"&amp;Calculate_cap_emi!$L$14:$L$21,
        Calculate_cap_emi!$AF$14:$AF$21, "Not found", 0),"HP",_xlfn.XLOOKUP(E34&amp;"|"&amp;B34,
        Calculate_cap_emi!$I$14:$I$21&amp;"|"&amp;Calculate_cap_emi!$L$14:$L$21,
        Calculate_cap_emi!$AD$14:$AD$21, "Not found", 0),"HPl",_xlfn.XLOOKUP(E34&amp;"|"&amp;B34,
        Calculate_cap_emi!$I$14:$I$21&amp;"|"&amp;Calculate_cap_emi!$L$14:$L$21,
        Calculate_cap_emi!$AG$14:$AG$21, "Not found", 0),"Missing")</f>
        <v>615.23193761518587</v>
      </c>
      <c r="M34" s="5"/>
      <c r="N34" s="5"/>
      <c r="O34" s="5"/>
      <c r="P34" s="5"/>
      <c r="Q34" s="5" cm="1">
        <f t="array" ref="Q34">_xlfn.SWITCH(F34,"R",_xlfn.XLOOKUP(E34&amp;"|"&amp;B34,
        Calculate_cap_emi!$I$14:$I$21&amp;"|"&amp;Calculate_cap_emi!$L$14:$L$21,
        Calculate_cap_emi!$AJ$14:$AJ$21, "Not found", 0),"Rb",_xlfn.XLOOKUP(E34&amp;"|"&amp;B34,
        Calculate_cap_emi!$I$14:$I$21&amp;"|"&amp;Calculate_cap_emi!$L$14:$L$21,
        Calculate_cap_emi!$AL$14:$AL$21, "Not found", 0),"Rl",_xlfn.XLOOKUP(E34&amp;"|"&amp;B34,
        Calculate_cap_emi!$I$14:$I$21&amp;"|"&amp;Calculate_cap_emi!$L$14:$L$21,
        Calculate_cap_emi!$AM$14:$AM$21, "Not found", 0),"HP",_xlfn.XLOOKUP(E34&amp;"|"&amp;B34,
        Calculate_cap_emi!$I$14:$I$21&amp;"|"&amp;Calculate_cap_emi!$L$14:$L$21,
        Calculate_cap_emi!$AK$14:$AK$21, "Not found", 0),"HPl",_xlfn.XLOOKUP(E34&amp;"|"&amp;B34,
        Calculate_cap_emi!$I$14:$I$21&amp;"|"&amp;Calculate_cap_emi!$L$14:$L$21,
        Calculate_cap_emi!$AN$14:$AN$21, "Not found", 0),"Missing")</f>
        <v>29.937346077388234</v>
      </c>
      <c r="R34" s="5" cm="1">
        <f t="array" ref="R34">_xlfn.SWITCH(F34,"R",_xlfn.XLOOKUP(E34&amp;"|"&amp;B34,
        Calculate_cap_emi!$I$14:$I$21&amp;"|"&amp;Calculate_cap_emi!$L$14:$L$21,
        Calculate_cap_emi!$AQ$14:$AQ$21, "Not found", 0),"Rb",_xlfn.XLOOKUP(E34&amp;"|"&amp;B34,
        Calculate_cap_emi!$I$14:$I$21&amp;"|"&amp;Calculate_cap_emi!$L$14:$L$21,
        Calculate_cap_emi!$AS$14:$AS$21, "Not found", 0),"Rl",_xlfn.XLOOKUP(E34&amp;"|"&amp;B34,
        Calculate_cap_emi!$I$14:$I$21&amp;"|"&amp;Calculate_cap_emi!$L$14:$L$21,
        Calculate_cap_emi!$AT$14:$AT$21, "Not found", 0),"HP",_xlfn.XLOOKUP(E34&amp;"|"&amp;B34,
        Calculate_cap_emi!$I$14:$I$21&amp;"|"&amp;Calculate_cap_emi!$L$14:$L$21,
        Calculate_cap_emi!$AR$14:$AR$21, "Not found", 0),"HPl",_xlfn.XLOOKUP(E34&amp;"|"&amp;B34,
        Calculate_cap_emi!$I$14:$I$21&amp;"|"&amp;Calculate_cap_emi!$L$14:$L$21,
        Calculate_cap_emi!$AU$14:$AU$21, "Not found", 0),"Missing")</f>
        <v>3.0919928586861296</v>
      </c>
      <c r="S34" s="5" cm="1">
        <f t="array" ref="S34">_xlfn.SWITCH(F34,"R",_xlfn.XLOOKUP(E34&amp;"|"&amp;B34,
        Calculate_cap_emi!$I$14:$I$21&amp;"|"&amp;Calculate_cap_emi!$L$14:$L$21,
        Calculate_cap_emi!$AX$14:$AX$21, "Not found", 0),"Rb",_xlfn.XLOOKUP(E34&amp;"|"&amp;B34,
        Calculate_cap_emi!$I$14:$I$21&amp;"|"&amp;Calculate_cap_emi!$L$14:$L$21,
        Calculate_cap_emi!$AZ$14:$AZ$21, "Not found", 0),"Rl",_xlfn.XLOOKUP(E34&amp;"|"&amp;B34,
        Calculate_cap_emi!$I$14:$I$21&amp;"|"&amp;Calculate_cap_emi!$L$14:$L$21,
        Calculate_cap_emi!$BA$14:$BA$21, "Not found", 0),"HP",_xlfn.XLOOKUP(E34&amp;"|"&amp;B34,
        Calculate_cap_emi!$I$14:$I$21&amp;"|"&amp;Calculate_cap_emi!$L$14:$L$21,
        Calculate_cap_emi!$AY$14:$AY$21, "Not found", 0),"HPl",_xlfn.XLOOKUP(E34&amp;"|"&amp;B34,
        Calculate_cap_emi!$I$14:$I$21&amp;"|"&amp;Calculate_cap_emi!$L$14:$L$21,
        Calculate_cap_emi!$BB$14:$BB$21, "Not found", 0),"Missing")</f>
        <v>35.438552096308321</v>
      </c>
      <c r="T34" s="5" cm="1">
        <f t="array" ref="T34">_xlfn.SWITCH(F34,"R",_xlfn.XLOOKUP(E34&amp;"|"&amp;B34,
        Calculate_cap_emi!$I$14:$I$21&amp;"|"&amp;Calculate_cap_emi!$L$14:$L$21,
        Calculate_cap_emi!$BE$14:$BE$21, "Not found", 0),"Rb",_xlfn.XLOOKUP(E34&amp;"|"&amp;B34,
        Calculate_cap_emi!$I$14:$I$21&amp;"|"&amp;Calculate_cap_emi!$L$14:$L$21,
        Calculate_cap_emi!$BG$14:$BG$21, "Not found", 0),"Rl",_xlfn.XLOOKUP(E34&amp;"|"&amp;B34,
        Calculate_cap_emi!$I$14:$I$21&amp;"|"&amp;Calculate_cap_emi!$L$14:$L$21,
        Calculate_cap_emi!$BH$14:$BH$21, "Not found", 0),"HP",_xlfn.XLOOKUP(E34&amp;"|"&amp;B34,
        Calculate_cap_emi!$I$14:$I$21&amp;"|"&amp;Calculate_cap_emi!$L$14:$L$21,
        Calculate_cap_emi!$BF$14:$BF$21, "Not found", 0),"HPl",_xlfn.XLOOKUP(E34&amp;"|"&amp;B34,
        Calculate_cap_emi!$I$14:$I$21&amp;"|"&amp;Calculate_cap_emi!$L$14:$L$21,
        Calculate_cap_emi!$BI$14:$BI$21, "Not found", 0),"Missing")</f>
        <v>0</v>
      </c>
      <c r="U34" s="5" cm="1">
        <f t="array" ref="U34">_xlfn.SWITCH(F34,"R",_xlfn.XLOOKUP(E34&amp;"|"&amp;B34,
        Calculate_cap_emi_sens!$I$14:$I$21&amp;"|"&amp;Calculate_cap_emi_sens!$L$14:$L$21,
        Calculate_cap_emi_sens!$AX$14:$AX$21, "Not found", 0),"Rb",_xlfn.XLOOKUP(E34&amp;"|"&amp;B34,
        Calculate_cap_emi_sens!$I$14:$I$21&amp;"|"&amp;Calculate_cap_emi_sens!$L$14:$L$21,
        Calculate_cap_emi_sens!$AZ$14:$AZ$21, "Not found", 0),"Rl",_xlfn.XLOOKUP(E34&amp;"|"&amp;B34,
        Calculate_cap_emi_sens!$I$14:$I$21&amp;"|"&amp;Calculate_cap_emi_sens!$L$14:$L$21,
        Calculate_cap_emi_sens!$BA$14:$BA$21, "Not found", 0),"HP",_xlfn.XLOOKUP(E34&amp;"|"&amp;B34,
        Calculate_cap_emi_sens!$I$14:$I$21&amp;"|"&amp;Calculate_cap_emi_sens!$L$14:$L$21,
        Calculate_cap_emi_sens!$AY$14:$AY$21, "Not found", 0),"HPl",_xlfn.XLOOKUP(E34&amp;"|"&amp;B34,
        Calculate_cap_emi_sens!$I$14:$I$21&amp;"|"&amp;Calculate_cap_emi_sens!$L$14:$L$21,
        Calculate_cap_emi_sens!$BB$14:$BB$21, "Not found", 0),"Missing")</f>
        <v>35.438552096308321</v>
      </c>
      <c r="V34" s="5" cm="1">
        <f t="array" ref="V34">_xlfn.SWITCH(F34,"R",_xlfn.XLOOKUP(E34&amp;"|"&amp;B34,
        Calculate_cap_emi_sens!$I$14:$I$21&amp;"|"&amp;Calculate_cap_emi_sens!$L$14:$L$21,
        Calculate_cap_emi_sens!$BE$14:$BE$21, "Not found", 0),"Rb",_xlfn.XLOOKUP(E34&amp;"|"&amp;B34,
        Calculate_cap_emi_sens!$I$14:$I$21&amp;"|"&amp;Calculate_cap_emi_sens!$L$14:$L$21,
        Calculate_cap_emi_sens!$BG$14:$BG$21, "Not found", 0),"Rl",_xlfn.XLOOKUP(E34&amp;"|"&amp;B34,
        Calculate_cap_emi_sens!$I$14:$I$21&amp;"|"&amp;Calculate_cap_emi_sens!$L$14:$L$21,
        Calculate_cap_emi_sens!$BH$14:$BH$21, "Not found", 0),"HP",_xlfn.XLOOKUP(E34&amp;"|"&amp;B34,
        Calculate_cap_emi_sens!$I$14:$I$21&amp;"|"&amp;Calculate_cap_emi_sens!$L$14:$L$21,
        Calculate_cap_emi_sens!$BF$14:$BF$21, "Not found", 0),"HPl",_xlfn.XLOOKUP(E34&amp;"|"&amp;B34,
        Calculate_cap_emi_sens!$I$14:$I$21&amp;"|"&amp;Calculate_cap_emi_sens!$L$14:$L$21,
        Calculate_cap_emi_sens!$BI$14:$BI$21, "Not found", 0),"Missing")</f>
        <v>0</v>
      </c>
      <c r="W34" s="5">
        <f>Results_proc_ener!L34</f>
        <v>16185.708533022098</v>
      </c>
      <c r="X34" s="5">
        <f>Results_proc_ener!M34</f>
        <v>0</v>
      </c>
      <c r="Y34" s="5">
        <f>Results_proc_ener!N34</f>
        <v>0</v>
      </c>
      <c r="Z34" s="5">
        <f>Results_proc_ener!O34</f>
        <v>0</v>
      </c>
      <c r="AA34" s="5">
        <f>Results_proc_ener!P34</f>
        <v>0</v>
      </c>
      <c r="AB34" s="5">
        <f>Results_proc_ener!Q34</f>
        <v>634.03239335877004</v>
      </c>
      <c r="AC34" s="5">
        <f>Results_proc_ener!R34</f>
        <v>11.642137770141677</v>
      </c>
      <c r="AD34" s="5">
        <f>Results_proc_ener!S34</f>
        <v>66.494484797232133</v>
      </c>
      <c r="AE34" s="5">
        <f>Results_proc_ener!T34</f>
        <v>0</v>
      </c>
    </row>
    <row r="35" spans="1:31" x14ac:dyDescent="0.25">
      <c r="A35" s="5" t="s">
        <v>2</v>
      </c>
      <c r="B35" s="5" t="str">
        <f t="shared" si="0"/>
        <v>Mass-Nom</v>
      </c>
      <c r="C35" s="5" t="str">
        <f t="shared" si="1"/>
        <v>Mass</v>
      </c>
      <c r="D35" s="5" t="str">
        <f t="shared" si="2"/>
        <v>Nom</v>
      </c>
      <c r="E35" s="5" t="s">
        <v>3</v>
      </c>
      <c r="F35" s="5" t="s">
        <v>14</v>
      </c>
      <c r="G35" s="5"/>
      <c r="H35" s="5"/>
      <c r="I35" s="5" cm="1">
        <f t="array" ref="I35">_xlfn.SWITCH(F35,"R",_xlfn.XLOOKUP(E35&amp;"|"&amp;B35,
        Calculate_cap_emi!$I$14:$I$21&amp;"|"&amp;Calculate_cap_emi!$L$14:$L$21,
        Calculate_cap_emi!$W$14:$W$21, "Not found", 0),"Rb",_xlfn.XLOOKUP(E35&amp;"|"&amp;B35,
        Calculate_cap_emi!$I$14:$I$21&amp;"|"&amp;Calculate_cap_emi!$L$14:$L$21,
        Calculate_cap_emi!$Y$14:$Y$21, "Not found", 0),"Rl",_xlfn.XLOOKUP(E35&amp;"|"&amp;B35,
        Calculate_cap_emi!$I$14:$I$21&amp;"|"&amp;Calculate_cap_emi!$L$14:$L$21,
        Calculate_cap_emi!$Z$14:$Z$21, "Not found", 0),0)</f>
        <v>7</v>
      </c>
      <c r="J35" s="5"/>
      <c r="K35" s="5"/>
      <c r="L35" s="5" cm="1">
        <f t="array" ref="L35">_xlfn.SWITCH(F35,"R",_xlfn.XLOOKUP(E35&amp;"|"&amp;B35,
        Calculate_cap_emi!$I$14:$I$21&amp;"|"&amp;Calculate_cap_emi!$L$14:$L$21,
        Calculate_cap_emi!$AC$14:$AC$21, "Not found", 0),"Rb",_xlfn.XLOOKUP(E35&amp;"|"&amp;B35,
        Calculate_cap_emi!$I$14:$I$21&amp;"|"&amp;Calculate_cap_emi!$L$14:$L$21,
        Calculate_cap_emi!$AE$14:$AE$21, "Not found", 0),"Rl",_xlfn.XLOOKUP(E35&amp;"|"&amp;B35,
        Calculate_cap_emi!$I$14:$I$21&amp;"|"&amp;Calculate_cap_emi!$L$14:$L$21,
        Calculate_cap_emi!$AF$14:$AF$21, "Not found", 0),"HP",_xlfn.XLOOKUP(E35&amp;"|"&amp;B35,
        Calculate_cap_emi!$I$14:$I$21&amp;"|"&amp;Calculate_cap_emi!$L$14:$L$21,
        Calculate_cap_emi!$AD$14:$AD$21, "Not found", 0),"HPl",_xlfn.XLOOKUP(E35&amp;"|"&amp;B35,
        Calculate_cap_emi!$I$14:$I$21&amp;"|"&amp;Calculate_cap_emi!$L$14:$L$21,
        Calculate_cap_emi!$AG$14:$AG$21, "Not found", 0),"Missing")</f>
        <v>615.23193761518587</v>
      </c>
      <c r="M35" s="5"/>
      <c r="N35" s="5"/>
      <c r="O35" s="5"/>
      <c r="P35" s="5"/>
      <c r="Q35" s="5" cm="1">
        <f t="array" ref="Q35">_xlfn.SWITCH(F35,"R",_xlfn.XLOOKUP(E35&amp;"|"&amp;B35,
        Calculate_cap_emi!$I$14:$I$21&amp;"|"&amp;Calculate_cap_emi!$L$14:$L$21,
        Calculate_cap_emi!$AJ$14:$AJ$21, "Not found", 0),"Rb",_xlfn.XLOOKUP(E35&amp;"|"&amp;B35,
        Calculate_cap_emi!$I$14:$I$21&amp;"|"&amp;Calculate_cap_emi!$L$14:$L$21,
        Calculate_cap_emi!$AL$14:$AL$21, "Not found", 0),"Rl",_xlfn.XLOOKUP(E35&amp;"|"&amp;B35,
        Calculate_cap_emi!$I$14:$I$21&amp;"|"&amp;Calculate_cap_emi!$L$14:$L$21,
        Calculate_cap_emi!$AM$14:$AM$21, "Not found", 0),"HP",_xlfn.XLOOKUP(E35&amp;"|"&amp;B35,
        Calculate_cap_emi!$I$14:$I$21&amp;"|"&amp;Calculate_cap_emi!$L$14:$L$21,
        Calculate_cap_emi!$AK$14:$AK$21, "Not found", 0),"HPl",_xlfn.XLOOKUP(E35&amp;"|"&amp;B35,
        Calculate_cap_emi!$I$14:$I$21&amp;"|"&amp;Calculate_cap_emi!$L$14:$L$21,
        Calculate_cap_emi!$AN$14:$AN$21, "Not found", 0),"Missing")</f>
        <v>29.937346077388234</v>
      </c>
      <c r="R35" s="5" cm="1">
        <f t="array" ref="R35">_xlfn.SWITCH(F35,"R",_xlfn.XLOOKUP(E35&amp;"|"&amp;B35,
        Calculate_cap_emi!$I$14:$I$21&amp;"|"&amp;Calculate_cap_emi!$L$14:$L$21,
        Calculate_cap_emi!$AQ$14:$AQ$21, "Not found", 0),"Rb",_xlfn.XLOOKUP(E35&amp;"|"&amp;B35,
        Calculate_cap_emi!$I$14:$I$21&amp;"|"&amp;Calculate_cap_emi!$L$14:$L$21,
        Calculate_cap_emi!$AS$14:$AS$21, "Not found", 0),"Rl",_xlfn.XLOOKUP(E35&amp;"|"&amp;B35,
        Calculate_cap_emi!$I$14:$I$21&amp;"|"&amp;Calculate_cap_emi!$L$14:$L$21,
        Calculate_cap_emi!$AT$14:$AT$21, "Not found", 0),"HP",_xlfn.XLOOKUP(E35&amp;"|"&amp;B35,
        Calculate_cap_emi!$I$14:$I$21&amp;"|"&amp;Calculate_cap_emi!$L$14:$L$21,
        Calculate_cap_emi!$AR$14:$AR$21, "Not found", 0),"HPl",_xlfn.XLOOKUP(E35&amp;"|"&amp;B35,
        Calculate_cap_emi!$I$14:$I$21&amp;"|"&amp;Calculate_cap_emi!$L$14:$L$21,
        Calculate_cap_emi!$AU$14:$AU$21, "Not found", 0),"Missing")</f>
        <v>3.0919928586861296</v>
      </c>
      <c r="S35" s="5" cm="1">
        <f t="array" ref="S35">_xlfn.SWITCH(F35,"R",_xlfn.XLOOKUP(E35&amp;"|"&amp;B35,
        Calculate_cap_emi!$I$14:$I$21&amp;"|"&amp;Calculate_cap_emi!$L$14:$L$21,
        Calculate_cap_emi!$AX$14:$AX$21, "Not found", 0),"Rb",_xlfn.XLOOKUP(E35&amp;"|"&amp;B35,
        Calculate_cap_emi!$I$14:$I$21&amp;"|"&amp;Calculate_cap_emi!$L$14:$L$21,
        Calculate_cap_emi!$AZ$14:$AZ$21, "Not found", 0),"Rl",_xlfn.XLOOKUP(E35&amp;"|"&amp;B35,
        Calculate_cap_emi!$I$14:$I$21&amp;"|"&amp;Calculate_cap_emi!$L$14:$L$21,
        Calculate_cap_emi!$BA$14:$BA$21, "Not found", 0),"HP",_xlfn.XLOOKUP(E35&amp;"|"&amp;B35,
        Calculate_cap_emi!$I$14:$I$21&amp;"|"&amp;Calculate_cap_emi!$L$14:$L$21,
        Calculate_cap_emi!$AY$14:$AY$21, "Not found", 0),"HPl",_xlfn.XLOOKUP(E35&amp;"|"&amp;B35,
        Calculate_cap_emi!$I$14:$I$21&amp;"|"&amp;Calculate_cap_emi!$L$14:$L$21,
        Calculate_cap_emi!$BB$14:$BB$21, "Not found", 0),"Missing")</f>
        <v>35.438552096308321</v>
      </c>
      <c r="T35" s="5" cm="1">
        <f t="array" ref="T35">_xlfn.SWITCH(F35,"R",_xlfn.XLOOKUP(E35&amp;"|"&amp;B35,
        Calculate_cap_emi!$I$14:$I$21&amp;"|"&amp;Calculate_cap_emi!$L$14:$L$21,
        Calculate_cap_emi!$BE$14:$BE$21, "Not found", 0),"Rb",_xlfn.XLOOKUP(E35&amp;"|"&amp;B35,
        Calculate_cap_emi!$I$14:$I$21&amp;"|"&amp;Calculate_cap_emi!$L$14:$L$21,
        Calculate_cap_emi!$BG$14:$BG$21, "Not found", 0),"Rl",_xlfn.XLOOKUP(E35&amp;"|"&amp;B35,
        Calculate_cap_emi!$I$14:$I$21&amp;"|"&amp;Calculate_cap_emi!$L$14:$L$21,
        Calculate_cap_emi!$BH$14:$BH$21, "Not found", 0),"HP",_xlfn.XLOOKUP(E35&amp;"|"&amp;B35,
        Calculate_cap_emi!$I$14:$I$21&amp;"|"&amp;Calculate_cap_emi!$L$14:$L$21,
        Calculate_cap_emi!$BF$14:$BF$21, "Not found", 0),"HPl",_xlfn.XLOOKUP(E35&amp;"|"&amp;B35,
        Calculate_cap_emi!$I$14:$I$21&amp;"|"&amp;Calculate_cap_emi!$L$14:$L$21,
        Calculate_cap_emi!$BI$14:$BI$21, "Not found", 0),"Missing")</f>
        <v>0</v>
      </c>
      <c r="U35" s="5" cm="1">
        <f t="array" ref="U35">_xlfn.SWITCH(F35,"R",_xlfn.XLOOKUP(E35&amp;"|"&amp;B35,
        Calculate_cap_emi_sens!$I$14:$I$21&amp;"|"&amp;Calculate_cap_emi_sens!$L$14:$L$21,
        Calculate_cap_emi_sens!$AX$14:$AX$21, "Not found", 0),"Rb",_xlfn.XLOOKUP(E35&amp;"|"&amp;B35,
        Calculate_cap_emi_sens!$I$14:$I$21&amp;"|"&amp;Calculate_cap_emi_sens!$L$14:$L$21,
        Calculate_cap_emi_sens!$AZ$14:$AZ$21, "Not found", 0),"Rl",_xlfn.XLOOKUP(E35&amp;"|"&amp;B35,
        Calculate_cap_emi_sens!$I$14:$I$21&amp;"|"&amp;Calculate_cap_emi_sens!$L$14:$L$21,
        Calculate_cap_emi_sens!$BA$14:$BA$21, "Not found", 0),"HP",_xlfn.XLOOKUP(E35&amp;"|"&amp;B35,
        Calculate_cap_emi_sens!$I$14:$I$21&amp;"|"&amp;Calculate_cap_emi_sens!$L$14:$L$21,
        Calculate_cap_emi_sens!$AY$14:$AY$21, "Not found", 0),"HPl",_xlfn.XLOOKUP(E35&amp;"|"&amp;B35,
        Calculate_cap_emi_sens!$I$14:$I$21&amp;"|"&amp;Calculate_cap_emi_sens!$L$14:$L$21,
        Calculate_cap_emi_sens!$BB$14:$BB$21, "Not found", 0),"Missing")</f>
        <v>35.438552096308321</v>
      </c>
      <c r="V35" s="5" cm="1">
        <f t="array" ref="V35">_xlfn.SWITCH(F35,"R",_xlfn.XLOOKUP(E35&amp;"|"&amp;B35,
        Calculate_cap_emi_sens!$I$14:$I$21&amp;"|"&amp;Calculate_cap_emi_sens!$L$14:$L$21,
        Calculate_cap_emi_sens!$BE$14:$BE$21, "Not found", 0),"Rb",_xlfn.XLOOKUP(E35&amp;"|"&amp;B35,
        Calculate_cap_emi_sens!$I$14:$I$21&amp;"|"&amp;Calculate_cap_emi_sens!$L$14:$L$21,
        Calculate_cap_emi_sens!$BG$14:$BG$21, "Not found", 0),"Rl",_xlfn.XLOOKUP(E35&amp;"|"&amp;B35,
        Calculate_cap_emi_sens!$I$14:$I$21&amp;"|"&amp;Calculate_cap_emi_sens!$L$14:$L$21,
        Calculate_cap_emi_sens!$BH$14:$BH$21, "Not found", 0),"HP",_xlfn.XLOOKUP(E35&amp;"|"&amp;B35,
        Calculate_cap_emi_sens!$I$14:$I$21&amp;"|"&amp;Calculate_cap_emi_sens!$L$14:$L$21,
        Calculate_cap_emi_sens!$BF$14:$BF$21, "Not found", 0),"HPl",_xlfn.XLOOKUP(E35&amp;"|"&amp;B35,
        Calculate_cap_emi_sens!$I$14:$I$21&amp;"|"&amp;Calculate_cap_emi_sens!$L$14:$L$21,
        Calculate_cap_emi_sens!$BI$14:$BI$21, "Not found", 0),"Missing")</f>
        <v>0</v>
      </c>
      <c r="W35" s="5">
        <f>Results_proc_ener!L35</f>
        <v>16185.708533022098</v>
      </c>
      <c r="X35" s="5">
        <f>Results_proc_ener!M35</f>
        <v>0</v>
      </c>
      <c r="Y35" s="5">
        <f>Results_proc_ener!N35</f>
        <v>0</v>
      </c>
      <c r="Z35" s="5">
        <f>Results_proc_ener!O35</f>
        <v>0</v>
      </c>
      <c r="AA35" s="5">
        <f>Results_proc_ener!P35</f>
        <v>0</v>
      </c>
      <c r="AB35" s="5">
        <f>Results_proc_ener!Q35</f>
        <v>634.03239335877004</v>
      </c>
      <c r="AC35" s="5">
        <f>Results_proc_ener!R35</f>
        <v>11.642137770141677</v>
      </c>
      <c r="AD35" s="5">
        <f>Results_proc_ener!S35</f>
        <v>66.494484797232133</v>
      </c>
      <c r="AE35" s="5">
        <f>Results_proc_ener!T35</f>
        <v>0</v>
      </c>
    </row>
    <row r="36" spans="1:31" x14ac:dyDescent="0.25">
      <c r="A36" s="5" t="s">
        <v>5</v>
      </c>
      <c r="B36" s="5" t="str">
        <f t="shared" si="0"/>
        <v>Mass-H1</v>
      </c>
      <c r="C36" s="5" t="str">
        <f t="shared" si="1"/>
        <v>Mass</v>
      </c>
      <c r="D36" s="5" t="str">
        <f t="shared" si="2"/>
        <v>H1</v>
      </c>
      <c r="E36" s="5" t="s">
        <v>3</v>
      </c>
      <c r="F36" s="5" t="s">
        <v>14</v>
      </c>
      <c r="G36" s="5"/>
      <c r="H36" s="5"/>
      <c r="I36" s="5" cm="1">
        <f t="array" ref="I36">_xlfn.SWITCH(F36,"R",_xlfn.XLOOKUP(E36&amp;"|"&amp;B36,
        Calculate_cap_emi!$I$14:$I$21&amp;"|"&amp;Calculate_cap_emi!$L$14:$L$21,
        Calculate_cap_emi!$W$14:$W$21, "Not found", 0),"Rb",_xlfn.XLOOKUP(E36&amp;"|"&amp;B36,
        Calculate_cap_emi!$I$14:$I$21&amp;"|"&amp;Calculate_cap_emi!$L$14:$L$21,
        Calculate_cap_emi!$Y$14:$Y$21, "Not found", 0),"Rl",_xlfn.XLOOKUP(E36&amp;"|"&amp;B36,
        Calculate_cap_emi!$I$14:$I$21&amp;"|"&amp;Calculate_cap_emi!$L$14:$L$21,
        Calculate_cap_emi!$Z$14:$Z$21, "Not found", 0),0)</f>
        <v>5</v>
      </c>
      <c r="J36" s="5"/>
      <c r="K36" s="5"/>
      <c r="L36" s="5" cm="1">
        <f t="array" ref="L36">_xlfn.SWITCH(F36,"R",_xlfn.XLOOKUP(E36&amp;"|"&amp;B36,
        Calculate_cap_emi!$I$14:$I$21&amp;"|"&amp;Calculate_cap_emi!$L$14:$L$21,
        Calculate_cap_emi!$AC$14:$AC$21, "Not found", 0),"Rb",_xlfn.XLOOKUP(E36&amp;"|"&amp;B36,
        Calculate_cap_emi!$I$14:$I$21&amp;"|"&amp;Calculate_cap_emi!$L$14:$L$21,
        Calculate_cap_emi!$AE$14:$AE$21, "Not found", 0),"Rl",_xlfn.XLOOKUP(E36&amp;"|"&amp;B36,
        Calculate_cap_emi!$I$14:$I$21&amp;"|"&amp;Calculate_cap_emi!$L$14:$L$21,
        Calculate_cap_emi!$AF$14:$AF$21, "Not found", 0),"HP",_xlfn.XLOOKUP(E36&amp;"|"&amp;B36,
        Calculate_cap_emi!$I$14:$I$21&amp;"|"&amp;Calculate_cap_emi!$L$14:$L$21,
        Calculate_cap_emi!$AD$14:$AD$21, "Not found", 0),"HPl",_xlfn.XLOOKUP(E36&amp;"|"&amp;B36,
        Calculate_cap_emi!$I$14:$I$21&amp;"|"&amp;Calculate_cap_emi!$L$14:$L$21,
        Calculate_cap_emi!$AG$14:$AG$21, "Not found", 0),"Missing")</f>
        <v>523.75116125759598</v>
      </c>
      <c r="M36" s="5"/>
      <c r="N36" s="5"/>
      <c r="O36" s="5"/>
      <c r="P36" s="5"/>
      <c r="Q36" s="5" cm="1">
        <f t="array" ref="Q36">_xlfn.SWITCH(F36,"R",_xlfn.XLOOKUP(E36&amp;"|"&amp;B36,
        Calculate_cap_emi!$I$14:$I$21&amp;"|"&amp;Calculate_cap_emi!$L$14:$L$21,
        Calculate_cap_emi!$AJ$14:$AJ$21, "Not found", 0),"Rb",_xlfn.XLOOKUP(E36&amp;"|"&amp;B36,
        Calculate_cap_emi!$I$14:$I$21&amp;"|"&amp;Calculate_cap_emi!$L$14:$L$21,
        Calculate_cap_emi!$AL$14:$AL$21, "Not found", 0),"Rl",_xlfn.XLOOKUP(E36&amp;"|"&amp;B36,
        Calculate_cap_emi!$I$14:$I$21&amp;"|"&amp;Calculate_cap_emi!$L$14:$L$21,
        Calculate_cap_emi!$AM$14:$AM$21, "Not found", 0),"HP",_xlfn.XLOOKUP(E36&amp;"|"&amp;B36,
        Calculate_cap_emi!$I$14:$I$21&amp;"|"&amp;Calculate_cap_emi!$L$14:$L$21,
        Calculate_cap_emi!$AK$14:$AK$21, "Not found", 0),"HPl",_xlfn.XLOOKUP(E36&amp;"|"&amp;B36,
        Calculate_cap_emi!$I$14:$I$21&amp;"|"&amp;Calculate_cap_emi!$L$14:$L$21,
        Calculate_cap_emi!$AN$14:$AN$21, "Not found", 0),"Missing")</f>
        <v>23.929721751599999</v>
      </c>
      <c r="R36" s="5" cm="1">
        <f t="array" ref="R36">_xlfn.SWITCH(F36,"R",_xlfn.XLOOKUP(E36&amp;"|"&amp;B36,
        Calculate_cap_emi!$I$14:$I$21&amp;"|"&amp;Calculate_cap_emi!$L$14:$L$21,
        Calculate_cap_emi!$AQ$14:$AQ$21, "Not found", 0),"Rb",_xlfn.XLOOKUP(E36&amp;"|"&amp;B36,
        Calculate_cap_emi!$I$14:$I$21&amp;"|"&amp;Calculate_cap_emi!$L$14:$L$21,
        Calculate_cap_emi!$AS$14:$AS$21, "Not found", 0),"Rl",_xlfn.XLOOKUP(E36&amp;"|"&amp;B36,
        Calculate_cap_emi!$I$14:$I$21&amp;"|"&amp;Calculate_cap_emi!$L$14:$L$21,
        Calculate_cap_emi!$AT$14:$AT$21, "Not found", 0),"HP",_xlfn.XLOOKUP(E36&amp;"|"&amp;B36,
        Calculate_cap_emi!$I$14:$I$21&amp;"|"&amp;Calculate_cap_emi!$L$14:$L$21,
        Calculate_cap_emi!$AR$14:$AR$21, "Not found", 0),"HPl",_xlfn.XLOOKUP(E36&amp;"|"&amp;B36,
        Calculate_cap_emi!$I$14:$I$21&amp;"|"&amp;Calculate_cap_emi!$L$14:$L$21,
        Calculate_cap_emi!$AU$14:$AU$21, "Not found", 0),"Missing")</f>
        <v>2.8541020923538154</v>
      </c>
      <c r="S36" s="5" cm="1">
        <f t="array" ref="S36">_xlfn.SWITCH(F36,"R",_xlfn.XLOOKUP(E36&amp;"|"&amp;B36,
        Calculate_cap_emi!$I$14:$I$21&amp;"|"&amp;Calculate_cap_emi!$L$14:$L$21,
        Calculate_cap_emi!$AX$14:$AX$21, "Not found", 0),"Rb",_xlfn.XLOOKUP(E36&amp;"|"&amp;B36,
        Calculate_cap_emi!$I$14:$I$21&amp;"|"&amp;Calculate_cap_emi!$L$14:$L$21,
        Calculate_cap_emi!$AZ$14:$AZ$21, "Not found", 0),"Rl",_xlfn.XLOOKUP(E36&amp;"|"&amp;B36,
        Calculate_cap_emi!$I$14:$I$21&amp;"|"&amp;Calculate_cap_emi!$L$14:$L$21,
        Calculate_cap_emi!$BA$14:$BA$21, "Not found", 0),"HP",_xlfn.XLOOKUP(E36&amp;"|"&amp;B36,
        Calculate_cap_emi!$I$14:$I$21&amp;"|"&amp;Calculate_cap_emi!$L$14:$L$21,
        Calculate_cap_emi!$AY$14:$AY$21, "Not found", 0),"HPl",_xlfn.XLOOKUP(E36&amp;"|"&amp;B36,
        Calculate_cap_emi!$I$14:$I$21&amp;"|"&amp;Calculate_cap_emi!$L$14:$L$21,
        Calculate_cap_emi!$BB$14:$BB$21, "Not found", 0),"Missing")</f>
        <v>28.377718185089282</v>
      </c>
      <c r="T36" s="5" cm="1">
        <f t="array" ref="T36">_xlfn.SWITCH(F36,"R",_xlfn.XLOOKUP(E36&amp;"|"&amp;B36,
        Calculate_cap_emi!$I$14:$I$21&amp;"|"&amp;Calculate_cap_emi!$L$14:$L$21,
        Calculate_cap_emi!$BE$14:$BE$21, "Not found", 0),"Rb",_xlfn.XLOOKUP(E36&amp;"|"&amp;B36,
        Calculate_cap_emi!$I$14:$I$21&amp;"|"&amp;Calculate_cap_emi!$L$14:$L$21,
        Calculate_cap_emi!$BG$14:$BG$21, "Not found", 0),"Rl",_xlfn.XLOOKUP(E36&amp;"|"&amp;B36,
        Calculate_cap_emi!$I$14:$I$21&amp;"|"&amp;Calculate_cap_emi!$L$14:$L$21,
        Calculate_cap_emi!$BH$14:$BH$21, "Not found", 0),"HP",_xlfn.XLOOKUP(E36&amp;"|"&amp;B36,
        Calculate_cap_emi!$I$14:$I$21&amp;"|"&amp;Calculate_cap_emi!$L$14:$L$21,
        Calculate_cap_emi!$BF$14:$BF$21, "Not found", 0),"HPl",_xlfn.XLOOKUP(E36&amp;"|"&amp;B36,
        Calculate_cap_emi!$I$14:$I$21&amp;"|"&amp;Calculate_cap_emi!$L$14:$L$21,
        Calculate_cap_emi!$BI$14:$BI$21, "Not found", 0),"Missing")</f>
        <v>0</v>
      </c>
      <c r="U36" s="5" cm="1">
        <f t="array" ref="U36">_xlfn.SWITCH(F36,"R",_xlfn.XLOOKUP(E36&amp;"|"&amp;B36,
        Calculate_cap_emi_sens!$I$14:$I$21&amp;"|"&amp;Calculate_cap_emi_sens!$L$14:$L$21,
        Calculate_cap_emi_sens!$AX$14:$AX$21, "Not found", 0),"Rb",_xlfn.XLOOKUP(E36&amp;"|"&amp;B36,
        Calculate_cap_emi_sens!$I$14:$I$21&amp;"|"&amp;Calculate_cap_emi_sens!$L$14:$L$21,
        Calculate_cap_emi_sens!$AZ$14:$AZ$21, "Not found", 0),"Rl",_xlfn.XLOOKUP(E36&amp;"|"&amp;B36,
        Calculate_cap_emi_sens!$I$14:$I$21&amp;"|"&amp;Calculate_cap_emi_sens!$L$14:$L$21,
        Calculate_cap_emi_sens!$BA$14:$BA$21, "Not found", 0),"HP",_xlfn.XLOOKUP(E36&amp;"|"&amp;B36,
        Calculate_cap_emi_sens!$I$14:$I$21&amp;"|"&amp;Calculate_cap_emi_sens!$L$14:$L$21,
        Calculate_cap_emi_sens!$AY$14:$AY$21, "Not found", 0),"HPl",_xlfn.XLOOKUP(E36&amp;"|"&amp;B36,
        Calculate_cap_emi_sens!$I$14:$I$21&amp;"|"&amp;Calculate_cap_emi_sens!$L$14:$L$21,
        Calculate_cap_emi_sens!$BB$14:$BB$21, "Not found", 0),"Missing")</f>
        <v>28.377718185089282</v>
      </c>
      <c r="V36" s="5" cm="1">
        <f t="array" ref="V36">_xlfn.SWITCH(F36,"R",_xlfn.XLOOKUP(E36&amp;"|"&amp;B36,
        Calculate_cap_emi_sens!$I$14:$I$21&amp;"|"&amp;Calculate_cap_emi_sens!$L$14:$L$21,
        Calculate_cap_emi_sens!$BE$14:$BE$21, "Not found", 0),"Rb",_xlfn.XLOOKUP(E36&amp;"|"&amp;B36,
        Calculate_cap_emi_sens!$I$14:$I$21&amp;"|"&amp;Calculate_cap_emi_sens!$L$14:$L$21,
        Calculate_cap_emi_sens!$BG$14:$BG$21, "Not found", 0),"Rl",_xlfn.XLOOKUP(E36&amp;"|"&amp;B36,
        Calculate_cap_emi_sens!$I$14:$I$21&amp;"|"&amp;Calculate_cap_emi_sens!$L$14:$L$21,
        Calculate_cap_emi_sens!$BH$14:$BH$21, "Not found", 0),"HP",_xlfn.XLOOKUP(E36&amp;"|"&amp;B36,
        Calculate_cap_emi_sens!$I$14:$I$21&amp;"|"&amp;Calculate_cap_emi_sens!$L$14:$L$21,
        Calculate_cap_emi_sens!$BF$14:$BF$21, "Not found", 0),"HPl",_xlfn.XLOOKUP(E36&amp;"|"&amp;B36,
        Calculate_cap_emi_sens!$I$14:$I$21&amp;"|"&amp;Calculate_cap_emi_sens!$L$14:$L$21,
        Calculate_cap_emi_sens!$BI$14:$BI$21, "Not found", 0),"Missing")</f>
        <v>0</v>
      </c>
      <c r="W36" s="5">
        <f>Results_proc_ener!L36</f>
        <v>13726.935336196544</v>
      </c>
      <c r="X36" s="5">
        <f>Results_proc_ener!M36</f>
        <v>0</v>
      </c>
      <c r="Y36" s="5">
        <f>Results_proc_ener!N36</f>
        <v>0</v>
      </c>
      <c r="Z36" s="5">
        <f>Results_proc_ener!O36</f>
        <v>0</v>
      </c>
      <c r="AA36" s="5">
        <f>Results_proc_ener!P36</f>
        <v>0</v>
      </c>
      <c r="AB36" s="5">
        <f>Results_proc_ener!Q36</f>
        <v>506.79905678199003</v>
      </c>
      <c r="AC36" s="5">
        <f>Results_proc_ener!R36</f>
        <v>9.9815797543151614</v>
      </c>
      <c r="AD36" s="5">
        <f>Results_proc_ener!S36</f>
        <v>58.957770553626503</v>
      </c>
      <c r="AE36" s="5">
        <f>Results_proc_ener!T36</f>
        <v>0</v>
      </c>
    </row>
    <row r="37" spans="1:31" x14ac:dyDescent="0.25">
      <c r="A37" s="5" t="s">
        <v>6</v>
      </c>
      <c r="B37" s="5" t="str">
        <f t="shared" si="0"/>
        <v>Mass-H1</v>
      </c>
      <c r="C37" s="5" t="str">
        <f t="shared" si="1"/>
        <v>Mass</v>
      </c>
      <c r="D37" s="5" t="str">
        <f t="shared" si="2"/>
        <v>H1</v>
      </c>
      <c r="E37" s="5" t="s">
        <v>3</v>
      </c>
      <c r="F37" s="5" t="s">
        <v>14</v>
      </c>
      <c r="G37" s="5"/>
      <c r="H37" s="5"/>
      <c r="I37" s="5" cm="1">
        <f t="array" ref="I37">_xlfn.SWITCH(F37,"R",_xlfn.XLOOKUP(E37&amp;"|"&amp;B37,
        Calculate_cap_emi!$I$14:$I$21&amp;"|"&amp;Calculate_cap_emi!$L$14:$L$21,
        Calculate_cap_emi!$W$14:$W$21, "Not found", 0),"Rb",_xlfn.XLOOKUP(E37&amp;"|"&amp;B37,
        Calculate_cap_emi!$I$14:$I$21&amp;"|"&amp;Calculate_cap_emi!$L$14:$L$21,
        Calculate_cap_emi!$Y$14:$Y$21, "Not found", 0),"Rl",_xlfn.XLOOKUP(E37&amp;"|"&amp;B37,
        Calculate_cap_emi!$I$14:$I$21&amp;"|"&amp;Calculate_cap_emi!$L$14:$L$21,
        Calculate_cap_emi!$Z$14:$Z$21, "Not found", 0),0)</f>
        <v>5</v>
      </c>
      <c r="J37" s="5"/>
      <c r="K37" s="5"/>
      <c r="L37" s="5" cm="1">
        <f t="array" ref="L37">_xlfn.SWITCH(F37,"R",_xlfn.XLOOKUP(E37&amp;"|"&amp;B37,
        Calculate_cap_emi!$I$14:$I$21&amp;"|"&amp;Calculate_cap_emi!$L$14:$L$21,
        Calculate_cap_emi!$AC$14:$AC$21, "Not found", 0),"Rb",_xlfn.XLOOKUP(E37&amp;"|"&amp;B37,
        Calculate_cap_emi!$I$14:$I$21&amp;"|"&amp;Calculate_cap_emi!$L$14:$L$21,
        Calculate_cap_emi!$AE$14:$AE$21, "Not found", 0),"Rl",_xlfn.XLOOKUP(E37&amp;"|"&amp;B37,
        Calculate_cap_emi!$I$14:$I$21&amp;"|"&amp;Calculate_cap_emi!$L$14:$L$21,
        Calculate_cap_emi!$AF$14:$AF$21, "Not found", 0),"HP",_xlfn.XLOOKUP(E37&amp;"|"&amp;B37,
        Calculate_cap_emi!$I$14:$I$21&amp;"|"&amp;Calculate_cap_emi!$L$14:$L$21,
        Calculate_cap_emi!$AD$14:$AD$21, "Not found", 0),"HPl",_xlfn.XLOOKUP(E37&amp;"|"&amp;B37,
        Calculate_cap_emi!$I$14:$I$21&amp;"|"&amp;Calculate_cap_emi!$L$14:$L$21,
        Calculate_cap_emi!$AG$14:$AG$21, "Not found", 0),"Missing")</f>
        <v>523.75116125759598</v>
      </c>
      <c r="M37" s="5"/>
      <c r="N37" s="5"/>
      <c r="O37" s="5"/>
      <c r="P37" s="5"/>
      <c r="Q37" s="5" cm="1">
        <f t="array" ref="Q37">_xlfn.SWITCH(F37,"R",_xlfn.XLOOKUP(E37&amp;"|"&amp;B37,
        Calculate_cap_emi!$I$14:$I$21&amp;"|"&amp;Calculate_cap_emi!$L$14:$L$21,
        Calculate_cap_emi!$AJ$14:$AJ$21, "Not found", 0),"Rb",_xlfn.XLOOKUP(E37&amp;"|"&amp;B37,
        Calculate_cap_emi!$I$14:$I$21&amp;"|"&amp;Calculate_cap_emi!$L$14:$L$21,
        Calculate_cap_emi!$AL$14:$AL$21, "Not found", 0),"Rl",_xlfn.XLOOKUP(E37&amp;"|"&amp;B37,
        Calculate_cap_emi!$I$14:$I$21&amp;"|"&amp;Calculate_cap_emi!$L$14:$L$21,
        Calculate_cap_emi!$AM$14:$AM$21, "Not found", 0),"HP",_xlfn.XLOOKUP(E37&amp;"|"&amp;B37,
        Calculate_cap_emi!$I$14:$I$21&amp;"|"&amp;Calculate_cap_emi!$L$14:$L$21,
        Calculate_cap_emi!$AK$14:$AK$21, "Not found", 0),"HPl",_xlfn.XLOOKUP(E37&amp;"|"&amp;B37,
        Calculate_cap_emi!$I$14:$I$21&amp;"|"&amp;Calculate_cap_emi!$L$14:$L$21,
        Calculate_cap_emi!$AN$14:$AN$21, "Not found", 0),"Missing")</f>
        <v>23.929721751599999</v>
      </c>
      <c r="R37" s="5" cm="1">
        <f t="array" ref="R37">_xlfn.SWITCH(F37,"R",_xlfn.XLOOKUP(E37&amp;"|"&amp;B37,
        Calculate_cap_emi!$I$14:$I$21&amp;"|"&amp;Calculate_cap_emi!$L$14:$L$21,
        Calculate_cap_emi!$AQ$14:$AQ$21, "Not found", 0),"Rb",_xlfn.XLOOKUP(E37&amp;"|"&amp;B37,
        Calculate_cap_emi!$I$14:$I$21&amp;"|"&amp;Calculate_cap_emi!$L$14:$L$21,
        Calculate_cap_emi!$AS$14:$AS$21, "Not found", 0),"Rl",_xlfn.XLOOKUP(E37&amp;"|"&amp;B37,
        Calculate_cap_emi!$I$14:$I$21&amp;"|"&amp;Calculate_cap_emi!$L$14:$L$21,
        Calculate_cap_emi!$AT$14:$AT$21, "Not found", 0),"HP",_xlfn.XLOOKUP(E37&amp;"|"&amp;B37,
        Calculate_cap_emi!$I$14:$I$21&amp;"|"&amp;Calculate_cap_emi!$L$14:$L$21,
        Calculate_cap_emi!$AR$14:$AR$21, "Not found", 0),"HPl",_xlfn.XLOOKUP(E37&amp;"|"&amp;B37,
        Calculate_cap_emi!$I$14:$I$21&amp;"|"&amp;Calculate_cap_emi!$L$14:$L$21,
        Calculate_cap_emi!$AU$14:$AU$21, "Not found", 0),"Missing")</f>
        <v>2.8541020923538154</v>
      </c>
      <c r="S37" s="5" cm="1">
        <f t="array" ref="S37">_xlfn.SWITCH(F37,"R",_xlfn.XLOOKUP(E37&amp;"|"&amp;B37,
        Calculate_cap_emi!$I$14:$I$21&amp;"|"&amp;Calculate_cap_emi!$L$14:$L$21,
        Calculate_cap_emi!$AX$14:$AX$21, "Not found", 0),"Rb",_xlfn.XLOOKUP(E37&amp;"|"&amp;B37,
        Calculate_cap_emi!$I$14:$I$21&amp;"|"&amp;Calculate_cap_emi!$L$14:$L$21,
        Calculate_cap_emi!$AZ$14:$AZ$21, "Not found", 0),"Rl",_xlfn.XLOOKUP(E37&amp;"|"&amp;B37,
        Calculate_cap_emi!$I$14:$I$21&amp;"|"&amp;Calculate_cap_emi!$L$14:$L$21,
        Calculate_cap_emi!$BA$14:$BA$21, "Not found", 0),"HP",_xlfn.XLOOKUP(E37&amp;"|"&amp;B37,
        Calculate_cap_emi!$I$14:$I$21&amp;"|"&amp;Calculate_cap_emi!$L$14:$L$21,
        Calculate_cap_emi!$AY$14:$AY$21, "Not found", 0),"HPl",_xlfn.XLOOKUP(E37&amp;"|"&amp;B37,
        Calculate_cap_emi!$I$14:$I$21&amp;"|"&amp;Calculate_cap_emi!$L$14:$L$21,
        Calculate_cap_emi!$BB$14:$BB$21, "Not found", 0),"Missing")</f>
        <v>28.377718185089282</v>
      </c>
      <c r="T37" s="5" cm="1">
        <f t="array" ref="T37">_xlfn.SWITCH(F37,"R",_xlfn.XLOOKUP(E37&amp;"|"&amp;B37,
        Calculate_cap_emi!$I$14:$I$21&amp;"|"&amp;Calculate_cap_emi!$L$14:$L$21,
        Calculate_cap_emi!$BE$14:$BE$21, "Not found", 0),"Rb",_xlfn.XLOOKUP(E37&amp;"|"&amp;B37,
        Calculate_cap_emi!$I$14:$I$21&amp;"|"&amp;Calculate_cap_emi!$L$14:$L$21,
        Calculate_cap_emi!$BG$14:$BG$21, "Not found", 0),"Rl",_xlfn.XLOOKUP(E37&amp;"|"&amp;B37,
        Calculate_cap_emi!$I$14:$I$21&amp;"|"&amp;Calculate_cap_emi!$L$14:$L$21,
        Calculate_cap_emi!$BH$14:$BH$21, "Not found", 0),"HP",_xlfn.XLOOKUP(E37&amp;"|"&amp;B37,
        Calculate_cap_emi!$I$14:$I$21&amp;"|"&amp;Calculate_cap_emi!$L$14:$L$21,
        Calculate_cap_emi!$BF$14:$BF$21, "Not found", 0),"HPl",_xlfn.XLOOKUP(E37&amp;"|"&amp;B37,
        Calculate_cap_emi!$I$14:$I$21&amp;"|"&amp;Calculate_cap_emi!$L$14:$L$21,
        Calculate_cap_emi!$BI$14:$BI$21, "Not found", 0),"Missing")</f>
        <v>0</v>
      </c>
      <c r="U37" s="5" cm="1">
        <f t="array" ref="U37">_xlfn.SWITCH(F37,"R",_xlfn.XLOOKUP(E37&amp;"|"&amp;B37,
        Calculate_cap_emi_sens!$I$14:$I$21&amp;"|"&amp;Calculate_cap_emi_sens!$L$14:$L$21,
        Calculate_cap_emi_sens!$AX$14:$AX$21, "Not found", 0),"Rb",_xlfn.XLOOKUP(E37&amp;"|"&amp;B37,
        Calculate_cap_emi_sens!$I$14:$I$21&amp;"|"&amp;Calculate_cap_emi_sens!$L$14:$L$21,
        Calculate_cap_emi_sens!$AZ$14:$AZ$21, "Not found", 0),"Rl",_xlfn.XLOOKUP(E37&amp;"|"&amp;B37,
        Calculate_cap_emi_sens!$I$14:$I$21&amp;"|"&amp;Calculate_cap_emi_sens!$L$14:$L$21,
        Calculate_cap_emi_sens!$BA$14:$BA$21, "Not found", 0),"HP",_xlfn.XLOOKUP(E37&amp;"|"&amp;B37,
        Calculate_cap_emi_sens!$I$14:$I$21&amp;"|"&amp;Calculate_cap_emi_sens!$L$14:$L$21,
        Calculate_cap_emi_sens!$AY$14:$AY$21, "Not found", 0),"HPl",_xlfn.XLOOKUP(E37&amp;"|"&amp;B37,
        Calculate_cap_emi_sens!$I$14:$I$21&amp;"|"&amp;Calculate_cap_emi_sens!$L$14:$L$21,
        Calculate_cap_emi_sens!$BB$14:$BB$21, "Not found", 0),"Missing")</f>
        <v>28.377718185089282</v>
      </c>
      <c r="V37" s="5" cm="1">
        <f t="array" ref="V37">_xlfn.SWITCH(F37,"R",_xlfn.XLOOKUP(E37&amp;"|"&amp;B37,
        Calculate_cap_emi_sens!$I$14:$I$21&amp;"|"&amp;Calculate_cap_emi_sens!$L$14:$L$21,
        Calculate_cap_emi_sens!$BE$14:$BE$21, "Not found", 0),"Rb",_xlfn.XLOOKUP(E37&amp;"|"&amp;B37,
        Calculate_cap_emi_sens!$I$14:$I$21&amp;"|"&amp;Calculate_cap_emi_sens!$L$14:$L$21,
        Calculate_cap_emi_sens!$BG$14:$BG$21, "Not found", 0),"Rl",_xlfn.XLOOKUP(E37&amp;"|"&amp;B37,
        Calculate_cap_emi_sens!$I$14:$I$21&amp;"|"&amp;Calculate_cap_emi_sens!$L$14:$L$21,
        Calculate_cap_emi_sens!$BH$14:$BH$21, "Not found", 0),"HP",_xlfn.XLOOKUP(E37&amp;"|"&amp;B37,
        Calculate_cap_emi_sens!$I$14:$I$21&amp;"|"&amp;Calculate_cap_emi_sens!$L$14:$L$21,
        Calculate_cap_emi_sens!$BF$14:$BF$21, "Not found", 0),"HPl",_xlfn.XLOOKUP(E37&amp;"|"&amp;B37,
        Calculate_cap_emi_sens!$I$14:$I$21&amp;"|"&amp;Calculate_cap_emi_sens!$L$14:$L$21,
        Calculate_cap_emi_sens!$BI$14:$BI$21, "Not found", 0),"Missing")</f>
        <v>0</v>
      </c>
      <c r="W37" s="5">
        <f>Results_proc_ener!L37</f>
        <v>13726.935336196544</v>
      </c>
      <c r="X37" s="5">
        <f>Results_proc_ener!M37</f>
        <v>0</v>
      </c>
      <c r="Y37" s="5">
        <f>Results_proc_ener!N37</f>
        <v>0</v>
      </c>
      <c r="Z37" s="5">
        <f>Results_proc_ener!O37</f>
        <v>0</v>
      </c>
      <c r="AA37" s="5">
        <f>Results_proc_ener!P37</f>
        <v>0</v>
      </c>
      <c r="AB37" s="5">
        <f>Results_proc_ener!Q37</f>
        <v>506.79905678199003</v>
      </c>
      <c r="AC37" s="5">
        <f>Results_proc_ener!R37</f>
        <v>9.9815797543151614</v>
      </c>
      <c r="AD37" s="5">
        <f>Results_proc_ener!S37</f>
        <v>58.957770553626503</v>
      </c>
      <c r="AE37" s="5">
        <f>Results_proc_ener!T37</f>
        <v>0</v>
      </c>
    </row>
    <row r="38" spans="1:31" x14ac:dyDescent="0.25">
      <c r="A38" s="5" t="s">
        <v>7</v>
      </c>
      <c r="B38" s="5" t="str">
        <f t="shared" si="0"/>
        <v>Mod-Nom</v>
      </c>
      <c r="C38" s="5" t="str">
        <f t="shared" si="1"/>
        <v>Mod</v>
      </c>
      <c r="D38" s="5" t="str">
        <f t="shared" si="2"/>
        <v>Nom</v>
      </c>
      <c r="E38" s="5" t="s">
        <v>3</v>
      </c>
      <c r="F38" s="5" t="s">
        <v>14</v>
      </c>
      <c r="G38" s="5"/>
      <c r="H38" s="5"/>
      <c r="I38" s="5" cm="1">
        <f t="array" ref="I38">_xlfn.SWITCH(F38,"R",_xlfn.XLOOKUP(E38&amp;"|"&amp;B38,
        Calculate_cap_emi!$I$14:$I$21&amp;"|"&amp;Calculate_cap_emi!$L$14:$L$21,
        Calculate_cap_emi!$W$14:$W$21, "Not found", 0),"Rb",_xlfn.XLOOKUP(E38&amp;"|"&amp;B38,
        Calculate_cap_emi!$I$14:$I$21&amp;"|"&amp;Calculate_cap_emi!$L$14:$L$21,
        Calculate_cap_emi!$Y$14:$Y$21, "Not found", 0),"Rl",_xlfn.XLOOKUP(E38&amp;"|"&amp;B38,
        Calculate_cap_emi!$I$14:$I$21&amp;"|"&amp;Calculate_cap_emi!$L$14:$L$21,
        Calculate_cap_emi!$Z$14:$Z$21, "Not found", 0),0)</f>
        <v>8</v>
      </c>
      <c r="J38" s="5"/>
      <c r="K38" s="5"/>
      <c r="L38" s="5" cm="1">
        <f t="array" ref="L38">_xlfn.SWITCH(F38,"R",_xlfn.XLOOKUP(E38&amp;"|"&amp;B38,
        Calculate_cap_emi!$I$14:$I$21&amp;"|"&amp;Calculate_cap_emi!$L$14:$L$21,
        Calculate_cap_emi!$AC$14:$AC$21, "Not found", 0),"Rb",_xlfn.XLOOKUP(E38&amp;"|"&amp;B38,
        Calculate_cap_emi!$I$14:$I$21&amp;"|"&amp;Calculate_cap_emi!$L$14:$L$21,
        Calculate_cap_emi!$AE$14:$AE$21, "Not found", 0),"Rl",_xlfn.XLOOKUP(E38&amp;"|"&amp;B38,
        Calculate_cap_emi!$I$14:$I$21&amp;"|"&amp;Calculate_cap_emi!$L$14:$L$21,
        Calculate_cap_emi!$AF$14:$AF$21, "Not found", 0),"HP",_xlfn.XLOOKUP(E38&amp;"|"&amp;B38,
        Calculate_cap_emi!$I$14:$I$21&amp;"|"&amp;Calculate_cap_emi!$L$14:$L$21,
        Calculate_cap_emi!$AD$14:$AD$21, "Not found", 0),"HPl",_xlfn.XLOOKUP(E38&amp;"|"&amp;B38,
        Calculate_cap_emi!$I$14:$I$21&amp;"|"&amp;Calculate_cap_emi!$L$14:$L$21,
        Calculate_cap_emi!$AG$14:$AG$21, "Not found", 0),"Missing")</f>
        <v>808.49693597579153</v>
      </c>
      <c r="M38" s="5"/>
      <c r="N38" s="5"/>
      <c r="O38" s="5"/>
      <c r="P38" s="5"/>
      <c r="Q38" s="5" cm="1">
        <f t="array" ref="Q38">_xlfn.SWITCH(F38,"R",_xlfn.XLOOKUP(E38&amp;"|"&amp;B38,
        Calculate_cap_emi!$I$14:$I$21&amp;"|"&amp;Calculate_cap_emi!$L$14:$L$21,
        Calculate_cap_emi!$AJ$14:$AJ$21, "Not found", 0),"Rb",_xlfn.XLOOKUP(E38&amp;"|"&amp;B38,
        Calculate_cap_emi!$I$14:$I$21&amp;"|"&amp;Calculate_cap_emi!$L$14:$L$21,
        Calculate_cap_emi!$AL$14:$AL$21, "Not found", 0),"Rl",_xlfn.XLOOKUP(E38&amp;"|"&amp;B38,
        Calculate_cap_emi!$I$14:$I$21&amp;"|"&amp;Calculate_cap_emi!$L$14:$L$21,
        Calculate_cap_emi!$AM$14:$AM$21, "Not found", 0),"HP",_xlfn.XLOOKUP(E38&amp;"|"&amp;B38,
        Calculate_cap_emi!$I$14:$I$21&amp;"|"&amp;Calculate_cap_emi!$L$14:$L$21,
        Calculate_cap_emi!$AK$14:$AK$21, "Not found", 0),"HPl",_xlfn.XLOOKUP(E38&amp;"|"&amp;B38,
        Calculate_cap_emi!$I$14:$I$21&amp;"|"&amp;Calculate_cap_emi!$L$14:$L$21,
        Calculate_cap_emi!$AN$14:$AN$21, "Not found", 0),"Missing")</f>
        <v>37.396488708847059</v>
      </c>
      <c r="R38" s="5" cm="1">
        <f t="array" ref="R38">_xlfn.SWITCH(F38,"R",_xlfn.XLOOKUP(E38&amp;"|"&amp;B38,
        Calculate_cap_emi!$I$14:$I$21&amp;"|"&amp;Calculate_cap_emi!$L$14:$L$21,
        Calculate_cap_emi!$AQ$14:$AQ$21, "Not found", 0),"Rb",_xlfn.XLOOKUP(E38&amp;"|"&amp;B38,
        Calculate_cap_emi!$I$14:$I$21&amp;"|"&amp;Calculate_cap_emi!$L$14:$L$21,
        Calculate_cap_emi!$AS$14:$AS$21, "Not found", 0),"Rl",_xlfn.XLOOKUP(E38&amp;"|"&amp;B38,
        Calculate_cap_emi!$I$14:$I$21&amp;"|"&amp;Calculate_cap_emi!$L$14:$L$21,
        Calculate_cap_emi!$AT$14:$AT$21, "Not found", 0),"HP",_xlfn.XLOOKUP(E38&amp;"|"&amp;B38,
        Calculate_cap_emi!$I$14:$I$21&amp;"|"&amp;Calculate_cap_emi!$L$14:$L$21,
        Calculate_cap_emi!$AR$14:$AR$21, "Not found", 0),"HPl",_xlfn.XLOOKUP(E38&amp;"|"&amp;B38,
        Calculate_cap_emi!$I$14:$I$21&amp;"|"&amp;Calculate_cap_emi!$L$14:$L$21,
        Calculate_cap_emi!$AU$14:$AU$21, "Not found", 0),"Missing")</f>
        <v>4.3406258301138019</v>
      </c>
      <c r="S38" s="5" cm="1">
        <f t="array" ref="S38">_xlfn.SWITCH(F38,"R",_xlfn.XLOOKUP(E38&amp;"|"&amp;B38,
        Calculate_cap_emi!$I$14:$I$21&amp;"|"&amp;Calculate_cap_emi!$L$14:$L$21,
        Calculate_cap_emi!$AX$14:$AX$21, "Not found", 0),"Rb",_xlfn.XLOOKUP(E38&amp;"|"&amp;B38,
        Calculate_cap_emi!$I$14:$I$21&amp;"|"&amp;Calculate_cap_emi!$L$14:$L$21,
        Calculate_cap_emi!$AZ$14:$AZ$21, "Not found", 0),"Rl",_xlfn.XLOOKUP(E38&amp;"|"&amp;B38,
        Calculate_cap_emi!$I$14:$I$21&amp;"|"&amp;Calculate_cap_emi!$L$14:$L$21,
        Calculate_cap_emi!$BA$14:$BA$21, "Not found", 0),"HP",_xlfn.XLOOKUP(E38&amp;"|"&amp;B38,
        Calculate_cap_emi!$I$14:$I$21&amp;"|"&amp;Calculate_cap_emi!$L$14:$L$21,
        Calculate_cap_emi!$AY$14:$AY$21, "Not found", 0),"HPl",_xlfn.XLOOKUP(E38&amp;"|"&amp;B38,
        Calculate_cap_emi!$I$14:$I$21&amp;"|"&amp;Calculate_cap_emi!$L$14:$L$21,
        Calculate_cap_emi!$BB$14:$BB$21, "Not found", 0),"Missing")</f>
        <v>44.331785755438688</v>
      </c>
      <c r="T38" s="5" cm="1">
        <f t="array" ref="T38">_xlfn.SWITCH(F38,"R",_xlfn.XLOOKUP(E38&amp;"|"&amp;B38,
        Calculate_cap_emi!$I$14:$I$21&amp;"|"&amp;Calculate_cap_emi!$L$14:$L$21,
        Calculate_cap_emi!$BE$14:$BE$21, "Not found", 0),"Rb",_xlfn.XLOOKUP(E38&amp;"|"&amp;B38,
        Calculate_cap_emi!$I$14:$I$21&amp;"|"&amp;Calculate_cap_emi!$L$14:$L$21,
        Calculate_cap_emi!$BG$14:$BG$21, "Not found", 0),"Rl",_xlfn.XLOOKUP(E38&amp;"|"&amp;B38,
        Calculate_cap_emi!$I$14:$I$21&amp;"|"&amp;Calculate_cap_emi!$L$14:$L$21,
        Calculate_cap_emi!$BH$14:$BH$21, "Not found", 0),"HP",_xlfn.XLOOKUP(E38&amp;"|"&amp;B38,
        Calculate_cap_emi!$I$14:$I$21&amp;"|"&amp;Calculate_cap_emi!$L$14:$L$21,
        Calculate_cap_emi!$BF$14:$BF$21, "Not found", 0),"HPl",_xlfn.XLOOKUP(E38&amp;"|"&amp;B38,
        Calculate_cap_emi!$I$14:$I$21&amp;"|"&amp;Calculate_cap_emi!$L$14:$L$21,
        Calculate_cap_emi!$BI$14:$BI$21, "Not found", 0),"Missing")</f>
        <v>0</v>
      </c>
      <c r="U38" s="5" cm="1">
        <f t="array" ref="U38">_xlfn.SWITCH(F38,"R",_xlfn.XLOOKUP(E38&amp;"|"&amp;B38,
        Calculate_cap_emi_sens!$I$14:$I$21&amp;"|"&amp;Calculate_cap_emi_sens!$L$14:$L$21,
        Calculate_cap_emi_sens!$AX$14:$AX$21, "Not found", 0),"Rb",_xlfn.XLOOKUP(E38&amp;"|"&amp;B38,
        Calculate_cap_emi_sens!$I$14:$I$21&amp;"|"&amp;Calculate_cap_emi_sens!$L$14:$L$21,
        Calculate_cap_emi_sens!$AZ$14:$AZ$21, "Not found", 0),"Rl",_xlfn.XLOOKUP(E38&amp;"|"&amp;B38,
        Calculate_cap_emi_sens!$I$14:$I$21&amp;"|"&amp;Calculate_cap_emi_sens!$L$14:$L$21,
        Calculate_cap_emi_sens!$BA$14:$BA$21, "Not found", 0),"HP",_xlfn.XLOOKUP(E38&amp;"|"&amp;B38,
        Calculate_cap_emi_sens!$I$14:$I$21&amp;"|"&amp;Calculate_cap_emi_sens!$L$14:$L$21,
        Calculate_cap_emi_sens!$AY$14:$AY$21, "Not found", 0),"HPl",_xlfn.XLOOKUP(E38&amp;"|"&amp;B38,
        Calculate_cap_emi_sens!$I$14:$I$21&amp;"|"&amp;Calculate_cap_emi_sens!$L$14:$L$21,
        Calculate_cap_emi_sens!$BB$14:$BB$21, "Not found", 0),"Missing")</f>
        <v>44.331785755438688</v>
      </c>
      <c r="V38" s="5" cm="1">
        <f t="array" ref="V38">_xlfn.SWITCH(F38,"R",_xlfn.XLOOKUP(E38&amp;"|"&amp;B38,
        Calculate_cap_emi_sens!$I$14:$I$21&amp;"|"&amp;Calculate_cap_emi_sens!$L$14:$L$21,
        Calculate_cap_emi_sens!$BE$14:$BE$21, "Not found", 0),"Rb",_xlfn.XLOOKUP(E38&amp;"|"&amp;B38,
        Calculate_cap_emi_sens!$I$14:$I$21&amp;"|"&amp;Calculate_cap_emi_sens!$L$14:$L$21,
        Calculate_cap_emi_sens!$BG$14:$BG$21, "Not found", 0),"Rl",_xlfn.XLOOKUP(E38&amp;"|"&amp;B38,
        Calculate_cap_emi_sens!$I$14:$I$21&amp;"|"&amp;Calculate_cap_emi_sens!$L$14:$L$21,
        Calculate_cap_emi_sens!$BH$14:$BH$21, "Not found", 0),"HP",_xlfn.XLOOKUP(E38&amp;"|"&amp;B38,
        Calculate_cap_emi_sens!$I$14:$I$21&amp;"|"&amp;Calculate_cap_emi_sens!$L$14:$L$21,
        Calculate_cap_emi_sens!$BF$14:$BF$21, "Not found", 0),"HPl",_xlfn.XLOOKUP(E38&amp;"|"&amp;B38,
        Calculate_cap_emi_sens!$I$14:$I$21&amp;"|"&amp;Calculate_cap_emi_sens!$L$14:$L$21,
        Calculate_cap_emi_sens!$BI$14:$BI$21, "Not found", 0),"Missing")</f>
        <v>0</v>
      </c>
      <c r="W38" s="5">
        <f>Results_proc_ener!L38</f>
        <v>21205.09630350121</v>
      </c>
      <c r="X38" s="5">
        <f>Results_proc_ener!M38</f>
        <v>0</v>
      </c>
      <c r="Y38" s="5">
        <f>Results_proc_ener!N38</f>
        <v>0</v>
      </c>
      <c r="Z38" s="5">
        <f>Results_proc_ener!O38</f>
        <v>0</v>
      </c>
      <c r="AA38" s="5">
        <f>Results_proc_ener!P38</f>
        <v>0</v>
      </c>
      <c r="AB38" s="5">
        <f>Results_proc_ener!Q38</f>
        <v>792.00691931718006</v>
      </c>
      <c r="AC38" s="5">
        <f>Results_proc_ener!R38</f>
        <v>15.387509135429376</v>
      </c>
      <c r="AD38" s="5">
        <f>Results_proc_ener!S38</f>
        <v>90.320834391341165</v>
      </c>
      <c r="AE38" s="5">
        <f>Results_proc_ener!T38</f>
        <v>0</v>
      </c>
    </row>
    <row r="39" spans="1:31" x14ac:dyDescent="0.25">
      <c r="A39" s="5" t="s">
        <v>8</v>
      </c>
      <c r="B39" s="5" t="str">
        <f t="shared" si="0"/>
        <v>Mod-Nom</v>
      </c>
      <c r="C39" s="5" t="str">
        <f t="shared" si="1"/>
        <v>Mod</v>
      </c>
      <c r="D39" s="5" t="str">
        <f t="shared" si="2"/>
        <v>Nom</v>
      </c>
      <c r="E39" s="5" t="s">
        <v>3</v>
      </c>
      <c r="F39" s="5" t="s">
        <v>14</v>
      </c>
      <c r="G39" s="5"/>
      <c r="H39" s="5"/>
      <c r="I39" s="5" cm="1">
        <f t="array" ref="I39">_xlfn.SWITCH(F39,"R",_xlfn.XLOOKUP(E39&amp;"|"&amp;B39,
        Calculate_cap_emi!$I$14:$I$21&amp;"|"&amp;Calculate_cap_emi!$L$14:$L$21,
        Calculate_cap_emi!$W$14:$W$21, "Not found", 0),"Rb",_xlfn.XLOOKUP(E39&amp;"|"&amp;B39,
        Calculate_cap_emi!$I$14:$I$21&amp;"|"&amp;Calculate_cap_emi!$L$14:$L$21,
        Calculate_cap_emi!$Y$14:$Y$21, "Not found", 0),"Rl",_xlfn.XLOOKUP(E39&amp;"|"&amp;B39,
        Calculate_cap_emi!$I$14:$I$21&amp;"|"&amp;Calculate_cap_emi!$L$14:$L$21,
        Calculate_cap_emi!$Z$14:$Z$21, "Not found", 0),0)</f>
        <v>8</v>
      </c>
      <c r="J39" s="5"/>
      <c r="K39" s="5"/>
      <c r="L39" s="5" cm="1">
        <f t="array" ref="L39">_xlfn.SWITCH(F39,"R",_xlfn.XLOOKUP(E39&amp;"|"&amp;B39,
        Calculate_cap_emi!$I$14:$I$21&amp;"|"&amp;Calculate_cap_emi!$L$14:$L$21,
        Calculate_cap_emi!$AC$14:$AC$21, "Not found", 0),"Rb",_xlfn.XLOOKUP(E39&amp;"|"&amp;B39,
        Calculate_cap_emi!$I$14:$I$21&amp;"|"&amp;Calculate_cap_emi!$L$14:$L$21,
        Calculate_cap_emi!$AE$14:$AE$21, "Not found", 0),"Rl",_xlfn.XLOOKUP(E39&amp;"|"&amp;B39,
        Calculate_cap_emi!$I$14:$I$21&amp;"|"&amp;Calculate_cap_emi!$L$14:$L$21,
        Calculate_cap_emi!$AF$14:$AF$21, "Not found", 0),"HP",_xlfn.XLOOKUP(E39&amp;"|"&amp;B39,
        Calculate_cap_emi!$I$14:$I$21&amp;"|"&amp;Calculate_cap_emi!$L$14:$L$21,
        Calculate_cap_emi!$AD$14:$AD$21, "Not found", 0),"HPl",_xlfn.XLOOKUP(E39&amp;"|"&amp;B39,
        Calculate_cap_emi!$I$14:$I$21&amp;"|"&amp;Calculate_cap_emi!$L$14:$L$21,
        Calculate_cap_emi!$AG$14:$AG$21, "Not found", 0),"Missing")</f>
        <v>808.49693597579153</v>
      </c>
      <c r="M39" s="5"/>
      <c r="N39" s="5"/>
      <c r="O39" s="5"/>
      <c r="P39" s="5"/>
      <c r="Q39" s="5" cm="1">
        <f t="array" ref="Q39">_xlfn.SWITCH(F39,"R",_xlfn.XLOOKUP(E39&amp;"|"&amp;B39,
        Calculate_cap_emi!$I$14:$I$21&amp;"|"&amp;Calculate_cap_emi!$L$14:$L$21,
        Calculate_cap_emi!$AJ$14:$AJ$21, "Not found", 0),"Rb",_xlfn.XLOOKUP(E39&amp;"|"&amp;B39,
        Calculate_cap_emi!$I$14:$I$21&amp;"|"&amp;Calculate_cap_emi!$L$14:$L$21,
        Calculate_cap_emi!$AL$14:$AL$21, "Not found", 0),"Rl",_xlfn.XLOOKUP(E39&amp;"|"&amp;B39,
        Calculate_cap_emi!$I$14:$I$21&amp;"|"&amp;Calculate_cap_emi!$L$14:$L$21,
        Calculate_cap_emi!$AM$14:$AM$21, "Not found", 0),"HP",_xlfn.XLOOKUP(E39&amp;"|"&amp;B39,
        Calculate_cap_emi!$I$14:$I$21&amp;"|"&amp;Calculate_cap_emi!$L$14:$L$21,
        Calculate_cap_emi!$AK$14:$AK$21, "Not found", 0),"HPl",_xlfn.XLOOKUP(E39&amp;"|"&amp;B39,
        Calculate_cap_emi!$I$14:$I$21&amp;"|"&amp;Calculate_cap_emi!$L$14:$L$21,
        Calculate_cap_emi!$AN$14:$AN$21, "Not found", 0),"Missing")</f>
        <v>37.396488708847059</v>
      </c>
      <c r="R39" s="5" cm="1">
        <f t="array" ref="R39">_xlfn.SWITCH(F39,"R",_xlfn.XLOOKUP(E39&amp;"|"&amp;B39,
        Calculate_cap_emi!$I$14:$I$21&amp;"|"&amp;Calculate_cap_emi!$L$14:$L$21,
        Calculate_cap_emi!$AQ$14:$AQ$21, "Not found", 0),"Rb",_xlfn.XLOOKUP(E39&amp;"|"&amp;B39,
        Calculate_cap_emi!$I$14:$I$21&amp;"|"&amp;Calculate_cap_emi!$L$14:$L$21,
        Calculate_cap_emi!$AS$14:$AS$21, "Not found", 0),"Rl",_xlfn.XLOOKUP(E39&amp;"|"&amp;B39,
        Calculate_cap_emi!$I$14:$I$21&amp;"|"&amp;Calculate_cap_emi!$L$14:$L$21,
        Calculate_cap_emi!$AT$14:$AT$21, "Not found", 0),"HP",_xlfn.XLOOKUP(E39&amp;"|"&amp;B39,
        Calculate_cap_emi!$I$14:$I$21&amp;"|"&amp;Calculate_cap_emi!$L$14:$L$21,
        Calculate_cap_emi!$AR$14:$AR$21, "Not found", 0),"HPl",_xlfn.XLOOKUP(E39&amp;"|"&amp;B39,
        Calculate_cap_emi!$I$14:$I$21&amp;"|"&amp;Calculate_cap_emi!$L$14:$L$21,
        Calculate_cap_emi!$AU$14:$AU$21, "Not found", 0),"Missing")</f>
        <v>4.3406258301138019</v>
      </c>
      <c r="S39" s="5" cm="1">
        <f t="array" ref="S39">_xlfn.SWITCH(F39,"R",_xlfn.XLOOKUP(E39&amp;"|"&amp;B39,
        Calculate_cap_emi!$I$14:$I$21&amp;"|"&amp;Calculate_cap_emi!$L$14:$L$21,
        Calculate_cap_emi!$AX$14:$AX$21, "Not found", 0),"Rb",_xlfn.XLOOKUP(E39&amp;"|"&amp;B39,
        Calculate_cap_emi!$I$14:$I$21&amp;"|"&amp;Calculate_cap_emi!$L$14:$L$21,
        Calculate_cap_emi!$AZ$14:$AZ$21, "Not found", 0),"Rl",_xlfn.XLOOKUP(E39&amp;"|"&amp;B39,
        Calculate_cap_emi!$I$14:$I$21&amp;"|"&amp;Calculate_cap_emi!$L$14:$L$21,
        Calculate_cap_emi!$BA$14:$BA$21, "Not found", 0),"HP",_xlfn.XLOOKUP(E39&amp;"|"&amp;B39,
        Calculate_cap_emi!$I$14:$I$21&amp;"|"&amp;Calculate_cap_emi!$L$14:$L$21,
        Calculate_cap_emi!$AY$14:$AY$21, "Not found", 0),"HPl",_xlfn.XLOOKUP(E39&amp;"|"&amp;B39,
        Calculate_cap_emi!$I$14:$I$21&amp;"|"&amp;Calculate_cap_emi!$L$14:$L$21,
        Calculate_cap_emi!$BB$14:$BB$21, "Not found", 0),"Missing")</f>
        <v>44.331785755438688</v>
      </c>
      <c r="T39" s="5" cm="1">
        <f t="array" ref="T39">_xlfn.SWITCH(F39,"R",_xlfn.XLOOKUP(E39&amp;"|"&amp;B39,
        Calculate_cap_emi!$I$14:$I$21&amp;"|"&amp;Calculate_cap_emi!$L$14:$L$21,
        Calculate_cap_emi!$BE$14:$BE$21, "Not found", 0),"Rb",_xlfn.XLOOKUP(E39&amp;"|"&amp;B39,
        Calculate_cap_emi!$I$14:$I$21&amp;"|"&amp;Calculate_cap_emi!$L$14:$L$21,
        Calculate_cap_emi!$BG$14:$BG$21, "Not found", 0),"Rl",_xlfn.XLOOKUP(E39&amp;"|"&amp;B39,
        Calculate_cap_emi!$I$14:$I$21&amp;"|"&amp;Calculate_cap_emi!$L$14:$L$21,
        Calculate_cap_emi!$BH$14:$BH$21, "Not found", 0),"HP",_xlfn.XLOOKUP(E39&amp;"|"&amp;B39,
        Calculate_cap_emi!$I$14:$I$21&amp;"|"&amp;Calculate_cap_emi!$L$14:$L$21,
        Calculate_cap_emi!$BF$14:$BF$21, "Not found", 0),"HPl",_xlfn.XLOOKUP(E39&amp;"|"&amp;B39,
        Calculate_cap_emi!$I$14:$I$21&amp;"|"&amp;Calculate_cap_emi!$L$14:$L$21,
        Calculate_cap_emi!$BI$14:$BI$21, "Not found", 0),"Missing")</f>
        <v>0</v>
      </c>
      <c r="U39" s="5" cm="1">
        <f t="array" ref="U39">_xlfn.SWITCH(F39,"R",_xlfn.XLOOKUP(E39&amp;"|"&amp;B39,
        Calculate_cap_emi_sens!$I$14:$I$21&amp;"|"&amp;Calculate_cap_emi_sens!$L$14:$L$21,
        Calculate_cap_emi_sens!$AX$14:$AX$21, "Not found", 0),"Rb",_xlfn.XLOOKUP(E39&amp;"|"&amp;B39,
        Calculate_cap_emi_sens!$I$14:$I$21&amp;"|"&amp;Calculate_cap_emi_sens!$L$14:$L$21,
        Calculate_cap_emi_sens!$AZ$14:$AZ$21, "Not found", 0),"Rl",_xlfn.XLOOKUP(E39&amp;"|"&amp;B39,
        Calculate_cap_emi_sens!$I$14:$I$21&amp;"|"&amp;Calculate_cap_emi_sens!$L$14:$L$21,
        Calculate_cap_emi_sens!$BA$14:$BA$21, "Not found", 0),"HP",_xlfn.XLOOKUP(E39&amp;"|"&amp;B39,
        Calculate_cap_emi_sens!$I$14:$I$21&amp;"|"&amp;Calculate_cap_emi_sens!$L$14:$L$21,
        Calculate_cap_emi_sens!$AY$14:$AY$21, "Not found", 0),"HPl",_xlfn.XLOOKUP(E39&amp;"|"&amp;B39,
        Calculate_cap_emi_sens!$I$14:$I$21&amp;"|"&amp;Calculate_cap_emi_sens!$L$14:$L$21,
        Calculate_cap_emi_sens!$BB$14:$BB$21, "Not found", 0),"Missing")</f>
        <v>44.331785755438688</v>
      </c>
      <c r="V39" s="5" cm="1">
        <f t="array" ref="V39">_xlfn.SWITCH(F39,"R",_xlfn.XLOOKUP(E39&amp;"|"&amp;B39,
        Calculate_cap_emi_sens!$I$14:$I$21&amp;"|"&amp;Calculate_cap_emi_sens!$L$14:$L$21,
        Calculate_cap_emi_sens!$BE$14:$BE$21, "Not found", 0),"Rb",_xlfn.XLOOKUP(E39&amp;"|"&amp;B39,
        Calculate_cap_emi_sens!$I$14:$I$21&amp;"|"&amp;Calculate_cap_emi_sens!$L$14:$L$21,
        Calculate_cap_emi_sens!$BG$14:$BG$21, "Not found", 0),"Rl",_xlfn.XLOOKUP(E39&amp;"|"&amp;B39,
        Calculate_cap_emi_sens!$I$14:$I$21&amp;"|"&amp;Calculate_cap_emi_sens!$L$14:$L$21,
        Calculate_cap_emi_sens!$BH$14:$BH$21, "Not found", 0),"HP",_xlfn.XLOOKUP(E39&amp;"|"&amp;B39,
        Calculate_cap_emi_sens!$I$14:$I$21&amp;"|"&amp;Calculate_cap_emi_sens!$L$14:$L$21,
        Calculate_cap_emi_sens!$BF$14:$BF$21, "Not found", 0),"HPl",_xlfn.XLOOKUP(E39&amp;"|"&amp;B39,
        Calculate_cap_emi_sens!$I$14:$I$21&amp;"|"&amp;Calculate_cap_emi_sens!$L$14:$L$21,
        Calculate_cap_emi_sens!$BI$14:$BI$21, "Not found", 0),"Missing")</f>
        <v>0</v>
      </c>
      <c r="W39" s="5">
        <f>Results_proc_ener!L39</f>
        <v>21205.09630350121</v>
      </c>
      <c r="X39" s="5">
        <f>Results_proc_ener!M39</f>
        <v>0</v>
      </c>
      <c r="Y39" s="5">
        <f>Results_proc_ener!N39</f>
        <v>0</v>
      </c>
      <c r="Z39" s="5">
        <f>Results_proc_ener!O39</f>
        <v>0</v>
      </c>
      <c r="AA39" s="5">
        <f>Results_proc_ener!P39</f>
        <v>0</v>
      </c>
      <c r="AB39" s="5">
        <f>Results_proc_ener!Q39</f>
        <v>792.00691931718006</v>
      </c>
      <c r="AC39" s="5">
        <f>Results_proc_ener!R39</f>
        <v>15.387509135429376</v>
      </c>
      <c r="AD39" s="5">
        <f>Results_proc_ener!S39</f>
        <v>90.320834391341165</v>
      </c>
      <c r="AE39" s="5">
        <f>Results_proc_ener!T39</f>
        <v>0</v>
      </c>
    </row>
    <row r="40" spans="1:31" x14ac:dyDescent="0.25">
      <c r="A40" s="5" t="s">
        <v>9</v>
      </c>
      <c r="B40" s="5" t="str">
        <f t="shared" si="0"/>
        <v>Mod-H1</v>
      </c>
      <c r="C40" s="5" t="str">
        <f t="shared" si="1"/>
        <v>Mod</v>
      </c>
      <c r="D40" s="5" t="str">
        <f t="shared" si="2"/>
        <v>H1</v>
      </c>
      <c r="E40" s="5" t="s">
        <v>3</v>
      </c>
      <c r="F40" s="5" t="s">
        <v>14</v>
      </c>
      <c r="G40" s="5"/>
      <c r="H40" s="5"/>
      <c r="I40" s="5" cm="1">
        <f t="array" ref="I40">_xlfn.SWITCH(F40,"R",_xlfn.XLOOKUP(E40&amp;"|"&amp;B40,
        Calculate_cap_emi!$I$14:$I$21&amp;"|"&amp;Calculate_cap_emi!$L$14:$L$21,
        Calculate_cap_emi!$W$14:$W$21, "Not found", 0),"Rb",_xlfn.XLOOKUP(E40&amp;"|"&amp;B40,
        Calculate_cap_emi!$I$14:$I$21&amp;"|"&amp;Calculate_cap_emi!$L$14:$L$21,
        Calculate_cap_emi!$Y$14:$Y$21, "Not found", 0),"Rl",_xlfn.XLOOKUP(E40&amp;"|"&amp;B40,
        Calculate_cap_emi!$I$14:$I$21&amp;"|"&amp;Calculate_cap_emi!$L$14:$L$21,
        Calculate_cap_emi!$Z$14:$Z$21, "Not found", 0),0)</f>
        <v>4.5</v>
      </c>
      <c r="J40" s="5"/>
      <c r="K40" s="5"/>
      <c r="L40" s="5" cm="1">
        <f t="array" ref="L40">_xlfn.SWITCH(F40,"R",_xlfn.XLOOKUP(E40&amp;"|"&amp;B40,
        Calculate_cap_emi!$I$14:$I$21&amp;"|"&amp;Calculate_cap_emi!$L$14:$L$21,
        Calculate_cap_emi!$AC$14:$AC$21, "Not found", 0),"Rb",_xlfn.XLOOKUP(E40&amp;"|"&amp;B40,
        Calculate_cap_emi!$I$14:$I$21&amp;"|"&amp;Calculate_cap_emi!$L$14:$L$21,
        Calculate_cap_emi!$AE$14:$AE$21, "Not found", 0),"Rl",_xlfn.XLOOKUP(E40&amp;"|"&amp;B40,
        Calculate_cap_emi!$I$14:$I$21&amp;"|"&amp;Calculate_cap_emi!$L$14:$L$21,
        Calculate_cap_emi!$AF$14:$AF$21, "Not found", 0),"HP",_xlfn.XLOOKUP(E40&amp;"|"&amp;B40,
        Calculate_cap_emi!$I$14:$I$21&amp;"|"&amp;Calculate_cap_emi!$L$14:$L$21,
        Calculate_cap_emi!$AD$14:$AD$21, "Not found", 0),"HPl",_xlfn.XLOOKUP(E40&amp;"|"&amp;B40,
        Calculate_cap_emi!$I$14:$I$21&amp;"|"&amp;Calculate_cap_emi!$L$14:$L$21,
        Calculate_cap_emi!$AG$14:$AG$21, "Not found", 0),"Missing")</f>
        <v>427.11866207729321</v>
      </c>
      <c r="M40" s="5"/>
      <c r="N40" s="5"/>
      <c r="O40" s="5"/>
      <c r="P40" s="5"/>
      <c r="Q40" s="5" cm="1">
        <f t="array" ref="Q40">_xlfn.SWITCH(F40,"R",_xlfn.XLOOKUP(E40&amp;"|"&amp;B40,
        Calculate_cap_emi!$I$14:$I$21&amp;"|"&amp;Calculate_cap_emi!$L$14:$L$21,
        Calculate_cap_emi!$AJ$14:$AJ$21, "Not found", 0),"Rb",_xlfn.XLOOKUP(E40&amp;"|"&amp;B40,
        Calculate_cap_emi!$I$14:$I$21&amp;"|"&amp;Calculate_cap_emi!$L$14:$L$21,
        Calculate_cap_emi!$AL$14:$AL$21, "Not found", 0),"Rl",_xlfn.XLOOKUP(E40&amp;"|"&amp;B40,
        Calculate_cap_emi!$I$14:$I$21&amp;"|"&amp;Calculate_cap_emi!$L$14:$L$21,
        Calculate_cap_emi!$AM$14:$AM$21, "Not found", 0),"HP",_xlfn.XLOOKUP(E40&amp;"|"&amp;B40,
        Calculate_cap_emi!$I$14:$I$21&amp;"|"&amp;Calculate_cap_emi!$L$14:$L$21,
        Calculate_cap_emi!$AK$14:$AK$21, "Not found", 0),"HPl",_xlfn.XLOOKUP(E40&amp;"|"&amp;B40,
        Calculate_cap_emi!$I$14:$I$21&amp;"|"&amp;Calculate_cap_emi!$L$14:$L$21,
        Calculate_cap_emi!$AN$14:$AN$21, "Not found", 0),"Missing")</f>
        <v>20.20015043587059</v>
      </c>
      <c r="R40" s="5" cm="1">
        <f t="array" ref="R40">_xlfn.SWITCH(F40,"R",_xlfn.XLOOKUP(E40&amp;"|"&amp;B40,
        Calculate_cap_emi!$I$14:$I$21&amp;"|"&amp;Calculate_cap_emi!$L$14:$L$21,
        Calculate_cap_emi!$AQ$14:$AQ$21, "Not found", 0),"Rb",_xlfn.XLOOKUP(E40&amp;"|"&amp;B40,
        Calculate_cap_emi!$I$14:$I$21&amp;"|"&amp;Calculate_cap_emi!$L$14:$L$21,
        Calculate_cap_emi!$AS$14:$AS$21, "Not found", 0),"Rl",_xlfn.XLOOKUP(E40&amp;"|"&amp;B40,
        Calculate_cap_emi!$I$14:$I$21&amp;"|"&amp;Calculate_cap_emi!$L$14:$L$21,
        Calculate_cap_emi!$AT$14:$AT$21, "Not found", 0),"HP",_xlfn.XLOOKUP(E40&amp;"|"&amp;B40,
        Calculate_cap_emi!$I$14:$I$21&amp;"|"&amp;Calculate_cap_emi!$L$14:$L$21,
        Calculate_cap_emi!$AR$14:$AR$21, "Not found", 0),"HPl",_xlfn.XLOOKUP(E40&amp;"|"&amp;B40,
        Calculate_cap_emi!$I$14:$I$21&amp;"|"&amp;Calculate_cap_emi!$L$14:$L$21,
        Calculate_cap_emi!$AU$14:$AU$21, "Not found", 0),"Missing")</f>
        <v>2.2297856066399797</v>
      </c>
      <c r="S40" s="5" cm="1">
        <f t="array" ref="S40">_xlfn.SWITCH(F40,"R",_xlfn.XLOOKUP(E40&amp;"|"&amp;B40,
        Calculate_cap_emi!$I$14:$I$21&amp;"|"&amp;Calculate_cap_emi!$L$14:$L$21,
        Calculate_cap_emi!$AX$14:$AX$21, "Not found", 0),"Rb",_xlfn.XLOOKUP(E40&amp;"|"&amp;B40,
        Calculate_cap_emi!$I$14:$I$21&amp;"|"&amp;Calculate_cap_emi!$L$14:$L$21,
        Calculate_cap_emi!$AZ$14:$AZ$21, "Not found", 0),"Rl",_xlfn.XLOOKUP(E40&amp;"|"&amp;B40,
        Calculate_cap_emi!$I$14:$I$21&amp;"|"&amp;Calculate_cap_emi!$L$14:$L$21,
        Calculate_cap_emi!$BA$14:$BA$21, "Not found", 0),"HP",_xlfn.XLOOKUP(E40&amp;"|"&amp;B40,
        Calculate_cap_emi!$I$14:$I$21&amp;"|"&amp;Calculate_cap_emi!$L$14:$L$21,
        Calculate_cap_emi!$AY$14:$AY$21, "Not found", 0),"HPl",_xlfn.XLOOKUP(E40&amp;"|"&amp;B40,
        Calculate_cap_emi!$I$14:$I$21&amp;"|"&amp;Calculate_cap_emi!$L$14:$L$21,
        Calculate_cap_emi!$BB$14:$BB$21, "Not found", 0),"Missing")</f>
        <v>23.931101355524099</v>
      </c>
      <c r="T40" s="5" cm="1">
        <f t="array" ref="T40">_xlfn.SWITCH(F40,"R",_xlfn.XLOOKUP(E40&amp;"|"&amp;B40,
        Calculate_cap_emi!$I$14:$I$21&amp;"|"&amp;Calculate_cap_emi!$L$14:$L$21,
        Calculate_cap_emi!$BE$14:$BE$21, "Not found", 0),"Rb",_xlfn.XLOOKUP(E40&amp;"|"&amp;B40,
        Calculate_cap_emi!$I$14:$I$21&amp;"|"&amp;Calculate_cap_emi!$L$14:$L$21,
        Calculate_cap_emi!$BG$14:$BG$21, "Not found", 0),"Rl",_xlfn.XLOOKUP(E40&amp;"|"&amp;B40,
        Calculate_cap_emi!$I$14:$I$21&amp;"|"&amp;Calculate_cap_emi!$L$14:$L$21,
        Calculate_cap_emi!$BH$14:$BH$21, "Not found", 0),"HP",_xlfn.XLOOKUP(E40&amp;"|"&amp;B40,
        Calculate_cap_emi!$I$14:$I$21&amp;"|"&amp;Calculate_cap_emi!$L$14:$L$21,
        Calculate_cap_emi!$BF$14:$BF$21, "Not found", 0),"HPl",_xlfn.XLOOKUP(E40&amp;"|"&amp;B40,
        Calculate_cap_emi!$I$14:$I$21&amp;"|"&amp;Calculate_cap_emi!$L$14:$L$21,
        Calculate_cap_emi!$BI$14:$BI$21, "Not found", 0),"Missing")</f>
        <v>0</v>
      </c>
      <c r="U40" s="5" cm="1">
        <f t="array" ref="U40">_xlfn.SWITCH(F40,"R",_xlfn.XLOOKUP(E40&amp;"|"&amp;B40,
        Calculate_cap_emi_sens!$I$14:$I$21&amp;"|"&amp;Calculate_cap_emi_sens!$L$14:$L$21,
        Calculate_cap_emi_sens!$AX$14:$AX$21, "Not found", 0),"Rb",_xlfn.XLOOKUP(E40&amp;"|"&amp;B40,
        Calculate_cap_emi_sens!$I$14:$I$21&amp;"|"&amp;Calculate_cap_emi_sens!$L$14:$L$21,
        Calculate_cap_emi_sens!$AZ$14:$AZ$21, "Not found", 0),"Rl",_xlfn.XLOOKUP(E40&amp;"|"&amp;B40,
        Calculate_cap_emi_sens!$I$14:$I$21&amp;"|"&amp;Calculate_cap_emi_sens!$L$14:$L$21,
        Calculate_cap_emi_sens!$BA$14:$BA$21, "Not found", 0),"HP",_xlfn.XLOOKUP(E40&amp;"|"&amp;B40,
        Calculate_cap_emi_sens!$I$14:$I$21&amp;"|"&amp;Calculate_cap_emi_sens!$L$14:$L$21,
        Calculate_cap_emi_sens!$AY$14:$AY$21, "Not found", 0),"HPl",_xlfn.XLOOKUP(E40&amp;"|"&amp;B40,
        Calculate_cap_emi_sens!$I$14:$I$21&amp;"|"&amp;Calculate_cap_emi_sens!$L$14:$L$21,
        Calculate_cap_emi_sens!$BB$14:$BB$21, "Not found", 0),"Missing")</f>
        <v>23.931101355524099</v>
      </c>
      <c r="V40" s="5" cm="1">
        <f t="array" ref="V40">_xlfn.SWITCH(F40,"R",_xlfn.XLOOKUP(E40&amp;"|"&amp;B40,
        Calculate_cap_emi_sens!$I$14:$I$21&amp;"|"&amp;Calculate_cap_emi_sens!$L$14:$L$21,
        Calculate_cap_emi_sens!$BE$14:$BE$21, "Not found", 0),"Rb",_xlfn.XLOOKUP(E40&amp;"|"&amp;B40,
        Calculate_cap_emi_sens!$I$14:$I$21&amp;"|"&amp;Calculate_cap_emi_sens!$L$14:$L$21,
        Calculate_cap_emi_sens!$BG$14:$BG$21, "Not found", 0),"Rl",_xlfn.XLOOKUP(E40&amp;"|"&amp;B40,
        Calculate_cap_emi_sens!$I$14:$I$21&amp;"|"&amp;Calculate_cap_emi_sens!$L$14:$L$21,
        Calculate_cap_emi_sens!$BH$14:$BH$21, "Not found", 0),"HP",_xlfn.XLOOKUP(E40&amp;"|"&amp;B40,
        Calculate_cap_emi_sens!$I$14:$I$21&amp;"|"&amp;Calculate_cap_emi_sens!$L$14:$L$21,
        Calculate_cap_emi_sens!$BF$14:$BF$21, "Not found", 0),"HPl",_xlfn.XLOOKUP(E40&amp;"|"&amp;B40,
        Calculate_cap_emi_sens!$I$14:$I$21&amp;"|"&amp;Calculate_cap_emi_sens!$L$14:$L$21,
        Calculate_cap_emi_sens!$BI$14:$BI$21, "Not found", 0),"Missing")</f>
        <v>0</v>
      </c>
      <c r="W40" s="5">
        <f>Results_proc_ener!L40</f>
        <v>11217.241450956994</v>
      </c>
      <c r="X40" s="5">
        <f>Results_proc_ener!M40</f>
        <v>0</v>
      </c>
      <c r="Y40" s="5">
        <f>Results_proc_ener!N40</f>
        <v>0</v>
      </c>
      <c r="Z40" s="5">
        <f>Results_proc_ener!O40</f>
        <v>0</v>
      </c>
      <c r="AA40" s="5">
        <f>Results_proc_ener!P40</f>
        <v>0</v>
      </c>
      <c r="AB40" s="5">
        <f>Results_proc_ener!Q40</f>
        <v>427.81179380278502</v>
      </c>
      <c r="AC40" s="5">
        <f>Results_proc_ener!R40</f>
        <v>8.1088940716713189</v>
      </c>
      <c r="AD40" s="5">
        <f>Results_proc_ener!S40</f>
        <v>47.044595756571994</v>
      </c>
      <c r="AE40" s="5">
        <f>Results_proc_ener!T40</f>
        <v>0</v>
      </c>
    </row>
    <row r="41" spans="1:31" x14ac:dyDescent="0.25">
      <c r="A41" s="5" t="s">
        <v>10</v>
      </c>
      <c r="B41" s="5" t="str">
        <f t="shared" si="0"/>
        <v>Mod-H1</v>
      </c>
      <c r="C41" s="5" t="str">
        <f t="shared" si="1"/>
        <v>Mod</v>
      </c>
      <c r="D41" s="5" t="str">
        <f t="shared" si="2"/>
        <v>H1</v>
      </c>
      <c r="E41" s="5" t="s">
        <v>3</v>
      </c>
      <c r="F41" s="5" t="s">
        <v>14</v>
      </c>
      <c r="G41" s="5"/>
      <c r="H41" s="5"/>
      <c r="I41" s="5" cm="1">
        <f t="array" ref="I41">_xlfn.SWITCH(F41,"R",_xlfn.XLOOKUP(E41&amp;"|"&amp;B41,
        Calculate_cap_emi!$I$14:$I$21&amp;"|"&amp;Calculate_cap_emi!$L$14:$L$21,
        Calculate_cap_emi!$W$14:$W$21, "Not found", 0),"Rb",_xlfn.XLOOKUP(E41&amp;"|"&amp;B41,
        Calculate_cap_emi!$I$14:$I$21&amp;"|"&amp;Calculate_cap_emi!$L$14:$L$21,
        Calculate_cap_emi!$Y$14:$Y$21, "Not found", 0),"Rl",_xlfn.XLOOKUP(E41&amp;"|"&amp;B41,
        Calculate_cap_emi!$I$14:$I$21&amp;"|"&amp;Calculate_cap_emi!$L$14:$L$21,
        Calculate_cap_emi!$Z$14:$Z$21, "Not found", 0),0)</f>
        <v>4.5</v>
      </c>
      <c r="J41" s="5"/>
      <c r="K41" s="5"/>
      <c r="L41" s="5" cm="1">
        <f t="array" ref="L41">_xlfn.SWITCH(F41,"R",_xlfn.XLOOKUP(E41&amp;"|"&amp;B41,
        Calculate_cap_emi!$I$14:$I$21&amp;"|"&amp;Calculate_cap_emi!$L$14:$L$21,
        Calculate_cap_emi!$AC$14:$AC$21, "Not found", 0),"Rb",_xlfn.XLOOKUP(E41&amp;"|"&amp;B41,
        Calculate_cap_emi!$I$14:$I$21&amp;"|"&amp;Calculate_cap_emi!$L$14:$L$21,
        Calculate_cap_emi!$AE$14:$AE$21, "Not found", 0),"Rl",_xlfn.XLOOKUP(E41&amp;"|"&amp;B41,
        Calculate_cap_emi!$I$14:$I$21&amp;"|"&amp;Calculate_cap_emi!$L$14:$L$21,
        Calculate_cap_emi!$AF$14:$AF$21, "Not found", 0),"HP",_xlfn.XLOOKUP(E41&amp;"|"&amp;B41,
        Calculate_cap_emi!$I$14:$I$21&amp;"|"&amp;Calculate_cap_emi!$L$14:$L$21,
        Calculate_cap_emi!$AD$14:$AD$21, "Not found", 0),"HPl",_xlfn.XLOOKUP(E41&amp;"|"&amp;B41,
        Calculate_cap_emi!$I$14:$I$21&amp;"|"&amp;Calculate_cap_emi!$L$14:$L$21,
        Calculate_cap_emi!$AG$14:$AG$21, "Not found", 0),"Missing")</f>
        <v>427.11866207729321</v>
      </c>
      <c r="M41" s="5"/>
      <c r="N41" s="5"/>
      <c r="O41" s="5"/>
      <c r="P41" s="5"/>
      <c r="Q41" s="5" cm="1">
        <f t="array" ref="Q41">_xlfn.SWITCH(F41,"R",_xlfn.XLOOKUP(E41&amp;"|"&amp;B41,
        Calculate_cap_emi!$I$14:$I$21&amp;"|"&amp;Calculate_cap_emi!$L$14:$L$21,
        Calculate_cap_emi!$AJ$14:$AJ$21, "Not found", 0),"Rb",_xlfn.XLOOKUP(E41&amp;"|"&amp;B41,
        Calculate_cap_emi!$I$14:$I$21&amp;"|"&amp;Calculate_cap_emi!$L$14:$L$21,
        Calculate_cap_emi!$AL$14:$AL$21, "Not found", 0),"Rl",_xlfn.XLOOKUP(E41&amp;"|"&amp;B41,
        Calculate_cap_emi!$I$14:$I$21&amp;"|"&amp;Calculate_cap_emi!$L$14:$L$21,
        Calculate_cap_emi!$AM$14:$AM$21, "Not found", 0),"HP",_xlfn.XLOOKUP(E41&amp;"|"&amp;B41,
        Calculate_cap_emi!$I$14:$I$21&amp;"|"&amp;Calculate_cap_emi!$L$14:$L$21,
        Calculate_cap_emi!$AK$14:$AK$21, "Not found", 0),"HPl",_xlfn.XLOOKUP(E41&amp;"|"&amp;B41,
        Calculate_cap_emi!$I$14:$I$21&amp;"|"&amp;Calculate_cap_emi!$L$14:$L$21,
        Calculate_cap_emi!$AN$14:$AN$21, "Not found", 0),"Missing")</f>
        <v>20.20015043587059</v>
      </c>
      <c r="R41" s="5" cm="1">
        <f t="array" ref="R41">_xlfn.SWITCH(F41,"R",_xlfn.XLOOKUP(E41&amp;"|"&amp;B41,
        Calculate_cap_emi!$I$14:$I$21&amp;"|"&amp;Calculate_cap_emi!$L$14:$L$21,
        Calculate_cap_emi!$AQ$14:$AQ$21, "Not found", 0),"Rb",_xlfn.XLOOKUP(E41&amp;"|"&amp;B41,
        Calculate_cap_emi!$I$14:$I$21&amp;"|"&amp;Calculate_cap_emi!$L$14:$L$21,
        Calculate_cap_emi!$AS$14:$AS$21, "Not found", 0),"Rl",_xlfn.XLOOKUP(E41&amp;"|"&amp;B41,
        Calculate_cap_emi!$I$14:$I$21&amp;"|"&amp;Calculate_cap_emi!$L$14:$L$21,
        Calculate_cap_emi!$AT$14:$AT$21, "Not found", 0),"HP",_xlfn.XLOOKUP(E41&amp;"|"&amp;B41,
        Calculate_cap_emi!$I$14:$I$21&amp;"|"&amp;Calculate_cap_emi!$L$14:$L$21,
        Calculate_cap_emi!$AR$14:$AR$21, "Not found", 0),"HPl",_xlfn.XLOOKUP(E41&amp;"|"&amp;B41,
        Calculate_cap_emi!$I$14:$I$21&amp;"|"&amp;Calculate_cap_emi!$L$14:$L$21,
        Calculate_cap_emi!$AU$14:$AU$21, "Not found", 0),"Missing")</f>
        <v>2.2297856066399797</v>
      </c>
      <c r="S41" s="5" cm="1">
        <f t="array" ref="S41">_xlfn.SWITCH(F41,"R",_xlfn.XLOOKUP(E41&amp;"|"&amp;B41,
        Calculate_cap_emi!$I$14:$I$21&amp;"|"&amp;Calculate_cap_emi!$L$14:$L$21,
        Calculate_cap_emi!$AX$14:$AX$21, "Not found", 0),"Rb",_xlfn.XLOOKUP(E41&amp;"|"&amp;B41,
        Calculate_cap_emi!$I$14:$I$21&amp;"|"&amp;Calculate_cap_emi!$L$14:$L$21,
        Calculate_cap_emi!$AZ$14:$AZ$21, "Not found", 0),"Rl",_xlfn.XLOOKUP(E41&amp;"|"&amp;B41,
        Calculate_cap_emi!$I$14:$I$21&amp;"|"&amp;Calculate_cap_emi!$L$14:$L$21,
        Calculate_cap_emi!$BA$14:$BA$21, "Not found", 0),"HP",_xlfn.XLOOKUP(E41&amp;"|"&amp;B41,
        Calculate_cap_emi!$I$14:$I$21&amp;"|"&amp;Calculate_cap_emi!$L$14:$L$21,
        Calculate_cap_emi!$AY$14:$AY$21, "Not found", 0),"HPl",_xlfn.XLOOKUP(E41&amp;"|"&amp;B41,
        Calculate_cap_emi!$I$14:$I$21&amp;"|"&amp;Calculate_cap_emi!$L$14:$L$21,
        Calculate_cap_emi!$BB$14:$BB$21, "Not found", 0),"Missing")</f>
        <v>23.931101355524099</v>
      </c>
      <c r="T41" s="5" cm="1">
        <f t="array" ref="T41">_xlfn.SWITCH(F41,"R",_xlfn.XLOOKUP(E41&amp;"|"&amp;B41,
        Calculate_cap_emi!$I$14:$I$21&amp;"|"&amp;Calculate_cap_emi!$L$14:$L$21,
        Calculate_cap_emi!$BE$14:$BE$21, "Not found", 0),"Rb",_xlfn.XLOOKUP(E41&amp;"|"&amp;B41,
        Calculate_cap_emi!$I$14:$I$21&amp;"|"&amp;Calculate_cap_emi!$L$14:$L$21,
        Calculate_cap_emi!$BG$14:$BG$21, "Not found", 0),"Rl",_xlfn.XLOOKUP(E41&amp;"|"&amp;B41,
        Calculate_cap_emi!$I$14:$I$21&amp;"|"&amp;Calculate_cap_emi!$L$14:$L$21,
        Calculate_cap_emi!$BH$14:$BH$21, "Not found", 0),"HP",_xlfn.XLOOKUP(E41&amp;"|"&amp;B41,
        Calculate_cap_emi!$I$14:$I$21&amp;"|"&amp;Calculate_cap_emi!$L$14:$L$21,
        Calculate_cap_emi!$BF$14:$BF$21, "Not found", 0),"HPl",_xlfn.XLOOKUP(E41&amp;"|"&amp;B41,
        Calculate_cap_emi!$I$14:$I$21&amp;"|"&amp;Calculate_cap_emi!$L$14:$L$21,
        Calculate_cap_emi!$BI$14:$BI$21, "Not found", 0),"Missing")</f>
        <v>0</v>
      </c>
      <c r="U41" s="5" cm="1">
        <f t="array" ref="U41">_xlfn.SWITCH(F41,"R",_xlfn.XLOOKUP(E41&amp;"|"&amp;B41,
        Calculate_cap_emi_sens!$I$14:$I$21&amp;"|"&amp;Calculate_cap_emi_sens!$L$14:$L$21,
        Calculate_cap_emi_sens!$AX$14:$AX$21, "Not found", 0),"Rb",_xlfn.XLOOKUP(E41&amp;"|"&amp;B41,
        Calculate_cap_emi_sens!$I$14:$I$21&amp;"|"&amp;Calculate_cap_emi_sens!$L$14:$L$21,
        Calculate_cap_emi_sens!$AZ$14:$AZ$21, "Not found", 0),"Rl",_xlfn.XLOOKUP(E41&amp;"|"&amp;B41,
        Calculate_cap_emi_sens!$I$14:$I$21&amp;"|"&amp;Calculate_cap_emi_sens!$L$14:$L$21,
        Calculate_cap_emi_sens!$BA$14:$BA$21, "Not found", 0),"HP",_xlfn.XLOOKUP(E41&amp;"|"&amp;B41,
        Calculate_cap_emi_sens!$I$14:$I$21&amp;"|"&amp;Calculate_cap_emi_sens!$L$14:$L$21,
        Calculate_cap_emi_sens!$AY$14:$AY$21, "Not found", 0),"HPl",_xlfn.XLOOKUP(E41&amp;"|"&amp;B41,
        Calculate_cap_emi_sens!$I$14:$I$21&amp;"|"&amp;Calculate_cap_emi_sens!$L$14:$L$21,
        Calculate_cap_emi_sens!$BB$14:$BB$21, "Not found", 0),"Missing")</f>
        <v>23.931101355524099</v>
      </c>
      <c r="V41" s="5" cm="1">
        <f t="array" ref="V41">_xlfn.SWITCH(F41,"R",_xlfn.XLOOKUP(E41&amp;"|"&amp;B41,
        Calculate_cap_emi_sens!$I$14:$I$21&amp;"|"&amp;Calculate_cap_emi_sens!$L$14:$L$21,
        Calculate_cap_emi_sens!$BE$14:$BE$21, "Not found", 0),"Rb",_xlfn.XLOOKUP(E41&amp;"|"&amp;B41,
        Calculate_cap_emi_sens!$I$14:$I$21&amp;"|"&amp;Calculate_cap_emi_sens!$L$14:$L$21,
        Calculate_cap_emi_sens!$BG$14:$BG$21, "Not found", 0),"Rl",_xlfn.XLOOKUP(E41&amp;"|"&amp;B41,
        Calculate_cap_emi_sens!$I$14:$I$21&amp;"|"&amp;Calculate_cap_emi_sens!$L$14:$L$21,
        Calculate_cap_emi_sens!$BH$14:$BH$21, "Not found", 0),"HP",_xlfn.XLOOKUP(E41&amp;"|"&amp;B41,
        Calculate_cap_emi_sens!$I$14:$I$21&amp;"|"&amp;Calculate_cap_emi_sens!$L$14:$L$21,
        Calculate_cap_emi_sens!$BF$14:$BF$21, "Not found", 0),"HPl",_xlfn.XLOOKUP(E41&amp;"|"&amp;B41,
        Calculate_cap_emi_sens!$I$14:$I$21&amp;"|"&amp;Calculate_cap_emi_sens!$L$14:$L$21,
        Calculate_cap_emi_sens!$BI$14:$BI$21, "Not found", 0),"Missing")</f>
        <v>0</v>
      </c>
      <c r="W41" s="5">
        <f>Results_proc_ener!L41</f>
        <v>11217.241450956994</v>
      </c>
      <c r="X41" s="5">
        <f>Results_proc_ener!M41</f>
        <v>0</v>
      </c>
      <c r="Y41" s="5">
        <f>Results_proc_ener!N41</f>
        <v>0</v>
      </c>
      <c r="Z41" s="5">
        <f>Results_proc_ener!O41</f>
        <v>0</v>
      </c>
      <c r="AA41" s="5">
        <f>Results_proc_ener!P41</f>
        <v>0</v>
      </c>
      <c r="AB41" s="5">
        <f>Results_proc_ener!Q41</f>
        <v>427.81179380278502</v>
      </c>
      <c r="AC41" s="5">
        <f>Results_proc_ener!R41</f>
        <v>8.1088940716713189</v>
      </c>
      <c r="AD41" s="5">
        <f>Results_proc_ener!S41</f>
        <v>47.044595756571994</v>
      </c>
      <c r="AE41" s="5">
        <f>Results_proc_ener!T41</f>
        <v>0</v>
      </c>
    </row>
    <row r="42" spans="1:31" x14ac:dyDescent="0.25">
      <c r="A42" s="5" t="s">
        <v>4</v>
      </c>
      <c r="B42" s="5" t="str">
        <f t="shared" si="0"/>
        <v>Mass-Nom</v>
      </c>
      <c r="C42" s="5" t="str">
        <f t="shared" si="1"/>
        <v>Mass</v>
      </c>
      <c r="D42" s="5" t="str">
        <f t="shared" si="2"/>
        <v>Nom</v>
      </c>
      <c r="E42" s="5" t="s">
        <v>11</v>
      </c>
      <c r="F42" s="5" t="s">
        <v>14</v>
      </c>
      <c r="G42" s="5"/>
      <c r="H42" s="5"/>
      <c r="I42" s="5" cm="1">
        <f t="array" ref="I42">_xlfn.SWITCH(F42,"R",_xlfn.XLOOKUP(E42&amp;"|"&amp;B42,
        Calculate_cap_emi!$I$14:$I$21&amp;"|"&amp;Calculate_cap_emi!$L$14:$L$21,
        Calculate_cap_emi!$W$14:$W$21, "Not found", 0),"Rb",_xlfn.XLOOKUP(E42&amp;"|"&amp;B42,
        Calculate_cap_emi!$I$14:$I$21&amp;"|"&amp;Calculate_cap_emi!$L$14:$L$21,
        Calculate_cap_emi!$Y$14:$Y$21, "Not found", 0),"Rl",_xlfn.XLOOKUP(E42&amp;"|"&amp;B42,
        Calculate_cap_emi!$I$14:$I$21&amp;"|"&amp;Calculate_cap_emi!$L$14:$L$21,
        Calculate_cap_emi!$Z$14:$Z$21, "Not found", 0),0)</f>
        <v>8.5</v>
      </c>
      <c r="J42" s="5"/>
      <c r="K42" s="5"/>
      <c r="L42" s="5" cm="1">
        <f t="array" ref="L42">_xlfn.SWITCH(F42,"R",_xlfn.XLOOKUP(E42&amp;"|"&amp;B42,
        Calculate_cap_emi!$I$14:$I$21&amp;"|"&amp;Calculate_cap_emi!$L$14:$L$21,
        Calculate_cap_emi!$AC$14:$AC$21, "Not found", 0),"Rb",_xlfn.XLOOKUP(E42&amp;"|"&amp;B42,
        Calculate_cap_emi!$I$14:$I$21&amp;"|"&amp;Calculate_cap_emi!$L$14:$L$21,
        Calculate_cap_emi!$AE$14:$AE$21, "Not found", 0),"Rl",_xlfn.XLOOKUP(E42&amp;"|"&amp;B42,
        Calculate_cap_emi!$I$14:$I$21&amp;"|"&amp;Calculate_cap_emi!$L$14:$L$21,
        Calculate_cap_emi!$AF$14:$AF$21, "Not found", 0),"HP",_xlfn.XLOOKUP(E42&amp;"|"&amp;B42,
        Calculate_cap_emi!$I$14:$I$21&amp;"|"&amp;Calculate_cap_emi!$L$14:$L$21,
        Calculate_cap_emi!$AD$14:$AD$21, "Not found", 0),"HPl",_xlfn.XLOOKUP(E42&amp;"|"&amp;B42,
        Calculate_cap_emi!$I$14:$I$21&amp;"|"&amp;Calculate_cap_emi!$L$14:$L$21,
        Calculate_cap_emi!$AG$14:$AG$21, "Not found", 0),"Missing")</f>
        <v>757.6048249742837</v>
      </c>
      <c r="M42" s="5"/>
      <c r="N42" s="5"/>
      <c r="O42" s="5"/>
      <c r="P42" s="5"/>
      <c r="Q42" s="5" cm="1">
        <f t="array" ref="Q42">_xlfn.SWITCH(F42,"R",_xlfn.XLOOKUP(E42&amp;"|"&amp;B42,
        Calculate_cap_emi!$I$14:$I$21&amp;"|"&amp;Calculate_cap_emi!$L$14:$L$21,
        Calculate_cap_emi!$AJ$14:$AJ$21, "Not found", 0),"Rb",_xlfn.XLOOKUP(E42&amp;"|"&amp;B42,
        Calculate_cap_emi!$I$14:$I$21&amp;"|"&amp;Calculate_cap_emi!$L$14:$L$21,
        Calculate_cap_emi!$AL$14:$AL$21, "Not found", 0),"Rl",_xlfn.XLOOKUP(E42&amp;"|"&amp;B42,
        Calculate_cap_emi!$I$14:$I$21&amp;"|"&amp;Calculate_cap_emi!$L$14:$L$21,
        Calculate_cap_emi!$AM$14:$AM$21, "Not found", 0),"HP",_xlfn.XLOOKUP(E42&amp;"|"&amp;B42,
        Calculate_cap_emi!$I$14:$I$21&amp;"|"&amp;Calculate_cap_emi!$L$14:$L$21,
        Calculate_cap_emi!$AK$14:$AK$21, "Not found", 0),"HPl",_xlfn.XLOOKUP(E42&amp;"|"&amp;B42,
        Calculate_cap_emi!$I$14:$I$21&amp;"|"&amp;Calculate_cap_emi!$L$14:$L$21,
        Calculate_cap_emi!$AN$14:$AN$21, "Not found", 0),"Missing")</f>
        <v>36.670729556011764</v>
      </c>
      <c r="R42" s="5" cm="1">
        <f t="array" ref="R42">_xlfn.SWITCH(F42,"R",_xlfn.XLOOKUP(E42&amp;"|"&amp;B42,
        Calculate_cap_emi!$I$14:$I$21&amp;"|"&amp;Calculate_cap_emi!$L$14:$L$21,
        Calculate_cap_emi!$AQ$14:$AQ$21, "Not found", 0),"Rb",_xlfn.XLOOKUP(E42&amp;"|"&amp;B42,
        Calculate_cap_emi!$I$14:$I$21&amp;"|"&amp;Calculate_cap_emi!$L$14:$L$21,
        Calculate_cap_emi!$AS$14:$AS$21, "Not found", 0),"Rl",_xlfn.XLOOKUP(E42&amp;"|"&amp;B42,
        Calculate_cap_emi!$I$14:$I$21&amp;"|"&amp;Calculate_cap_emi!$L$14:$L$21,
        Calculate_cap_emi!$AT$14:$AT$21, "Not found", 0),"HP",_xlfn.XLOOKUP(E42&amp;"|"&amp;B42,
        Calculate_cap_emi!$I$14:$I$21&amp;"|"&amp;Calculate_cap_emi!$L$14:$L$21,
        Calculate_cap_emi!$AR$14:$AR$21, "Not found", 0),"HPl",_xlfn.XLOOKUP(E42&amp;"|"&amp;B42,
        Calculate_cap_emi!$I$14:$I$21&amp;"|"&amp;Calculate_cap_emi!$L$14:$L$21,
        Calculate_cap_emi!$AU$14:$AU$21, "Not found", 0),"Missing")</f>
        <v>3.8352547275661237</v>
      </c>
      <c r="S42" s="5" cm="1">
        <f t="array" ref="S42">_xlfn.SWITCH(F42,"R",_xlfn.XLOOKUP(E42&amp;"|"&amp;B42,
        Calculate_cap_emi!$I$14:$I$21&amp;"|"&amp;Calculate_cap_emi!$L$14:$L$21,
        Calculate_cap_emi!$AX$14:$AX$21, "Not found", 0),"Rb",_xlfn.XLOOKUP(E42&amp;"|"&amp;B42,
        Calculate_cap_emi!$I$14:$I$21&amp;"|"&amp;Calculate_cap_emi!$L$14:$L$21,
        Calculate_cap_emi!$AZ$14:$AZ$21, "Not found", 0),"Rl",_xlfn.XLOOKUP(E42&amp;"|"&amp;B42,
        Calculate_cap_emi!$I$14:$I$21&amp;"|"&amp;Calculate_cap_emi!$L$14:$L$21,
        Calculate_cap_emi!$BA$14:$BA$21, "Not found", 0),"HP",_xlfn.XLOOKUP(E42&amp;"|"&amp;B42,
        Calculate_cap_emi!$I$14:$I$21&amp;"|"&amp;Calculate_cap_emi!$L$14:$L$21,
        Calculate_cap_emi!$AY$14:$AY$21, "Not found", 0),"HPl",_xlfn.XLOOKUP(E42&amp;"|"&amp;B42,
        Calculate_cap_emi!$I$14:$I$21&amp;"|"&amp;Calculate_cap_emi!$L$14:$L$21,
        Calculate_cap_emi!$BB$14:$BB$21, "Not found", 0),"Missing")</f>
        <v>43.415585881483011</v>
      </c>
      <c r="T42" s="5" cm="1">
        <f t="array" ref="T42">_xlfn.SWITCH(F42,"R",_xlfn.XLOOKUP(E42&amp;"|"&amp;B42,
        Calculate_cap_emi!$I$14:$I$21&amp;"|"&amp;Calculate_cap_emi!$L$14:$L$21,
        Calculate_cap_emi!$BE$14:$BE$21, "Not found", 0),"Rb",_xlfn.XLOOKUP(E42&amp;"|"&amp;B42,
        Calculate_cap_emi!$I$14:$I$21&amp;"|"&amp;Calculate_cap_emi!$L$14:$L$21,
        Calculate_cap_emi!$BG$14:$BG$21, "Not found", 0),"Rl",_xlfn.XLOOKUP(E42&amp;"|"&amp;B42,
        Calculate_cap_emi!$I$14:$I$21&amp;"|"&amp;Calculate_cap_emi!$L$14:$L$21,
        Calculate_cap_emi!$BH$14:$BH$21, "Not found", 0),"HP",_xlfn.XLOOKUP(E42&amp;"|"&amp;B42,
        Calculate_cap_emi!$I$14:$I$21&amp;"|"&amp;Calculate_cap_emi!$L$14:$L$21,
        Calculate_cap_emi!$BF$14:$BF$21, "Not found", 0),"HPl",_xlfn.XLOOKUP(E42&amp;"|"&amp;B42,
        Calculate_cap_emi!$I$14:$I$21&amp;"|"&amp;Calculate_cap_emi!$L$14:$L$21,
        Calculate_cap_emi!$BI$14:$BI$21, "Not found", 0),"Missing")</f>
        <v>0</v>
      </c>
      <c r="U42" s="5" cm="1">
        <f t="array" ref="U42">_xlfn.SWITCH(F42,"R",_xlfn.XLOOKUP(E42&amp;"|"&amp;B42,
        Calculate_cap_emi_sens!$I$14:$I$21&amp;"|"&amp;Calculate_cap_emi_sens!$L$14:$L$21,
        Calculate_cap_emi_sens!$AX$14:$AX$21, "Not found", 0),"Rb",_xlfn.XLOOKUP(E42&amp;"|"&amp;B42,
        Calculate_cap_emi_sens!$I$14:$I$21&amp;"|"&amp;Calculate_cap_emi_sens!$L$14:$L$21,
        Calculate_cap_emi_sens!$AZ$14:$AZ$21, "Not found", 0),"Rl",_xlfn.XLOOKUP(E42&amp;"|"&amp;B42,
        Calculate_cap_emi_sens!$I$14:$I$21&amp;"|"&amp;Calculate_cap_emi_sens!$L$14:$L$21,
        Calculate_cap_emi_sens!$BA$14:$BA$21, "Not found", 0),"HP",_xlfn.XLOOKUP(E42&amp;"|"&amp;B42,
        Calculate_cap_emi_sens!$I$14:$I$21&amp;"|"&amp;Calculate_cap_emi_sens!$L$14:$L$21,
        Calculate_cap_emi_sens!$AY$14:$AY$21, "Not found", 0),"HPl",_xlfn.XLOOKUP(E42&amp;"|"&amp;B42,
        Calculate_cap_emi_sens!$I$14:$I$21&amp;"|"&amp;Calculate_cap_emi_sens!$L$14:$L$21,
        Calculate_cap_emi_sens!$BB$14:$BB$21, "Not found", 0),"Missing")</f>
        <v>43.415585881483011</v>
      </c>
      <c r="V42" s="5" cm="1">
        <f t="array" ref="V42">_xlfn.SWITCH(F42,"R",_xlfn.XLOOKUP(E42&amp;"|"&amp;B42,
        Calculate_cap_emi_sens!$I$14:$I$21&amp;"|"&amp;Calculate_cap_emi_sens!$L$14:$L$21,
        Calculate_cap_emi_sens!$BE$14:$BE$21, "Not found", 0),"Rb",_xlfn.XLOOKUP(E42&amp;"|"&amp;B42,
        Calculate_cap_emi_sens!$I$14:$I$21&amp;"|"&amp;Calculate_cap_emi_sens!$L$14:$L$21,
        Calculate_cap_emi_sens!$BG$14:$BG$21, "Not found", 0),"Rl",_xlfn.XLOOKUP(E42&amp;"|"&amp;B42,
        Calculate_cap_emi_sens!$I$14:$I$21&amp;"|"&amp;Calculate_cap_emi_sens!$L$14:$L$21,
        Calculate_cap_emi_sens!$BH$14:$BH$21, "Not found", 0),"HP",_xlfn.XLOOKUP(E42&amp;"|"&amp;B42,
        Calculate_cap_emi_sens!$I$14:$I$21&amp;"|"&amp;Calculate_cap_emi_sens!$L$14:$L$21,
        Calculate_cap_emi_sens!$BF$14:$BF$21, "Not found", 0),"HPl",_xlfn.XLOOKUP(E42&amp;"|"&amp;B42,
        Calculate_cap_emi_sens!$I$14:$I$21&amp;"|"&amp;Calculate_cap_emi_sens!$L$14:$L$21,
        Calculate_cap_emi_sens!$BI$14:$BI$21, "Not found", 0),"Missing")</f>
        <v>0</v>
      </c>
      <c r="W42" s="5">
        <f>Results_proc_ener!L42</f>
        <v>19924.78901667444</v>
      </c>
      <c r="X42" s="5">
        <f>Results_proc_ener!M42</f>
        <v>0</v>
      </c>
      <c r="Y42" s="5">
        <f>Results_proc_ener!N42</f>
        <v>0</v>
      </c>
      <c r="Z42" s="5">
        <f>Results_proc_ener!O42</f>
        <v>0</v>
      </c>
      <c r="AA42" s="5">
        <f>Results_proc_ener!P42</f>
        <v>0</v>
      </c>
      <c r="AB42" s="5">
        <f>Results_proc_ener!Q42</f>
        <v>776.63632462636497</v>
      </c>
      <c r="AC42" s="5">
        <f>Results_proc_ener!R42</f>
        <v>14.345102460698792</v>
      </c>
      <c r="AD42" s="5">
        <f>Results_proc_ener!S42</f>
        <v>82.176016716089464</v>
      </c>
      <c r="AE42" s="5">
        <f>Results_proc_ener!T42</f>
        <v>0</v>
      </c>
    </row>
    <row r="43" spans="1:31" x14ac:dyDescent="0.25">
      <c r="A43" s="5" t="s">
        <v>2</v>
      </c>
      <c r="B43" s="5" t="str">
        <f t="shared" si="0"/>
        <v>Mass-Nom</v>
      </c>
      <c r="C43" s="5" t="str">
        <f t="shared" si="1"/>
        <v>Mass</v>
      </c>
      <c r="D43" s="5" t="str">
        <f t="shared" si="2"/>
        <v>Nom</v>
      </c>
      <c r="E43" s="5" t="s">
        <v>11</v>
      </c>
      <c r="F43" s="5" t="s">
        <v>14</v>
      </c>
      <c r="G43" s="5"/>
      <c r="H43" s="5"/>
      <c r="I43" s="5" cm="1">
        <f t="array" ref="I43">_xlfn.SWITCH(F43,"R",_xlfn.XLOOKUP(E43&amp;"|"&amp;B43,
        Calculate_cap_emi!$I$14:$I$21&amp;"|"&amp;Calculate_cap_emi!$L$14:$L$21,
        Calculate_cap_emi!$W$14:$W$21, "Not found", 0),"Rb",_xlfn.XLOOKUP(E43&amp;"|"&amp;B43,
        Calculate_cap_emi!$I$14:$I$21&amp;"|"&amp;Calculate_cap_emi!$L$14:$L$21,
        Calculate_cap_emi!$Y$14:$Y$21, "Not found", 0),"Rl",_xlfn.XLOOKUP(E43&amp;"|"&amp;B43,
        Calculate_cap_emi!$I$14:$I$21&amp;"|"&amp;Calculate_cap_emi!$L$14:$L$21,
        Calculate_cap_emi!$Z$14:$Z$21, "Not found", 0),0)</f>
        <v>8.5</v>
      </c>
      <c r="J43" s="5"/>
      <c r="K43" s="5"/>
      <c r="L43" s="5" cm="1">
        <f t="array" ref="L43">_xlfn.SWITCH(F43,"R",_xlfn.XLOOKUP(E43&amp;"|"&amp;B43,
        Calculate_cap_emi!$I$14:$I$21&amp;"|"&amp;Calculate_cap_emi!$L$14:$L$21,
        Calculate_cap_emi!$AC$14:$AC$21, "Not found", 0),"Rb",_xlfn.XLOOKUP(E43&amp;"|"&amp;B43,
        Calculate_cap_emi!$I$14:$I$21&amp;"|"&amp;Calculate_cap_emi!$L$14:$L$21,
        Calculate_cap_emi!$AE$14:$AE$21, "Not found", 0),"Rl",_xlfn.XLOOKUP(E43&amp;"|"&amp;B43,
        Calculate_cap_emi!$I$14:$I$21&amp;"|"&amp;Calculate_cap_emi!$L$14:$L$21,
        Calculate_cap_emi!$AF$14:$AF$21, "Not found", 0),"HP",_xlfn.XLOOKUP(E43&amp;"|"&amp;B43,
        Calculate_cap_emi!$I$14:$I$21&amp;"|"&amp;Calculate_cap_emi!$L$14:$L$21,
        Calculate_cap_emi!$AD$14:$AD$21, "Not found", 0),"HPl",_xlfn.XLOOKUP(E43&amp;"|"&amp;B43,
        Calculate_cap_emi!$I$14:$I$21&amp;"|"&amp;Calculate_cap_emi!$L$14:$L$21,
        Calculate_cap_emi!$AG$14:$AG$21, "Not found", 0),"Missing")</f>
        <v>757.6048249742837</v>
      </c>
      <c r="M43" s="5"/>
      <c r="N43" s="5"/>
      <c r="O43" s="5"/>
      <c r="P43" s="5"/>
      <c r="Q43" s="5" cm="1">
        <f t="array" ref="Q43">_xlfn.SWITCH(F43,"R",_xlfn.XLOOKUP(E43&amp;"|"&amp;B43,
        Calculate_cap_emi!$I$14:$I$21&amp;"|"&amp;Calculate_cap_emi!$L$14:$L$21,
        Calculate_cap_emi!$AJ$14:$AJ$21, "Not found", 0),"Rb",_xlfn.XLOOKUP(E43&amp;"|"&amp;B43,
        Calculate_cap_emi!$I$14:$I$21&amp;"|"&amp;Calculate_cap_emi!$L$14:$L$21,
        Calculate_cap_emi!$AL$14:$AL$21, "Not found", 0),"Rl",_xlfn.XLOOKUP(E43&amp;"|"&amp;B43,
        Calculate_cap_emi!$I$14:$I$21&amp;"|"&amp;Calculate_cap_emi!$L$14:$L$21,
        Calculate_cap_emi!$AM$14:$AM$21, "Not found", 0),"HP",_xlfn.XLOOKUP(E43&amp;"|"&amp;B43,
        Calculate_cap_emi!$I$14:$I$21&amp;"|"&amp;Calculate_cap_emi!$L$14:$L$21,
        Calculate_cap_emi!$AK$14:$AK$21, "Not found", 0),"HPl",_xlfn.XLOOKUP(E43&amp;"|"&amp;B43,
        Calculate_cap_emi!$I$14:$I$21&amp;"|"&amp;Calculate_cap_emi!$L$14:$L$21,
        Calculate_cap_emi!$AN$14:$AN$21, "Not found", 0),"Missing")</f>
        <v>36.670729556011764</v>
      </c>
      <c r="R43" s="5" cm="1">
        <f t="array" ref="R43">_xlfn.SWITCH(F43,"R",_xlfn.XLOOKUP(E43&amp;"|"&amp;B43,
        Calculate_cap_emi!$I$14:$I$21&amp;"|"&amp;Calculate_cap_emi!$L$14:$L$21,
        Calculate_cap_emi!$AQ$14:$AQ$21, "Not found", 0),"Rb",_xlfn.XLOOKUP(E43&amp;"|"&amp;B43,
        Calculate_cap_emi!$I$14:$I$21&amp;"|"&amp;Calculate_cap_emi!$L$14:$L$21,
        Calculate_cap_emi!$AS$14:$AS$21, "Not found", 0),"Rl",_xlfn.XLOOKUP(E43&amp;"|"&amp;B43,
        Calculate_cap_emi!$I$14:$I$21&amp;"|"&amp;Calculate_cap_emi!$L$14:$L$21,
        Calculate_cap_emi!$AT$14:$AT$21, "Not found", 0),"HP",_xlfn.XLOOKUP(E43&amp;"|"&amp;B43,
        Calculate_cap_emi!$I$14:$I$21&amp;"|"&amp;Calculate_cap_emi!$L$14:$L$21,
        Calculate_cap_emi!$AR$14:$AR$21, "Not found", 0),"HPl",_xlfn.XLOOKUP(E43&amp;"|"&amp;B43,
        Calculate_cap_emi!$I$14:$I$21&amp;"|"&amp;Calculate_cap_emi!$L$14:$L$21,
        Calculate_cap_emi!$AU$14:$AU$21, "Not found", 0),"Missing")</f>
        <v>3.8352547275661237</v>
      </c>
      <c r="S43" s="5" cm="1">
        <f t="array" ref="S43">_xlfn.SWITCH(F43,"R",_xlfn.XLOOKUP(E43&amp;"|"&amp;B43,
        Calculate_cap_emi!$I$14:$I$21&amp;"|"&amp;Calculate_cap_emi!$L$14:$L$21,
        Calculate_cap_emi!$AX$14:$AX$21, "Not found", 0),"Rb",_xlfn.XLOOKUP(E43&amp;"|"&amp;B43,
        Calculate_cap_emi!$I$14:$I$21&amp;"|"&amp;Calculate_cap_emi!$L$14:$L$21,
        Calculate_cap_emi!$AZ$14:$AZ$21, "Not found", 0),"Rl",_xlfn.XLOOKUP(E43&amp;"|"&amp;B43,
        Calculate_cap_emi!$I$14:$I$21&amp;"|"&amp;Calculate_cap_emi!$L$14:$L$21,
        Calculate_cap_emi!$BA$14:$BA$21, "Not found", 0),"HP",_xlfn.XLOOKUP(E43&amp;"|"&amp;B43,
        Calculate_cap_emi!$I$14:$I$21&amp;"|"&amp;Calculate_cap_emi!$L$14:$L$21,
        Calculate_cap_emi!$AY$14:$AY$21, "Not found", 0),"HPl",_xlfn.XLOOKUP(E43&amp;"|"&amp;B43,
        Calculate_cap_emi!$I$14:$I$21&amp;"|"&amp;Calculate_cap_emi!$L$14:$L$21,
        Calculate_cap_emi!$BB$14:$BB$21, "Not found", 0),"Missing")</f>
        <v>43.415585881483011</v>
      </c>
      <c r="T43" s="5" cm="1">
        <f t="array" ref="T43">_xlfn.SWITCH(F43,"R",_xlfn.XLOOKUP(E43&amp;"|"&amp;B43,
        Calculate_cap_emi!$I$14:$I$21&amp;"|"&amp;Calculate_cap_emi!$L$14:$L$21,
        Calculate_cap_emi!$BE$14:$BE$21, "Not found", 0),"Rb",_xlfn.XLOOKUP(E43&amp;"|"&amp;B43,
        Calculate_cap_emi!$I$14:$I$21&amp;"|"&amp;Calculate_cap_emi!$L$14:$L$21,
        Calculate_cap_emi!$BG$14:$BG$21, "Not found", 0),"Rl",_xlfn.XLOOKUP(E43&amp;"|"&amp;B43,
        Calculate_cap_emi!$I$14:$I$21&amp;"|"&amp;Calculate_cap_emi!$L$14:$L$21,
        Calculate_cap_emi!$BH$14:$BH$21, "Not found", 0),"HP",_xlfn.XLOOKUP(E43&amp;"|"&amp;B43,
        Calculate_cap_emi!$I$14:$I$21&amp;"|"&amp;Calculate_cap_emi!$L$14:$L$21,
        Calculate_cap_emi!$BF$14:$BF$21, "Not found", 0),"HPl",_xlfn.XLOOKUP(E43&amp;"|"&amp;B43,
        Calculate_cap_emi!$I$14:$I$21&amp;"|"&amp;Calculate_cap_emi!$L$14:$L$21,
        Calculate_cap_emi!$BI$14:$BI$21, "Not found", 0),"Missing")</f>
        <v>0</v>
      </c>
      <c r="U43" s="5" cm="1">
        <f t="array" ref="U43">_xlfn.SWITCH(F43,"R",_xlfn.XLOOKUP(E43&amp;"|"&amp;B43,
        Calculate_cap_emi_sens!$I$14:$I$21&amp;"|"&amp;Calculate_cap_emi_sens!$L$14:$L$21,
        Calculate_cap_emi_sens!$AX$14:$AX$21, "Not found", 0),"Rb",_xlfn.XLOOKUP(E43&amp;"|"&amp;B43,
        Calculate_cap_emi_sens!$I$14:$I$21&amp;"|"&amp;Calculate_cap_emi_sens!$L$14:$L$21,
        Calculate_cap_emi_sens!$AZ$14:$AZ$21, "Not found", 0),"Rl",_xlfn.XLOOKUP(E43&amp;"|"&amp;B43,
        Calculate_cap_emi_sens!$I$14:$I$21&amp;"|"&amp;Calculate_cap_emi_sens!$L$14:$L$21,
        Calculate_cap_emi_sens!$BA$14:$BA$21, "Not found", 0),"HP",_xlfn.XLOOKUP(E43&amp;"|"&amp;B43,
        Calculate_cap_emi_sens!$I$14:$I$21&amp;"|"&amp;Calculate_cap_emi_sens!$L$14:$L$21,
        Calculate_cap_emi_sens!$AY$14:$AY$21, "Not found", 0),"HPl",_xlfn.XLOOKUP(E43&amp;"|"&amp;B43,
        Calculate_cap_emi_sens!$I$14:$I$21&amp;"|"&amp;Calculate_cap_emi_sens!$L$14:$L$21,
        Calculate_cap_emi_sens!$BB$14:$BB$21, "Not found", 0),"Missing")</f>
        <v>43.415585881483011</v>
      </c>
      <c r="V43" s="5" cm="1">
        <f t="array" ref="V43">_xlfn.SWITCH(F43,"R",_xlfn.XLOOKUP(E43&amp;"|"&amp;B43,
        Calculate_cap_emi_sens!$I$14:$I$21&amp;"|"&amp;Calculate_cap_emi_sens!$L$14:$L$21,
        Calculate_cap_emi_sens!$BE$14:$BE$21, "Not found", 0),"Rb",_xlfn.XLOOKUP(E43&amp;"|"&amp;B43,
        Calculate_cap_emi_sens!$I$14:$I$21&amp;"|"&amp;Calculate_cap_emi_sens!$L$14:$L$21,
        Calculate_cap_emi_sens!$BG$14:$BG$21, "Not found", 0),"Rl",_xlfn.XLOOKUP(E43&amp;"|"&amp;B43,
        Calculate_cap_emi_sens!$I$14:$I$21&amp;"|"&amp;Calculate_cap_emi_sens!$L$14:$L$21,
        Calculate_cap_emi_sens!$BH$14:$BH$21, "Not found", 0),"HP",_xlfn.XLOOKUP(E43&amp;"|"&amp;B43,
        Calculate_cap_emi_sens!$I$14:$I$21&amp;"|"&amp;Calculate_cap_emi_sens!$L$14:$L$21,
        Calculate_cap_emi_sens!$BF$14:$BF$21, "Not found", 0),"HPl",_xlfn.XLOOKUP(E43&amp;"|"&amp;B43,
        Calculate_cap_emi_sens!$I$14:$I$21&amp;"|"&amp;Calculate_cap_emi_sens!$L$14:$L$21,
        Calculate_cap_emi_sens!$BI$14:$BI$21, "Not found", 0),"Missing")</f>
        <v>0</v>
      </c>
      <c r="W43" s="5">
        <f>Results_proc_ener!L43</f>
        <v>19924.78901667444</v>
      </c>
      <c r="X43" s="5">
        <f>Results_proc_ener!M43</f>
        <v>0</v>
      </c>
      <c r="Y43" s="5">
        <f>Results_proc_ener!N43</f>
        <v>0</v>
      </c>
      <c r="Z43" s="5">
        <f>Results_proc_ener!O43</f>
        <v>0</v>
      </c>
      <c r="AA43" s="5">
        <f>Results_proc_ener!P43</f>
        <v>0</v>
      </c>
      <c r="AB43" s="5">
        <f>Results_proc_ener!Q43</f>
        <v>776.63632462636497</v>
      </c>
      <c r="AC43" s="5">
        <f>Results_proc_ener!R43</f>
        <v>14.345102460698792</v>
      </c>
      <c r="AD43" s="5">
        <f>Results_proc_ener!S43</f>
        <v>82.176016716089464</v>
      </c>
      <c r="AE43" s="5">
        <f>Results_proc_ener!T43</f>
        <v>0</v>
      </c>
    </row>
    <row r="44" spans="1:31" x14ac:dyDescent="0.25">
      <c r="A44" s="5" t="s">
        <v>5</v>
      </c>
      <c r="B44" s="5" t="str">
        <f t="shared" si="0"/>
        <v>Mass-H1</v>
      </c>
      <c r="C44" s="5" t="str">
        <f t="shared" si="1"/>
        <v>Mass</v>
      </c>
      <c r="D44" s="5" t="str">
        <f t="shared" si="2"/>
        <v>H1</v>
      </c>
      <c r="E44" s="5" t="s">
        <v>11</v>
      </c>
      <c r="F44" s="5" t="s">
        <v>14</v>
      </c>
      <c r="G44" s="5"/>
      <c r="H44" s="5"/>
      <c r="I44" s="5" cm="1">
        <f t="array" ref="I44">_xlfn.SWITCH(F44,"R",_xlfn.XLOOKUP(E44&amp;"|"&amp;B44,
        Calculate_cap_emi!$I$14:$I$21&amp;"|"&amp;Calculate_cap_emi!$L$14:$L$21,
        Calculate_cap_emi!$W$14:$W$21, "Not found", 0),"Rb",_xlfn.XLOOKUP(E44&amp;"|"&amp;B44,
        Calculate_cap_emi!$I$14:$I$21&amp;"|"&amp;Calculate_cap_emi!$L$14:$L$21,
        Calculate_cap_emi!$Y$14:$Y$21, "Not found", 0),"Rl",_xlfn.XLOOKUP(E44&amp;"|"&amp;B44,
        Calculate_cap_emi!$I$14:$I$21&amp;"|"&amp;Calculate_cap_emi!$L$14:$L$21,
        Calculate_cap_emi!$Z$14:$Z$21, "Not found", 0),0)</f>
        <v>5</v>
      </c>
      <c r="J44" s="5"/>
      <c r="K44" s="5"/>
      <c r="L44" s="5" cm="1">
        <f t="array" ref="L44">_xlfn.SWITCH(F44,"R",_xlfn.XLOOKUP(E44&amp;"|"&amp;B44,
        Calculate_cap_emi!$I$14:$I$21&amp;"|"&amp;Calculate_cap_emi!$L$14:$L$21,
        Calculate_cap_emi!$AC$14:$AC$21, "Not found", 0),"Rb",_xlfn.XLOOKUP(E44&amp;"|"&amp;B44,
        Calculate_cap_emi!$I$14:$I$21&amp;"|"&amp;Calculate_cap_emi!$L$14:$L$21,
        Calculate_cap_emi!$AE$14:$AE$21, "Not found", 0),"Rl",_xlfn.XLOOKUP(E44&amp;"|"&amp;B44,
        Calculate_cap_emi!$I$14:$I$21&amp;"|"&amp;Calculate_cap_emi!$L$14:$L$21,
        Calculate_cap_emi!$AF$14:$AF$21, "Not found", 0),"HP",_xlfn.XLOOKUP(E44&amp;"|"&amp;B44,
        Calculate_cap_emi!$I$14:$I$21&amp;"|"&amp;Calculate_cap_emi!$L$14:$L$21,
        Calculate_cap_emi!$AD$14:$AD$21, "Not found", 0),"HPl",_xlfn.XLOOKUP(E44&amp;"|"&amp;B44,
        Calculate_cap_emi!$I$14:$I$21&amp;"|"&amp;Calculate_cap_emi!$L$14:$L$21,
        Calculate_cap_emi!$AG$14:$AG$21, "Not found", 0),"Missing")</f>
        <v>523.75116125759598</v>
      </c>
      <c r="M44" s="5"/>
      <c r="N44" s="5"/>
      <c r="O44" s="5"/>
      <c r="P44" s="5"/>
      <c r="Q44" s="5" cm="1">
        <f t="array" ref="Q44">_xlfn.SWITCH(F44,"R",_xlfn.XLOOKUP(E44&amp;"|"&amp;B44,
        Calculate_cap_emi!$I$14:$I$21&amp;"|"&amp;Calculate_cap_emi!$L$14:$L$21,
        Calculate_cap_emi!$AJ$14:$AJ$21, "Not found", 0),"Rb",_xlfn.XLOOKUP(E44&amp;"|"&amp;B44,
        Calculate_cap_emi!$I$14:$I$21&amp;"|"&amp;Calculate_cap_emi!$L$14:$L$21,
        Calculate_cap_emi!$AL$14:$AL$21, "Not found", 0),"Rl",_xlfn.XLOOKUP(E44&amp;"|"&amp;B44,
        Calculate_cap_emi!$I$14:$I$21&amp;"|"&amp;Calculate_cap_emi!$L$14:$L$21,
        Calculate_cap_emi!$AM$14:$AM$21, "Not found", 0),"HP",_xlfn.XLOOKUP(E44&amp;"|"&amp;B44,
        Calculate_cap_emi!$I$14:$I$21&amp;"|"&amp;Calculate_cap_emi!$L$14:$L$21,
        Calculate_cap_emi!$AK$14:$AK$21, "Not found", 0),"HPl",_xlfn.XLOOKUP(E44&amp;"|"&amp;B44,
        Calculate_cap_emi!$I$14:$I$21&amp;"|"&amp;Calculate_cap_emi!$L$14:$L$21,
        Calculate_cap_emi!$AN$14:$AN$21, "Not found", 0),"Missing")</f>
        <v>23.929721751599999</v>
      </c>
      <c r="R44" s="5" cm="1">
        <f t="array" ref="R44">_xlfn.SWITCH(F44,"R",_xlfn.XLOOKUP(E44&amp;"|"&amp;B44,
        Calculate_cap_emi!$I$14:$I$21&amp;"|"&amp;Calculate_cap_emi!$L$14:$L$21,
        Calculate_cap_emi!$AQ$14:$AQ$21, "Not found", 0),"Rb",_xlfn.XLOOKUP(E44&amp;"|"&amp;B44,
        Calculate_cap_emi!$I$14:$I$21&amp;"|"&amp;Calculate_cap_emi!$L$14:$L$21,
        Calculate_cap_emi!$AS$14:$AS$21, "Not found", 0),"Rl",_xlfn.XLOOKUP(E44&amp;"|"&amp;B44,
        Calculate_cap_emi!$I$14:$I$21&amp;"|"&amp;Calculate_cap_emi!$L$14:$L$21,
        Calculate_cap_emi!$AT$14:$AT$21, "Not found", 0),"HP",_xlfn.XLOOKUP(E44&amp;"|"&amp;B44,
        Calculate_cap_emi!$I$14:$I$21&amp;"|"&amp;Calculate_cap_emi!$L$14:$L$21,
        Calculate_cap_emi!$AR$14:$AR$21, "Not found", 0),"HPl",_xlfn.XLOOKUP(E44&amp;"|"&amp;B44,
        Calculate_cap_emi!$I$14:$I$21&amp;"|"&amp;Calculate_cap_emi!$L$14:$L$21,
        Calculate_cap_emi!$AU$14:$AU$21, "Not found", 0),"Missing")</f>
        <v>2.8541020923538154</v>
      </c>
      <c r="S44" s="5" cm="1">
        <f t="array" ref="S44">_xlfn.SWITCH(F44,"R",_xlfn.XLOOKUP(E44&amp;"|"&amp;B44,
        Calculate_cap_emi!$I$14:$I$21&amp;"|"&amp;Calculate_cap_emi!$L$14:$L$21,
        Calculate_cap_emi!$AX$14:$AX$21, "Not found", 0),"Rb",_xlfn.XLOOKUP(E44&amp;"|"&amp;B44,
        Calculate_cap_emi!$I$14:$I$21&amp;"|"&amp;Calculate_cap_emi!$L$14:$L$21,
        Calculate_cap_emi!$AZ$14:$AZ$21, "Not found", 0),"Rl",_xlfn.XLOOKUP(E44&amp;"|"&amp;B44,
        Calculate_cap_emi!$I$14:$I$21&amp;"|"&amp;Calculate_cap_emi!$L$14:$L$21,
        Calculate_cap_emi!$BA$14:$BA$21, "Not found", 0),"HP",_xlfn.XLOOKUP(E44&amp;"|"&amp;B44,
        Calculate_cap_emi!$I$14:$I$21&amp;"|"&amp;Calculate_cap_emi!$L$14:$L$21,
        Calculate_cap_emi!$AY$14:$AY$21, "Not found", 0),"HPl",_xlfn.XLOOKUP(E44&amp;"|"&amp;B44,
        Calculate_cap_emi!$I$14:$I$21&amp;"|"&amp;Calculate_cap_emi!$L$14:$L$21,
        Calculate_cap_emi!$BB$14:$BB$21, "Not found", 0),"Missing")</f>
        <v>28.377718185089282</v>
      </c>
      <c r="T44" s="5" cm="1">
        <f t="array" ref="T44">_xlfn.SWITCH(F44,"R",_xlfn.XLOOKUP(E44&amp;"|"&amp;B44,
        Calculate_cap_emi!$I$14:$I$21&amp;"|"&amp;Calculate_cap_emi!$L$14:$L$21,
        Calculate_cap_emi!$BE$14:$BE$21, "Not found", 0),"Rb",_xlfn.XLOOKUP(E44&amp;"|"&amp;B44,
        Calculate_cap_emi!$I$14:$I$21&amp;"|"&amp;Calculate_cap_emi!$L$14:$L$21,
        Calculate_cap_emi!$BG$14:$BG$21, "Not found", 0),"Rl",_xlfn.XLOOKUP(E44&amp;"|"&amp;B44,
        Calculate_cap_emi!$I$14:$I$21&amp;"|"&amp;Calculate_cap_emi!$L$14:$L$21,
        Calculate_cap_emi!$BH$14:$BH$21, "Not found", 0),"HP",_xlfn.XLOOKUP(E44&amp;"|"&amp;B44,
        Calculate_cap_emi!$I$14:$I$21&amp;"|"&amp;Calculate_cap_emi!$L$14:$L$21,
        Calculate_cap_emi!$BF$14:$BF$21, "Not found", 0),"HPl",_xlfn.XLOOKUP(E44&amp;"|"&amp;B44,
        Calculate_cap_emi!$I$14:$I$21&amp;"|"&amp;Calculate_cap_emi!$L$14:$L$21,
        Calculate_cap_emi!$BI$14:$BI$21, "Not found", 0),"Missing")</f>
        <v>0</v>
      </c>
      <c r="U44" s="5" cm="1">
        <f t="array" ref="U44">_xlfn.SWITCH(F44,"R",_xlfn.XLOOKUP(E44&amp;"|"&amp;B44,
        Calculate_cap_emi_sens!$I$14:$I$21&amp;"|"&amp;Calculate_cap_emi_sens!$L$14:$L$21,
        Calculate_cap_emi_sens!$AX$14:$AX$21, "Not found", 0),"Rb",_xlfn.XLOOKUP(E44&amp;"|"&amp;B44,
        Calculate_cap_emi_sens!$I$14:$I$21&amp;"|"&amp;Calculate_cap_emi_sens!$L$14:$L$21,
        Calculate_cap_emi_sens!$AZ$14:$AZ$21, "Not found", 0),"Rl",_xlfn.XLOOKUP(E44&amp;"|"&amp;B44,
        Calculate_cap_emi_sens!$I$14:$I$21&amp;"|"&amp;Calculate_cap_emi_sens!$L$14:$L$21,
        Calculate_cap_emi_sens!$BA$14:$BA$21, "Not found", 0),"HP",_xlfn.XLOOKUP(E44&amp;"|"&amp;B44,
        Calculate_cap_emi_sens!$I$14:$I$21&amp;"|"&amp;Calculate_cap_emi_sens!$L$14:$L$21,
        Calculate_cap_emi_sens!$AY$14:$AY$21, "Not found", 0),"HPl",_xlfn.XLOOKUP(E44&amp;"|"&amp;B44,
        Calculate_cap_emi_sens!$I$14:$I$21&amp;"|"&amp;Calculate_cap_emi_sens!$L$14:$L$21,
        Calculate_cap_emi_sens!$BB$14:$BB$21, "Not found", 0),"Missing")</f>
        <v>28.377718185089282</v>
      </c>
      <c r="V44" s="5" cm="1">
        <f t="array" ref="V44">_xlfn.SWITCH(F44,"R",_xlfn.XLOOKUP(E44&amp;"|"&amp;B44,
        Calculate_cap_emi_sens!$I$14:$I$21&amp;"|"&amp;Calculate_cap_emi_sens!$L$14:$L$21,
        Calculate_cap_emi_sens!$BE$14:$BE$21, "Not found", 0),"Rb",_xlfn.XLOOKUP(E44&amp;"|"&amp;B44,
        Calculate_cap_emi_sens!$I$14:$I$21&amp;"|"&amp;Calculate_cap_emi_sens!$L$14:$L$21,
        Calculate_cap_emi_sens!$BG$14:$BG$21, "Not found", 0),"Rl",_xlfn.XLOOKUP(E44&amp;"|"&amp;B44,
        Calculate_cap_emi_sens!$I$14:$I$21&amp;"|"&amp;Calculate_cap_emi_sens!$L$14:$L$21,
        Calculate_cap_emi_sens!$BH$14:$BH$21, "Not found", 0),"HP",_xlfn.XLOOKUP(E44&amp;"|"&amp;B44,
        Calculate_cap_emi_sens!$I$14:$I$21&amp;"|"&amp;Calculate_cap_emi_sens!$L$14:$L$21,
        Calculate_cap_emi_sens!$BF$14:$BF$21, "Not found", 0),"HPl",_xlfn.XLOOKUP(E44&amp;"|"&amp;B44,
        Calculate_cap_emi_sens!$I$14:$I$21&amp;"|"&amp;Calculate_cap_emi_sens!$L$14:$L$21,
        Calculate_cap_emi_sens!$BI$14:$BI$21, "Not found", 0),"Missing")</f>
        <v>0</v>
      </c>
      <c r="W44" s="5">
        <f>Results_proc_ener!L44</f>
        <v>13726.935336196544</v>
      </c>
      <c r="X44" s="5">
        <f>Results_proc_ener!M44</f>
        <v>0</v>
      </c>
      <c r="Y44" s="5">
        <f>Results_proc_ener!N44</f>
        <v>0</v>
      </c>
      <c r="Z44" s="5">
        <f>Results_proc_ener!O44</f>
        <v>0</v>
      </c>
      <c r="AA44" s="5">
        <f>Results_proc_ener!P44</f>
        <v>0</v>
      </c>
      <c r="AB44" s="5">
        <f>Results_proc_ener!Q44</f>
        <v>506.79905678199003</v>
      </c>
      <c r="AC44" s="5">
        <f>Results_proc_ener!R44</f>
        <v>9.9815797543151614</v>
      </c>
      <c r="AD44" s="5">
        <f>Results_proc_ener!S44</f>
        <v>58.957770553626503</v>
      </c>
      <c r="AE44" s="5">
        <f>Results_proc_ener!T44</f>
        <v>0</v>
      </c>
    </row>
    <row r="45" spans="1:31" x14ac:dyDescent="0.25">
      <c r="A45" s="5" t="s">
        <v>6</v>
      </c>
      <c r="B45" s="5" t="str">
        <f t="shared" si="0"/>
        <v>Mass-H1</v>
      </c>
      <c r="C45" s="5" t="str">
        <f t="shared" si="1"/>
        <v>Mass</v>
      </c>
      <c r="D45" s="5" t="str">
        <f t="shared" si="2"/>
        <v>H1</v>
      </c>
      <c r="E45" s="5" t="s">
        <v>11</v>
      </c>
      <c r="F45" s="5" t="s">
        <v>14</v>
      </c>
      <c r="G45" s="5"/>
      <c r="H45" s="5"/>
      <c r="I45" s="5" cm="1">
        <f t="array" ref="I45">_xlfn.SWITCH(F45,"R",_xlfn.XLOOKUP(E45&amp;"|"&amp;B45,
        Calculate_cap_emi!$I$14:$I$21&amp;"|"&amp;Calculate_cap_emi!$L$14:$L$21,
        Calculate_cap_emi!$W$14:$W$21, "Not found", 0),"Rb",_xlfn.XLOOKUP(E45&amp;"|"&amp;B45,
        Calculate_cap_emi!$I$14:$I$21&amp;"|"&amp;Calculate_cap_emi!$L$14:$L$21,
        Calculate_cap_emi!$Y$14:$Y$21, "Not found", 0),"Rl",_xlfn.XLOOKUP(E45&amp;"|"&amp;B45,
        Calculate_cap_emi!$I$14:$I$21&amp;"|"&amp;Calculate_cap_emi!$L$14:$L$21,
        Calculate_cap_emi!$Z$14:$Z$21, "Not found", 0),0)</f>
        <v>5</v>
      </c>
      <c r="J45" s="5"/>
      <c r="K45" s="5"/>
      <c r="L45" s="5" cm="1">
        <f t="array" ref="L45">_xlfn.SWITCH(F45,"R",_xlfn.XLOOKUP(E45&amp;"|"&amp;B45,
        Calculate_cap_emi!$I$14:$I$21&amp;"|"&amp;Calculate_cap_emi!$L$14:$L$21,
        Calculate_cap_emi!$AC$14:$AC$21, "Not found", 0),"Rb",_xlfn.XLOOKUP(E45&amp;"|"&amp;B45,
        Calculate_cap_emi!$I$14:$I$21&amp;"|"&amp;Calculate_cap_emi!$L$14:$L$21,
        Calculate_cap_emi!$AE$14:$AE$21, "Not found", 0),"Rl",_xlfn.XLOOKUP(E45&amp;"|"&amp;B45,
        Calculate_cap_emi!$I$14:$I$21&amp;"|"&amp;Calculate_cap_emi!$L$14:$L$21,
        Calculate_cap_emi!$AF$14:$AF$21, "Not found", 0),"HP",_xlfn.XLOOKUP(E45&amp;"|"&amp;B45,
        Calculate_cap_emi!$I$14:$I$21&amp;"|"&amp;Calculate_cap_emi!$L$14:$L$21,
        Calculate_cap_emi!$AD$14:$AD$21, "Not found", 0),"HPl",_xlfn.XLOOKUP(E45&amp;"|"&amp;B45,
        Calculate_cap_emi!$I$14:$I$21&amp;"|"&amp;Calculate_cap_emi!$L$14:$L$21,
        Calculate_cap_emi!$AG$14:$AG$21, "Not found", 0),"Missing")</f>
        <v>523.75116125759598</v>
      </c>
      <c r="M45" s="5"/>
      <c r="N45" s="5"/>
      <c r="O45" s="5"/>
      <c r="P45" s="5"/>
      <c r="Q45" s="5" cm="1">
        <f t="array" ref="Q45">_xlfn.SWITCH(F45,"R",_xlfn.XLOOKUP(E45&amp;"|"&amp;B45,
        Calculate_cap_emi!$I$14:$I$21&amp;"|"&amp;Calculate_cap_emi!$L$14:$L$21,
        Calculate_cap_emi!$AJ$14:$AJ$21, "Not found", 0),"Rb",_xlfn.XLOOKUP(E45&amp;"|"&amp;B45,
        Calculate_cap_emi!$I$14:$I$21&amp;"|"&amp;Calculate_cap_emi!$L$14:$L$21,
        Calculate_cap_emi!$AL$14:$AL$21, "Not found", 0),"Rl",_xlfn.XLOOKUP(E45&amp;"|"&amp;B45,
        Calculate_cap_emi!$I$14:$I$21&amp;"|"&amp;Calculate_cap_emi!$L$14:$L$21,
        Calculate_cap_emi!$AM$14:$AM$21, "Not found", 0),"HP",_xlfn.XLOOKUP(E45&amp;"|"&amp;B45,
        Calculate_cap_emi!$I$14:$I$21&amp;"|"&amp;Calculate_cap_emi!$L$14:$L$21,
        Calculate_cap_emi!$AK$14:$AK$21, "Not found", 0),"HPl",_xlfn.XLOOKUP(E45&amp;"|"&amp;B45,
        Calculate_cap_emi!$I$14:$I$21&amp;"|"&amp;Calculate_cap_emi!$L$14:$L$21,
        Calculate_cap_emi!$AN$14:$AN$21, "Not found", 0),"Missing")</f>
        <v>23.929721751599999</v>
      </c>
      <c r="R45" s="5" cm="1">
        <f t="array" ref="R45">_xlfn.SWITCH(F45,"R",_xlfn.XLOOKUP(E45&amp;"|"&amp;B45,
        Calculate_cap_emi!$I$14:$I$21&amp;"|"&amp;Calculate_cap_emi!$L$14:$L$21,
        Calculate_cap_emi!$AQ$14:$AQ$21, "Not found", 0),"Rb",_xlfn.XLOOKUP(E45&amp;"|"&amp;B45,
        Calculate_cap_emi!$I$14:$I$21&amp;"|"&amp;Calculate_cap_emi!$L$14:$L$21,
        Calculate_cap_emi!$AS$14:$AS$21, "Not found", 0),"Rl",_xlfn.XLOOKUP(E45&amp;"|"&amp;B45,
        Calculate_cap_emi!$I$14:$I$21&amp;"|"&amp;Calculate_cap_emi!$L$14:$L$21,
        Calculate_cap_emi!$AT$14:$AT$21, "Not found", 0),"HP",_xlfn.XLOOKUP(E45&amp;"|"&amp;B45,
        Calculate_cap_emi!$I$14:$I$21&amp;"|"&amp;Calculate_cap_emi!$L$14:$L$21,
        Calculate_cap_emi!$AR$14:$AR$21, "Not found", 0),"HPl",_xlfn.XLOOKUP(E45&amp;"|"&amp;B45,
        Calculate_cap_emi!$I$14:$I$21&amp;"|"&amp;Calculate_cap_emi!$L$14:$L$21,
        Calculate_cap_emi!$AU$14:$AU$21, "Not found", 0),"Missing")</f>
        <v>2.8541020923538154</v>
      </c>
      <c r="S45" s="5" cm="1">
        <f t="array" ref="S45">_xlfn.SWITCH(F45,"R",_xlfn.XLOOKUP(E45&amp;"|"&amp;B45,
        Calculate_cap_emi!$I$14:$I$21&amp;"|"&amp;Calculate_cap_emi!$L$14:$L$21,
        Calculate_cap_emi!$AX$14:$AX$21, "Not found", 0),"Rb",_xlfn.XLOOKUP(E45&amp;"|"&amp;B45,
        Calculate_cap_emi!$I$14:$I$21&amp;"|"&amp;Calculate_cap_emi!$L$14:$L$21,
        Calculate_cap_emi!$AZ$14:$AZ$21, "Not found", 0),"Rl",_xlfn.XLOOKUP(E45&amp;"|"&amp;B45,
        Calculate_cap_emi!$I$14:$I$21&amp;"|"&amp;Calculate_cap_emi!$L$14:$L$21,
        Calculate_cap_emi!$BA$14:$BA$21, "Not found", 0),"HP",_xlfn.XLOOKUP(E45&amp;"|"&amp;B45,
        Calculate_cap_emi!$I$14:$I$21&amp;"|"&amp;Calculate_cap_emi!$L$14:$L$21,
        Calculate_cap_emi!$AY$14:$AY$21, "Not found", 0),"HPl",_xlfn.XLOOKUP(E45&amp;"|"&amp;B45,
        Calculate_cap_emi!$I$14:$I$21&amp;"|"&amp;Calculate_cap_emi!$L$14:$L$21,
        Calculate_cap_emi!$BB$14:$BB$21, "Not found", 0),"Missing")</f>
        <v>28.377718185089282</v>
      </c>
      <c r="T45" s="5" cm="1">
        <f t="array" ref="T45">_xlfn.SWITCH(F45,"R",_xlfn.XLOOKUP(E45&amp;"|"&amp;B45,
        Calculate_cap_emi!$I$14:$I$21&amp;"|"&amp;Calculate_cap_emi!$L$14:$L$21,
        Calculate_cap_emi!$BE$14:$BE$21, "Not found", 0),"Rb",_xlfn.XLOOKUP(E45&amp;"|"&amp;B45,
        Calculate_cap_emi!$I$14:$I$21&amp;"|"&amp;Calculate_cap_emi!$L$14:$L$21,
        Calculate_cap_emi!$BG$14:$BG$21, "Not found", 0),"Rl",_xlfn.XLOOKUP(E45&amp;"|"&amp;B45,
        Calculate_cap_emi!$I$14:$I$21&amp;"|"&amp;Calculate_cap_emi!$L$14:$L$21,
        Calculate_cap_emi!$BH$14:$BH$21, "Not found", 0),"HP",_xlfn.XLOOKUP(E45&amp;"|"&amp;B45,
        Calculate_cap_emi!$I$14:$I$21&amp;"|"&amp;Calculate_cap_emi!$L$14:$L$21,
        Calculate_cap_emi!$BF$14:$BF$21, "Not found", 0),"HPl",_xlfn.XLOOKUP(E45&amp;"|"&amp;B45,
        Calculate_cap_emi!$I$14:$I$21&amp;"|"&amp;Calculate_cap_emi!$L$14:$L$21,
        Calculate_cap_emi!$BI$14:$BI$21, "Not found", 0),"Missing")</f>
        <v>0</v>
      </c>
      <c r="U45" s="5" cm="1">
        <f t="array" ref="U45">_xlfn.SWITCH(F45,"R",_xlfn.XLOOKUP(E45&amp;"|"&amp;B45,
        Calculate_cap_emi_sens!$I$14:$I$21&amp;"|"&amp;Calculate_cap_emi_sens!$L$14:$L$21,
        Calculate_cap_emi_sens!$AX$14:$AX$21, "Not found", 0),"Rb",_xlfn.XLOOKUP(E45&amp;"|"&amp;B45,
        Calculate_cap_emi_sens!$I$14:$I$21&amp;"|"&amp;Calculate_cap_emi_sens!$L$14:$L$21,
        Calculate_cap_emi_sens!$AZ$14:$AZ$21, "Not found", 0),"Rl",_xlfn.XLOOKUP(E45&amp;"|"&amp;B45,
        Calculate_cap_emi_sens!$I$14:$I$21&amp;"|"&amp;Calculate_cap_emi_sens!$L$14:$L$21,
        Calculate_cap_emi_sens!$BA$14:$BA$21, "Not found", 0),"HP",_xlfn.XLOOKUP(E45&amp;"|"&amp;B45,
        Calculate_cap_emi_sens!$I$14:$I$21&amp;"|"&amp;Calculate_cap_emi_sens!$L$14:$L$21,
        Calculate_cap_emi_sens!$AY$14:$AY$21, "Not found", 0),"HPl",_xlfn.XLOOKUP(E45&amp;"|"&amp;B45,
        Calculate_cap_emi_sens!$I$14:$I$21&amp;"|"&amp;Calculate_cap_emi_sens!$L$14:$L$21,
        Calculate_cap_emi_sens!$BB$14:$BB$21, "Not found", 0),"Missing")</f>
        <v>28.377718185089282</v>
      </c>
      <c r="V45" s="5" cm="1">
        <f t="array" ref="V45">_xlfn.SWITCH(F45,"R",_xlfn.XLOOKUP(E45&amp;"|"&amp;B45,
        Calculate_cap_emi_sens!$I$14:$I$21&amp;"|"&amp;Calculate_cap_emi_sens!$L$14:$L$21,
        Calculate_cap_emi_sens!$BE$14:$BE$21, "Not found", 0),"Rb",_xlfn.XLOOKUP(E45&amp;"|"&amp;B45,
        Calculate_cap_emi_sens!$I$14:$I$21&amp;"|"&amp;Calculate_cap_emi_sens!$L$14:$L$21,
        Calculate_cap_emi_sens!$BG$14:$BG$21, "Not found", 0),"Rl",_xlfn.XLOOKUP(E45&amp;"|"&amp;B45,
        Calculate_cap_emi_sens!$I$14:$I$21&amp;"|"&amp;Calculate_cap_emi_sens!$L$14:$L$21,
        Calculate_cap_emi_sens!$BH$14:$BH$21, "Not found", 0),"HP",_xlfn.XLOOKUP(E45&amp;"|"&amp;B45,
        Calculate_cap_emi_sens!$I$14:$I$21&amp;"|"&amp;Calculate_cap_emi_sens!$L$14:$L$21,
        Calculate_cap_emi_sens!$BF$14:$BF$21, "Not found", 0),"HPl",_xlfn.XLOOKUP(E45&amp;"|"&amp;B45,
        Calculate_cap_emi_sens!$I$14:$I$21&amp;"|"&amp;Calculate_cap_emi_sens!$L$14:$L$21,
        Calculate_cap_emi_sens!$BI$14:$BI$21, "Not found", 0),"Missing")</f>
        <v>0</v>
      </c>
      <c r="W45" s="5">
        <f>Results_proc_ener!L45</f>
        <v>13726.935336196544</v>
      </c>
      <c r="X45" s="5">
        <f>Results_proc_ener!M45</f>
        <v>0</v>
      </c>
      <c r="Y45" s="5">
        <f>Results_proc_ener!N45</f>
        <v>0</v>
      </c>
      <c r="Z45" s="5">
        <f>Results_proc_ener!O45</f>
        <v>0</v>
      </c>
      <c r="AA45" s="5">
        <f>Results_proc_ener!P45</f>
        <v>0</v>
      </c>
      <c r="AB45" s="5">
        <f>Results_proc_ener!Q45</f>
        <v>506.79905678199003</v>
      </c>
      <c r="AC45" s="5">
        <f>Results_proc_ener!R45</f>
        <v>9.9815797543151614</v>
      </c>
      <c r="AD45" s="5">
        <f>Results_proc_ener!S45</f>
        <v>58.957770553626503</v>
      </c>
      <c r="AE45" s="5">
        <f>Results_proc_ener!T45</f>
        <v>0</v>
      </c>
    </row>
    <row r="46" spans="1:31" x14ac:dyDescent="0.25">
      <c r="A46" s="5" t="s">
        <v>7</v>
      </c>
      <c r="B46" s="5" t="str">
        <f t="shared" si="0"/>
        <v>Mod-Nom</v>
      </c>
      <c r="C46" s="5" t="str">
        <f t="shared" si="1"/>
        <v>Mod</v>
      </c>
      <c r="D46" s="5" t="str">
        <f t="shared" si="2"/>
        <v>Nom</v>
      </c>
      <c r="E46" s="5" t="s">
        <v>11</v>
      </c>
      <c r="F46" s="5" t="s">
        <v>14</v>
      </c>
      <c r="G46" s="5"/>
      <c r="H46" s="5"/>
      <c r="I46" s="5" cm="1">
        <f t="array" ref="I46">_xlfn.SWITCH(F46,"R",_xlfn.XLOOKUP(E46&amp;"|"&amp;B46,
        Calculate_cap_emi!$I$14:$I$21&amp;"|"&amp;Calculate_cap_emi!$L$14:$L$21,
        Calculate_cap_emi!$W$14:$W$21, "Not found", 0),"Rb",_xlfn.XLOOKUP(E46&amp;"|"&amp;B46,
        Calculate_cap_emi!$I$14:$I$21&amp;"|"&amp;Calculate_cap_emi!$L$14:$L$21,
        Calculate_cap_emi!$Y$14:$Y$21, "Not found", 0),"Rl",_xlfn.XLOOKUP(E46&amp;"|"&amp;B46,
        Calculate_cap_emi!$I$14:$I$21&amp;"|"&amp;Calculate_cap_emi!$L$14:$L$21,
        Calculate_cap_emi!$Z$14:$Z$21, "Not found", 0),0)</f>
        <v>9</v>
      </c>
      <c r="J46" s="5"/>
      <c r="K46" s="5"/>
      <c r="L46" s="5" cm="1">
        <f t="array" ref="L46">_xlfn.SWITCH(F46,"R",_xlfn.XLOOKUP(E46&amp;"|"&amp;B46,
        Calculate_cap_emi!$I$14:$I$21&amp;"|"&amp;Calculate_cap_emi!$L$14:$L$21,
        Calculate_cap_emi!$AC$14:$AC$21, "Not found", 0),"Rb",_xlfn.XLOOKUP(E46&amp;"|"&amp;B46,
        Calculate_cap_emi!$I$14:$I$21&amp;"|"&amp;Calculate_cap_emi!$L$14:$L$21,
        Calculate_cap_emi!$AE$14:$AE$21, "Not found", 0),"Rl",_xlfn.XLOOKUP(E46&amp;"|"&amp;B46,
        Calculate_cap_emi!$I$14:$I$21&amp;"|"&amp;Calculate_cap_emi!$L$14:$L$21,
        Calculate_cap_emi!$AF$14:$AF$21, "Not found", 0),"HP",_xlfn.XLOOKUP(E46&amp;"|"&amp;B46,
        Calculate_cap_emi!$I$14:$I$21&amp;"|"&amp;Calculate_cap_emi!$L$14:$L$21,
        Calculate_cap_emi!$AD$14:$AD$21, "Not found", 0),"HPl",_xlfn.XLOOKUP(E46&amp;"|"&amp;B46,
        Calculate_cap_emi!$I$14:$I$21&amp;"|"&amp;Calculate_cap_emi!$L$14:$L$21,
        Calculate_cap_emi!$AG$14:$AG$21, "Not found", 0),"Missing")</f>
        <v>854.23732415458642</v>
      </c>
      <c r="M46" s="5"/>
      <c r="N46" s="5"/>
      <c r="O46" s="5"/>
      <c r="P46" s="5"/>
      <c r="Q46" s="5" cm="1">
        <f t="array" ref="Q46">_xlfn.SWITCH(F46,"R",_xlfn.XLOOKUP(E46&amp;"|"&amp;B46,
        Calculate_cap_emi!$I$14:$I$21&amp;"|"&amp;Calculate_cap_emi!$L$14:$L$21,
        Calculate_cap_emi!$AJ$14:$AJ$21, "Not found", 0),"Rb",_xlfn.XLOOKUP(E46&amp;"|"&amp;B46,
        Calculate_cap_emi!$I$14:$I$21&amp;"|"&amp;Calculate_cap_emi!$L$14:$L$21,
        Calculate_cap_emi!$AL$14:$AL$21, "Not found", 0),"Rl",_xlfn.XLOOKUP(E46&amp;"|"&amp;B46,
        Calculate_cap_emi!$I$14:$I$21&amp;"|"&amp;Calculate_cap_emi!$L$14:$L$21,
        Calculate_cap_emi!$AM$14:$AM$21, "Not found", 0),"HP",_xlfn.XLOOKUP(E46&amp;"|"&amp;B46,
        Calculate_cap_emi!$I$14:$I$21&amp;"|"&amp;Calculate_cap_emi!$L$14:$L$21,
        Calculate_cap_emi!$AK$14:$AK$21, "Not found", 0),"HPl",_xlfn.XLOOKUP(E46&amp;"|"&amp;B46,
        Calculate_cap_emi!$I$14:$I$21&amp;"|"&amp;Calculate_cap_emi!$L$14:$L$21,
        Calculate_cap_emi!$AN$14:$AN$21, "Not found", 0),"Missing")</f>
        <v>40.40030087174118</v>
      </c>
      <c r="R46" s="5" cm="1">
        <f t="array" ref="R46">_xlfn.SWITCH(F46,"R",_xlfn.XLOOKUP(E46&amp;"|"&amp;B46,
        Calculate_cap_emi!$I$14:$I$21&amp;"|"&amp;Calculate_cap_emi!$L$14:$L$21,
        Calculate_cap_emi!$AQ$14:$AQ$21, "Not found", 0),"Rb",_xlfn.XLOOKUP(E46&amp;"|"&amp;B46,
        Calculate_cap_emi!$I$14:$I$21&amp;"|"&amp;Calculate_cap_emi!$L$14:$L$21,
        Calculate_cap_emi!$AS$14:$AS$21, "Not found", 0),"Rl",_xlfn.XLOOKUP(E46&amp;"|"&amp;B46,
        Calculate_cap_emi!$I$14:$I$21&amp;"|"&amp;Calculate_cap_emi!$L$14:$L$21,
        Calculate_cap_emi!$AT$14:$AT$21, "Not found", 0),"HP",_xlfn.XLOOKUP(E46&amp;"|"&amp;B46,
        Calculate_cap_emi!$I$14:$I$21&amp;"|"&amp;Calculate_cap_emi!$L$14:$L$21,
        Calculate_cap_emi!$AR$14:$AR$21, "Not found", 0),"HPl",_xlfn.XLOOKUP(E46&amp;"|"&amp;B46,
        Calculate_cap_emi!$I$14:$I$21&amp;"|"&amp;Calculate_cap_emi!$L$14:$L$21,
        Calculate_cap_emi!$AU$14:$AU$21, "Not found", 0),"Missing")</f>
        <v>4.4595712132799594</v>
      </c>
      <c r="S46" s="5" cm="1">
        <f t="array" ref="S46">_xlfn.SWITCH(F46,"R",_xlfn.XLOOKUP(E46&amp;"|"&amp;B46,
        Calculate_cap_emi!$I$14:$I$21&amp;"|"&amp;Calculate_cap_emi!$L$14:$L$21,
        Calculate_cap_emi!$AX$14:$AX$21, "Not found", 0),"Rb",_xlfn.XLOOKUP(E46&amp;"|"&amp;B46,
        Calculate_cap_emi!$I$14:$I$21&amp;"|"&amp;Calculate_cap_emi!$L$14:$L$21,
        Calculate_cap_emi!$AZ$14:$AZ$21, "Not found", 0),"Rl",_xlfn.XLOOKUP(E46&amp;"|"&amp;B46,
        Calculate_cap_emi!$I$14:$I$21&amp;"|"&amp;Calculate_cap_emi!$L$14:$L$21,
        Calculate_cap_emi!$BA$14:$BA$21, "Not found", 0),"HP",_xlfn.XLOOKUP(E46&amp;"|"&amp;B46,
        Calculate_cap_emi!$I$14:$I$21&amp;"|"&amp;Calculate_cap_emi!$L$14:$L$21,
        Calculate_cap_emi!$AY$14:$AY$21, "Not found", 0),"HPl",_xlfn.XLOOKUP(E46&amp;"|"&amp;B46,
        Calculate_cap_emi!$I$14:$I$21&amp;"|"&amp;Calculate_cap_emi!$L$14:$L$21,
        Calculate_cap_emi!$BB$14:$BB$21, "Not found", 0),"Missing")</f>
        <v>47.862202711048191</v>
      </c>
      <c r="T46" s="5" cm="1">
        <f t="array" ref="T46">_xlfn.SWITCH(F46,"R",_xlfn.XLOOKUP(E46&amp;"|"&amp;B46,
        Calculate_cap_emi!$I$14:$I$21&amp;"|"&amp;Calculate_cap_emi!$L$14:$L$21,
        Calculate_cap_emi!$BE$14:$BE$21, "Not found", 0),"Rb",_xlfn.XLOOKUP(E46&amp;"|"&amp;B46,
        Calculate_cap_emi!$I$14:$I$21&amp;"|"&amp;Calculate_cap_emi!$L$14:$L$21,
        Calculate_cap_emi!$BG$14:$BG$21, "Not found", 0),"Rl",_xlfn.XLOOKUP(E46&amp;"|"&amp;B46,
        Calculate_cap_emi!$I$14:$I$21&amp;"|"&amp;Calculate_cap_emi!$L$14:$L$21,
        Calculate_cap_emi!$BH$14:$BH$21, "Not found", 0),"HP",_xlfn.XLOOKUP(E46&amp;"|"&amp;B46,
        Calculate_cap_emi!$I$14:$I$21&amp;"|"&amp;Calculate_cap_emi!$L$14:$L$21,
        Calculate_cap_emi!$BF$14:$BF$21, "Not found", 0),"HPl",_xlfn.XLOOKUP(E46&amp;"|"&amp;B46,
        Calculate_cap_emi!$I$14:$I$21&amp;"|"&amp;Calculate_cap_emi!$L$14:$L$21,
        Calculate_cap_emi!$BI$14:$BI$21, "Not found", 0),"Missing")</f>
        <v>0</v>
      </c>
      <c r="U46" s="5" cm="1">
        <f t="array" ref="U46">_xlfn.SWITCH(F46,"R",_xlfn.XLOOKUP(E46&amp;"|"&amp;B46,
        Calculate_cap_emi_sens!$I$14:$I$21&amp;"|"&amp;Calculate_cap_emi_sens!$L$14:$L$21,
        Calculate_cap_emi_sens!$AX$14:$AX$21, "Not found", 0),"Rb",_xlfn.XLOOKUP(E46&amp;"|"&amp;B46,
        Calculate_cap_emi_sens!$I$14:$I$21&amp;"|"&amp;Calculate_cap_emi_sens!$L$14:$L$21,
        Calculate_cap_emi_sens!$AZ$14:$AZ$21, "Not found", 0),"Rl",_xlfn.XLOOKUP(E46&amp;"|"&amp;B46,
        Calculate_cap_emi_sens!$I$14:$I$21&amp;"|"&amp;Calculate_cap_emi_sens!$L$14:$L$21,
        Calculate_cap_emi_sens!$BA$14:$BA$21, "Not found", 0),"HP",_xlfn.XLOOKUP(E46&amp;"|"&amp;B46,
        Calculate_cap_emi_sens!$I$14:$I$21&amp;"|"&amp;Calculate_cap_emi_sens!$L$14:$L$21,
        Calculate_cap_emi_sens!$AY$14:$AY$21, "Not found", 0),"HPl",_xlfn.XLOOKUP(E46&amp;"|"&amp;B46,
        Calculate_cap_emi_sens!$I$14:$I$21&amp;"|"&amp;Calculate_cap_emi_sens!$L$14:$L$21,
        Calculate_cap_emi_sens!$BB$14:$BB$21, "Not found", 0),"Missing")</f>
        <v>47.862202711048191</v>
      </c>
      <c r="V46" s="5" cm="1">
        <f t="array" ref="V46">_xlfn.SWITCH(F46,"R",_xlfn.XLOOKUP(E46&amp;"|"&amp;B46,
        Calculate_cap_emi_sens!$I$14:$I$21&amp;"|"&amp;Calculate_cap_emi_sens!$L$14:$L$21,
        Calculate_cap_emi_sens!$BE$14:$BE$21, "Not found", 0),"Rb",_xlfn.XLOOKUP(E46&amp;"|"&amp;B46,
        Calculate_cap_emi_sens!$I$14:$I$21&amp;"|"&amp;Calculate_cap_emi_sens!$L$14:$L$21,
        Calculate_cap_emi_sens!$BG$14:$BG$21, "Not found", 0),"Rl",_xlfn.XLOOKUP(E46&amp;"|"&amp;B46,
        Calculate_cap_emi_sens!$I$14:$I$21&amp;"|"&amp;Calculate_cap_emi_sens!$L$14:$L$21,
        Calculate_cap_emi_sens!$BH$14:$BH$21, "Not found", 0),"HP",_xlfn.XLOOKUP(E46&amp;"|"&amp;B46,
        Calculate_cap_emi_sens!$I$14:$I$21&amp;"|"&amp;Calculate_cap_emi_sens!$L$14:$L$21,
        Calculate_cap_emi_sens!$BF$14:$BF$21, "Not found", 0),"HPl",_xlfn.XLOOKUP(E46&amp;"|"&amp;B46,
        Calculate_cap_emi_sens!$I$14:$I$21&amp;"|"&amp;Calculate_cap_emi_sens!$L$14:$L$21,
        Calculate_cap_emi_sens!$BI$14:$BI$21, "Not found", 0),"Missing")</f>
        <v>0</v>
      </c>
      <c r="W46" s="5">
        <f>Results_proc_ener!L46</f>
        <v>22434.482901913987</v>
      </c>
      <c r="X46" s="5">
        <f>Results_proc_ener!M46</f>
        <v>0</v>
      </c>
      <c r="Y46" s="5">
        <f>Results_proc_ener!N46</f>
        <v>0</v>
      </c>
      <c r="Z46" s="5">
        <f>Results_proc_ener!O46</f>
        <v>0</v>
      </c>
      <c r="AA46" s="5">
        <f>Results_proc_ener!P46</f>
        <v>0</v>
      </c>
      <c r="AB46" s="5">
        <f>Results_proc_ener!Q46</f>
        <v>855.62358760557004</v>
      </c>
      <c r="AC46" s="5">
        <f>Results_proc_ener!R46</f>
        <v>16.217788143342634</v>
      </c>
      <c r="AD46" s="5">
        <f>Results_proc_ener!S46</f>
        <v>94.089191513143973</v>
      </c>
      <c r="AE46" s="5">
        <f>Results_proc_ener!T46</f>
        <v>0</v>
      </c>
    </row>
    <row r="47" spans="1:31" x14ac:dyDescent="0.25">
      <c r="A47" s="5" t="s">
        <v>8</v>
      </c>
      <c r="B47" s="5" t="str">
        <f t="shared" si="0"/>
        <v>Mod-Nom</v>
      </c>
      <c r="C47" s="5" t="str">
        <f t="shared" si="1"/>
        <v>Mod</v>
      </c>
      <c r="D47" s="5" t="str">
        <f t="shared" si="2"/>
        <v>Nom</v>
      </c>
      <c r="E47" s="5" t="s">
        <v>11</v>
      </c>
      <c r="F47" s="5" t="s">
        <v>14</v>
      </c>
      <c r="G47" s="5"/>
      <c r="H47" s="5"/>
      <c r="I47" s="5" cm="1">
        <f t="array" ref="I47">_xlfn.SWITCH(F47,"R",_xlfn.XLOOKUP(E47&amp;"|"&amp;B47,
        Calculate_cap_emi!$I$14:$I$21&amp;"|"&amp;Calculate_cap_emi!$L$14:$L$21,
        Calculate_cap_emi!$W$14:$W$21, "Not found", 0),"Rb",_xlfn.XLOOKUP(E47&amp;"|"&amp;B47,
        Calculate_cap_emi!$I$14:$I$21&amp;"|"&amp;Calculate_cap_emi!$L$14:$L$21,
        Calculate_cap_emi!$Y$14:$Y$21, "Not found", 0),"Rl",_xlfn.XLOOKUP(E47&amp;"|"&amp;B47,
        Calculate_cap_emi!$I$14:$I$21&amp;"|"&amp;Calculate_cap_emi!$L$14:$L$21,
        Calculate_cap_emi!$Z$14:$Z$21, "Not found", 0),0)</f>
        <v>9</v>
      </c>
      <c r="J47" s="5"/>
      <c r="K47" s="5"/>
      <c r="L47" s="5" cm="1">
        <f t="array" ref="L47">_xlfn.SWITCH(F47,"R",_xlfn.XLOOKUP(E47&amp;"|"&amp;B47,
        Calculate_cap_emi!$I$14:$I$21&amp;"|"&amp;Calculate_cap_emi!$L$14:$L$21,
        Calculate_cap_emi!$AC$14:$AC$21, "Not found", 0),"Rb",_xlfn.XLOOKUP(E47&amp;"|"&amp;B47,
        Calculate_cap_emi!$I$14:$I$21&amp;"|"&amp;Calculate_cap_emi!$L$14:$L$21,
        Calculate_cap_emi!$AE$14:$AE$21, "Not found", 0),"Rl",_xlfn.XLOOKUP(E47&amp;"|"&amp;B47,
        Calculate_cap_emi!$I$14:$I$21&amp;"|"&amp;Calculate_cap_emi!$L$14:$L$21,
        Calculate_cap_emi!$AF$14:$AF$21, "Not found", 0),"HP",_xlfn.XLOOKUP(E47&amp;"|"&amp;B47,
        Calculate_cap_emi!$I$14:$I$21&amp;"|"&amp;Calculate_cap_emi!$L$14:$L$21,
        Calculate_cap_emi!$AD$14:$AD$21, "Not found", 0),"HPl",_xlfn.XLOOKUP(E47&amp;"|"&amp;B47,
        Calculate_cap_emi!$I$14:$I$21&amp;"|"&amp;Calculate_cap_emi!$L$14:$L$21,
        Calculate_cap_emi!$AG$14:$AG$21, "Not found", 0),"Missing")</f>
        <v>854.23732415458642</v>
      </c>
      <c r="M47" s="5"/>
      <c r="N47" s="5"/>
      <c r="O47" s="5"/>
      <c r="P47" s="5"/>
      <c r="Q47" s="5" cm="1">
        <f t="array" ref="Q47">_xlfn.SWITCH(F47,"R",_xlfn.XLOOKUP(E47&amp;"|"&amp;B47,
        Calculate_cap_emi!$I$14:$I$21&amp;"|"&amp;Calculate_cap_emi!$L$14:$L$21,
        Calculate_cap_emi!$AJ$14:$AJ$21, "Not found", 0),"Rb",_xlfn.XLOOKUP(E47&amp;"|"&amp;B47,
        Calculate_cap_emi!$I$14:$I$21&amp;"|"&amp;Calculate_cap_emi!$L$14:$L$21,
        Calculate_cap_emi!$AL$14:$AL$21, "Not found", 0),"Rl",_xlfn.XLOOKUP(E47&amp;"|"&amp;B47,
        Calculate_cap_emi!$I$14:$I$21&amp;"|"&amp;Calculate_cap_emi!$L$14:$L$21,
        Calculate_cap_emi!$AM$14:$AM$21, "Not found", 0),"HP",_xlfn.XLOOKUP(E47&amp;"|"&amp;B47,
        Calculate_cap_emi!$I$14:$I$21&amp;"|"&amp;Calculate_cap_emi!$L$14:$L$21,
        Calculate_cap_emi!$AK$14:$AK$21, "Not found", 0),"HPl",_xlfn.XLOOKUP(E47&amp;"|"&amp;B47,
        Calculate_cap_emi!$I$14:$I$21&amp;"|"&amp;Calculate_cap_emi!$L$14:$L$21,
        Calculate_cap_emi!$AN$14:$AN$21, "Not found", 0),"Missing")</f>
        <v>40.40030087174118</v>
      </c>
      <c r="R47" s="5" cm="1">
        <f t="array" ref="R47">_xlfn.SWITCH(F47,"R",_xlfn.XLOOKUP(E47&amp;"|"&amp;B47,
        Calculate_cap_emi!$I$14:$I$21&amp;"|"&amp;Calculate_cap_emi!$L$14:$L$21,
        Calculate_cap_emi!$AQ$14:$AQ$21, "Not found", 0),"Rb",_xlfn.XLOOKUP(E47&amp;"|"&amp;B47,
        Calculate_cap_emi!$I$14:$I$21&amp;"|"&amp;Calculate_cap_emi!$L$14:$L$21,
        Calculate_cap_emi!$AS$14:$AS$21, "Not found", 0),"Rl",_xlfn.XLOOKUP(E47&amp;"|"&amp;B47,
        Calculate_cap_emi!$I$14:$I$21&amp;"|"&amp;Calculate_cap_emi!$L$14:$L$21,
        Calculate_cap_emi!$AT$14:$AT$21, "Not found", 0),"HP",_xlfn.XLOOKUP(E47&amp;"|"&amp;B47,
        Calculate_cap_emi!$I$14:$I$21&amp;"|"&amp;Calculate_cap_emi!$L$14:$L$21,
        Calculate_cap_emi!$AR$14:$AR$21, "Not found", 0),"HPl",_xlfn.XLOOKUP(E47&amp;"|"&amp;B47,
        Calculate_cap_emi!$I$14:$I$21&amp;"|"&amp;Calculate_cap_emi!$L$14:$L$21,
        Calculate_cap_emi!$AU$14:$AU$21, "Not found", 0),"Missing")</f>
        <v>4.4595712132799594</v>
      </c>
      <c r="S47" s="5" cm="1">
        <f t="array" ref="S47">_xlfn.SWITCH(F47,"R",_xlfn.XLOOKUP(E47&amp;"|"&amp;B47,
        Calculate_cap_emi!$I$14:$I$21&amp;"|"&amp;Calculate_cap_emi!$L$14:$L$21,
        Calculate_cap_emi!$AX$14:$AX$21, "Not found", 0),"Rb",_xlfn.XLOOKUP(E47&amp;"|"&amp;B47,
        Calculate_cap_emi!$I$14:$I$21&amp;"|"&amp;Calculate_cap_emi!$L$14:$L$21,
        Calculate_cap_emi!$AZ$14:$AZ$21, "Not found", 0),"Rl",_xlfn.XLOOKUP(E47&amp;"|"&amp;B47,
        Calculate_cap_emi!$I$14:$I$21&amp;"|"&amp;Calculate_cap_emi!$L$14:$L$21,
        Calculate_cap_emi!$BA$14:$BA$21, "Not found", 0),"HP",_xlfn.XLOOKUP(E47&amp;"|"&amp;B47,
        Calculate_cap_emi!$I$14:$I$21&amp;"|"&amp;Calculate_cap_emi!$L$14:$L$21,
        Calculate_cap_emi!$AY$14:$AY$21, "Not found", 0),"HPl",_xlfn.XLOOKUP(E47&amp;"|"&amp;B47,
        Calculate_cap_emi!$I$14:$I$21&amp;"|"&amp;Calculate_cap_emi!$L$14:$L$21,
        Calculate_cap_emi!$BB$14:$BB$21, "Not found", 0),"Missing")</f>
        <v>47.862202711048191</v>
      </c>
      <c r="T47" s="5" cm="1">
        <f t="array" ref="T47">_xlfn.SWITCH(F47,"R",_xlfn.XLOOKUP(E47&amp;"|"&amp;B47,
        Calculate_cap_emi!$I$14:$I$21&amp;"|"&amp;Calculate_cap_emi!$L$14:$L$21,
        Calculate_cap_emi!$BE$14:$BE$21, "Not found", 0),"Rb",_xlfn.XLOOKUP(E47&amp;"|"&amp;B47,
        Calculate_cap_emi!$I$14:$I$21&amp;"|"&amp;Calculate_cap_emi!$L$14:$L$21,
        Calculate_cap_emi!$BG$14:$BG$21, "Not found", 0),"Rl",_xlfn.XLOOKUP(E47&amp;"|"&amp;B47,
        Calculate_cap_emi!$I$14:$I$21&amp;"|"&amp;Calculate_cap_emi!$L$14:$L$21,
        Calculate_cap_emi!$BH$14:$BH$21, "Not found", 0),"HP",_xlfn.XLOOKUP(E47&amp;"|"&amp;B47,
        Calculate_cap_emi!$I$14:$I$21&amp;"|"&amp;Calculate_cap_emi!$L$14:$L$21,
        Calculate_cap_emi!$BF$14:$BF$21, "Not found", 0),"HPl",_xlfn.XLOOKUP(E47&amp;"|"&amp;B47,
        Calculate_cap_emi!$I$14:$I$21&amp;"|"&amp;Calculate_cap_emi!$L$14:$L$21,
        Calculate_cap_emi!$BI$14:$BI$21, "Not found", 0),"Missing")</f>
        <v>0</v>
      </c>
      <c r="U47" s="5" cm="1">
        <f t="array" ref="U47">_xlfn.SWITCH(F47,"R",_xlfn.XLOOKUP(E47&amp;"|"&amp;B47,
        Calculate_cap_emi_sens!$I$14:$I$21&amp;"|"&amp;Calculate_cap_emi_sens!$L$14:$L$21,
        Calculate_cap_emi_sens!$AX$14:$AX$21, "Not found", 0),"Rb",_xlfn.XLOOKUP(E47&amp;"|"&amp;B47,
        Calculate_cap_emi_sens!$I$14:$I$21&amp;"|"&amp;Calculate_cap_emi_sens!$L$14:$L$21,
        Calculate_cap_emi_sens!$AZ$14:$AZ$21, "Not found", 0),"Rl",_xlfn.XLOOKUP(E47&amp;"|"&amp;B47,
        Calculate_cap_emi_sens!$I$14:$I$21&amp;"|"&amp;Calculate_cap_emi_sens!$L$14:$L$21,
        Calculate_cap_emi_sens!$BA$14:$BA$21, "Not found", 0),"HP",_xlfn.XLOOKUP(E47&amp;"|"&amp;B47,
        Calculate_cap_emi_sens!$I$14:$I$21&amp;"|"&amp;Calculate_cap_emi_sens!$L$14:$L$21,
        Calculate_cap_emi_sens!$AY$14:$AY$21, "Not found", 0),"HPl",_xlfn.XLOOKUP(E47&amp;"|"&amp;B47,
        Calculate_cap_emi_sens!$I$14:$I$21&amp;"|"&amp;Calculate_cap_emi_sens!$L$14:$L$21,
        Calculate_cap_emi_sens!$BB$14:$BB$21, "Not found", 0),"Missing")</f>
        <v>47.862202711048191</v>
      </c>
      <c r="V47" s="5" cm="1">
        <f t="array" ref="V47">_xlfn.SWITCH(F47,"R",_xlfn.XLOOKUP(E47&amp;"|"&amp;B47,
        Calculate_cap_emi_sens!$I$14:$I$21&amp;"|"&amp;Calculate_cap_emi_sens!$L$14:$L$21,
        Calculate_cap_emi_sens!$BE$14:$BE$21, "Not found", 0),"Rb",_xlfn.XLOOKUP(E47&amp;"|"&amp;B47,
        Calculate_cap_emi_sens!$I$14:$I$21&amp;"|"&amp;Calculate_cap_emi_sens!$L$14:$L$21,
        Calculate_cap_emi_sens!$BG$14:$BG$21, "Not found", 0),"Rl",_xlfn.XLOOKUP(E47&amp;"|"&amp;B47,
        Calculate_cap_emi_sens!$I$14:$I$21&amp;"|"&amp;Calculate_cap_emi_sens!$L$14:$L$21,
        Calculate_cap_emi_sens!$BH$14:$BH$21, "Not found", 0),"HP",_xlfn.XLOOKUP(E47&amp;"|"&amp;B47,
        Calculate_cap_emi_sens!$I$14:$I$21&amp;"|"&amp;Calculate_cap_emi_sens!$L$14:$L$21,
        Calculate_cap_emi_sens!$BF$14:$BF$21, "Not found", 0),"HPl",_xlfn.XLOOKUP(E47&amp;"|"&amp;B47,
        Calculate_cap_emi_sens!$I$14:$I$21&amp;"|"&amp;Calculate_cap_emi_sens!$L$14:$L$21,
        Calculate_cap_emi_sens!$BI$14:$BI$21, "Not found", 0),"Missing")</f>
        <v>0</v>
      </c>
      <c r="W47" s="5">
        <f>Results_proc_ener!L47</f>
        <v>22434.482901913987</v>
      </c>
      <c r="X47" s="5">
        <f>Results_proc_ener!M47</f>
        <v>0</v>
      </c>
      <c r="Y47" s="5">
        <f>Results_proc_ener!N47</f>
        <v>0</v>
      </c>
      <c r="Z47" s="5">
        <f>Results_proc_ener!O47</f>
        <v>0</v>
      </c>
      <c r="AA47" s="5">
        <f>Results_proc_ener!P47</f>
        <v>0</v>
      </c>
      <c r="AB47" s="5">
        <f>Results_proc_ener!Q47</f>
        <v>855.62358760557004</v>
      </c>
      <c r="AC47" s="5">
        <f>Results_proc_ener!R47</f>
        <v>16.217788143342634</v>
      </c>
      <c r="AD47" s="5">
        <f>Results_proc_ener!S47</f>
        <v>94.089191513143973</v>
      </c>
      <c r="AE47" s="5">
        <f>Results_proc_ener!T47</f>
        <v>0</v>
      </c>
    </row>
    <row r="48" spans="1:31" x14ac:dyDescent="0.25">
      <c r="A48" s="5" t="s">
        <v>9</v>
      </c>
      <c r="B48" s="5" t="str">
        <f t="shared" si="0"/>
        <v>Mod-H1</v>
      </c>
      <c r="C48" s="5" t="str">
        <f t="shared" si="1"/>
        <v>Mod</v>
      </c>
      <c r="D48" s="5" t="str">
        <f t="shared" si="2"/>
        <v>H1</v>
      </c>
      <c r="E48" s="5" t="s">
        <v>11</v>
      </c>
      <c r="F48" s="5" t="s">
        <v>14</v>
      </c>
      <c r="G48" s="5"/>
      <c r="H48" s="5"/>
      <c r="I48" s="5" cm="1">
        <f t="array" ref="I48">_xlfn.SWITCH(F48,"R",_xlfn.XLOOKUP(E48&amp;"|"&amp;B48,
        Calculate_cap_emi!$I$14:$I$21&amp;"|"&amp;Calculate_cap_emi!$L$14:$L$21,
        Calculate_cap_emi!$W$14:$W$21, "Not found", 0),"Rb",_xlfn.XLOOKUP(E48&amp;"|"&amp;B48,
        Calculate_cap_emi!$I$14:$I$21&amp;"|"&amp;Calculate_cap_emi!$L$14:$L$21,
        Calculate_cap_emi!$Y$14:$Y$21, "Not found", 0),"Rl",_xlfn.XLOOKUP(E48&amp;"|"&amp;B48,
        Calculate_cap_emi!$I$14:$I$21&amp;"|"&amp;Calculate_cap_emi!$L$14:$L$21,
        Calculate_cap_emi!$Z$14:$Z$21, "Not found", 0),0)</f>
        <v>8</v>
      </c>
      <c r="J48" s="5"/>
      <c r="K48" s="5"/>
      <c r="L48" s="5" cm="1">
        <f t="array" ref="L48">_xlfn.SWITCH(F48,"R",_xlfn.XLOOKUP(E48&amp;"|"&amp;B48,
        Calculate_cap_emi!$I$14:$I$21&amp;"|"&amp;Calculate_cap_emi!$L$14:$L$21,
        Calculate_cap_emi!$AC$14:$AC$21, "Not found", 0),"Rb",_xlfn.XLOOKUP(E48&amp;"|"&amp;B48,
        Calculate_cap_emi!$I$14:$I$21&amp;"|"&amp;Calculate_cap_emi!$L$14:$L$21,
        Calculate_cap_emi!$AE$14:$AE$21, "Not found", 0),"Rl",_xlfn.XLOOKUP(E48&amp;"|"&amp;B48,
        Calculate_cap_emi!$I$14:$I$21&amp;"|"&amp;Calculate_cap_emi!$L$14:$L$21,
        Calculate_cap_emi!$AF$14:$AF$21, "Not found", 0),"HP",_xlfn.XLOOKUP(E48&amp;"|"&amp;B48,
        Calculate_cap_emi!$I$14:$I$21&amp;"|"&amp;Calculate_cap_emi!$L$14:$L$21,
        Calculate_cap_emi!$AD$14:$AD$21, "Not found", 0),"HPl",_xlfn.XLOOKUP(E48&amp;"|"&amp;B48,
        Calculate_cap_emi!$I$14:$I$21&amp;"|"&amp;Calculate_cap_emi!$L$14:$L$21,
        Calculate_cap_emi!$AG$14:$AG$21, "Not found", 0),"Missing")</f>
        <v>808.49693597579153</v>
      </c>
      <c r="M48" s="5"/>
      <c r="N48" s="5"/>
      <c r="O48" s="5"/>
      <c r="P48" s="5"/>
      <c r="Q48" s="5" cm="1">
        <f t="array" ref="Q48">_xlfn.SWITCH(F48,"R",_xlfn.XLOOKUP(E48&amp;"|"&amp;B48,
        Calculate_cap_emi!$I$14:$I$21&amp;"|"&amp;Calculate_cap_emi!$L$14:$L$21,
        Calculate_cap_emi!$AJ$14:$AJ$21, "Not found", 0),"Rb",_xlfn.XLOOKUP(E48&amp;"|"&amp;B48,
        Calculate_cap_emi!$I$14:$I$21&amp;"|"&amp;Calculate_cap_emi!$L$14:$L$21,
        Calculate_cap_emi!$AL$14:$AL$21, "Not found", 0),"Rl",_xlfn.XLOOKUP(E48&amp;"|"&amp;B48,
        Calculate_cap_emi!$I$14:$I$21&amp;"|"&amp;Calculate_cap_emi!$L$14:$L$21,
        Calculate_cap_emi!$AM$14:$AM$21, "Not found", 0),"HP",_xlfn.XLOOKUP(E48&amp;"|"&amp;B48,
        Calculate_cap_emi!$I$14:$I$21&amp;"|"&amp;Calculate_cap_emi!$L$14:$L$21,
        Calculate_cap_emi!$AK$14:$AK$21, "Not found", 0),"HPl",_xlfn.XLOOKUP(E48&amp;"|"&amp;B48,
        Calculate_cap_emi!$I$14:$I$21&amp;"|"&amp;Calculate_cap_emi!$L$14:$L$21,
        Calculate_cap_emi!$AN$14:$AN$21, "Not found", 0),"Missing")</f>
        <v>37.396488708847059</v>
      </c>
      <c r="R48" s="5" cm="1">
        <f t="array" ref="R48">_xlfn.SWITCH(F48,"R",_xlfn.XLOOKUP(E48&amp;"|"&amp;B48,
        Calculate_cap_emi!$I$14:$I$21&amp;"|"&amp;Calculate_cap_emi!$L$14:$L$21,
        Calculate_cap_emi!$AQ$14:$AQ$21, "Not found", 0),"Rb",_xlfn.XLOOKUP(E48&amp;"|"&amp;B48,
        Calculate_cap_emi!$I$14:$I$21&amp;"|"&amp;Calculate_cap_emi!$L$14:$L$21,
        Calculate_cap_emi!$AS$14:$AS$21, "Not found", 0),"Rl",_xlfn.XLOOKUP(E48&amp;"|"&amp;B48,
        Calculate_cap_emi!$I$14:$I$21&amp;"|"&amp;Calculate_cap_emi!$L$14:$L$21,
        Calculate_cap_emi!$AT$14:$AT$21, "Not found", 0),"HP",_xlfn.XLOOKUP(E48&amp;"|"&amp;B48,
        Calculate_cap_emi!$I$14:$I$21&amp;"|"&amp;Calculate_cap_emi!$L$14:$L$21,
        Calculate_cap_emi!$AR$14:$AR$21, "Not found", 0),"HPl",_xlfn.XLOOKUP(E48&amp;"|"&amp;B48,
        Calculate_cap_emi!$I$14:$I$21&amp;"|"&amp;Calculate_cap_emi!$L$14:$L$21,
        Calculate_cap_emi!$AU$14:$AU$21, "Not found", 0),"Missing")</f>
        <v>4.3406258301138019</v>
      </c>
      <c r="S48" s="5" cm="1">
        <f t="array" ref="S48">_xlfn.SWITCH(F48,"R",_xlfn.XLOOKUP(E48&amp;"|"&amp;B48,
        Calculate_cap_emi!$I$14:$I$21&amp;"|"&amp;Calculate_cap_emi!$L$14:$L$21,
        Calculate_cap_emi!$AX$14:$AX$21, "Not found", 0),"Rb",_xlfn.XLOOKUP(E48&amp;"|"&amp;B48,
        Calculate_cap_emi!$I$14:$I$21&amp;"|"&amp;Calculate_cap_emi!$L$14:$L$21,
        Calculate_cap_emi!$AZ$14:$AZ$21, "Not found", 0),"Rl",_xlfn.XLOOKUP(E48&amp;"|"&amp;B48,
        Calculate_cap_emi!$I$14:$I$21&amp;"|"&amp;Calculate_cap_emi!$L$14:$L$21,
        Calculate_cap_emi!$BA$14:$BA$21, "Not found", 0),"HP",_xlfn.XLOOKUP(E48&amp;"|"&amp;B48,
        Calculate_cap_emi!$I$14:$I$21&amp;"|"&amp;Calculate_cap_emi!$L$14:$L$21,
        Calculate_cap_emi!$AY$14:$AY$21, "Not found", 0),"HPl",_xlfn.XLOOKUP(E48&amp;"|"&amp;B48,
        Calculate_cap_emi!$I$14:$I$21&amp;"|"&amp;Calculate_cap_emi!$L$14:$L$21,
        Calculate_cap_emi!$BB$14:$BB$21, "Not found", 0),"Missing")</f>
        <v>44.331785755438688</v>
      </c>
      <c r="T48" s="5" cm="1">
        <f t="array" ref="T48">_xlfn.SWITCH(F48,"R",_xlfn.XLOOKUP(E48&amp;"|"&amp;B48,
        Calculate_cap_emi!$I$14:$I$21&amp;"|"&amp;Calculate_cap_emi!$L$14:$L$21,
        Calculate_cap_emi!$BE$14:$BE$21, "Not found", 0),"Rb",_xlfn.XLOOKUP(E48&amp;"|"&amp;B48,
        Calculate_cap_emi!$I$14:$I$21&amp;"|"&amp;Calculate_cap_emi!$L$14:$L$21,
        Calculate_cap_emi!$BG$14:$BG$21, "Not found", 0),"Rl",_xlfn.XLOOKUP(E48&amp;"|"&amp;B48,
        Calculate_cap_emi!$I$14:$I$21&amp;"|"&amp;Calculate_cap_emi!$L$14:$L$21,
        Calculate_cap_emi!$BH$14:$BH$21, "Not found", 0),"HP",_xlfn.XLOOKUP(E48&amp;"|"&amp;B48,
        Calculate_cap_emi!$I$14:$I$21&amp;"|"&amp;Calculate_cap_emi!$L$14:$L$21,
        Calculate_cap_emi!$BF$14:$BF$21, "Not found", 0),"HPl",_xlfn.XLOOKUP(E48&amp;"|"&amp;B48,
        Calculate_cap_emi!$I$14:$I$21&amp;"|"&amp;Calculate_cap_emi!$L$14:$L$21,
        Calculate_cap_emi!$BI$14:$BI$21, "Not found", 0),"Missing")</f>
        <v>0</v>
      </c>
      <c r="U48" s="5" cm="1">
        <f t="array" ref="U48">_xlfn.SWITCH(F48,"R",_xlfn.XLOOKUP(E48&amp;"|"&amp;B48,
        Calculate_cap_emi_sens!$I$14:$I$21&amp;"|"&amp;Calculate_cap_emi_sens!$L$14:$L$21,
        Calculate_cap_emi_sens!$AX$14:$AX$21, "Not found", 0),"Rb",_xlfn.XLOOKUP(E48&amp;"|"&amp;B48,
        Calculate_cap_emi_sens!$I$14:$I$21&amp;"|"&amp;Calculate_cap_emi_sens!$L$14:$L$21,
        Calculate_cap_emi_sens!$AZ$14:$AZ$21, "Not found", 0),"Rl",_xlfn.XLOOKUP(E48&amp;"|"&amp;B48,
        Calculate_cap_emi_sens!$I$14:$I$21&amp;"|"&amp;Calculate_cap_emi_sens!$L$14:$L$21,
        Calculate_cap_emi_sens!$BA$14:$BA$21, "Not found", 0),"HP",_xlfn.XLOOKUP(E48&amp;"|"&amp;B48,
        Calculate_cap_emi_sens!$I$14:$I$21&amp;"|"&amp;Calculate_cap_emi_sens!$L$14:$L$21,
        Calculate_cap_emi_sens!$AY$14:$AY$21, "Not found", 0),"HPl",_xlfn.XLOOKUP(E48&amp;"|"&amp;B48,
        Calculate_cap_emi_sens!$I$14:$I$21&amp;"|"&amp;Calculate_cap_emi_sens!$L$14:$L$21,
        Calculate_cap_emi_sens!$BB$14:$BB$21, "Not found", 0),"Missing")</f>
        <v>44.331785755438688</v>
      </c>
      <c r="V48" s="5" cm="1">
        <f t="array" ref="V48">_xlfn.SWITCH(F48,"R",_xlfn.XLOOKUP(E48&amp;"|"&amp;B48,
        Calculate_cap_emi_sens!$I$14:$I$21&amp;"|"&amp;Calculate_cap_emi_sens!$L$14:$L$21,
        Calculate_cap_emi_sens!$BE$14:$BE$21, "Not found", 0),"Rb",_xlfn.XLOOKUP(E48&amp;"|"&amp;B48,
        Calculate_cap_emi_sens!$I$14:$I$21&amp;"|"&amp;Calculate_cap_emi_sens!$L$14:$L$21,
        Calculate_cap_emi_sens!$BG$14:$BG$21, "Not found", 0),"Rl",_xlfn.XLOOKUP(E48&amp;"|"&amp;B48,
        Calculate_cap_emi_sens!$I$14:$I$21&amp;"|"&amp;Calculate_cap_emi_sens!$L$14:$L$21,
        Calculate_cap_emi_sens!$BH$14:$BH$21, "Not found", 0),"HP",_xlfn.XLOOKUP(E48&amp;"|"&amp;B48,
        Calculate_cap_emi_sens!$I$14:$I$21&amp;"|"&amp;Calculate_cap_emi_sens!$L$14:$L$21,
        Calculate_cap_emi_sens!$BF$14:$BF$21, "Not found", 0),"HPl",_xlfn.XLOOKUP(E48&amp;"|"&amp;B48,
        Calculate_cap_emi_sens!$I$14:$I$21&amp;"|"&amp;Calculate_cap_emi_sens!$L$14:$L$21,
        Calculate_cap_emi_sens!$BI$14:$BI$21, "Not found", 0),"Missing")</f>
        <v>0</v>
      </c>
      <c r="W48" s="5">
        <f>Results_proc_ener!L48</f>
        <v>21205.09630350121</v>
      </c>
      <c r="X48" s="5">
        <f>Results_proc_ener!M48</f>
        <v>0</v>
      </c>
      <c r="Y48" s="5">
        <f>Results_proc_ener!N48</f>
        <v>0</v>
      </c>
      <c r="Z48" s="5">
        <f>Results_proc_ener!O48</f>
        <v>0</v>
      </c>
      <c r="AA48" s="5">
        <f>Results_proc_ener!P48</f>
        <v>0</v>
      </c>
      <c r="AB48" s="5">
        <f>Results_proc_ener!Q48</f>
        <v>792.00691931718006</v>
      </c>
      <c r="AC48" s="5">
        <f>Results_proc_ener!R48</f>
        <v>15.387509135429376</v>
      </c>
      <c r="AD48" s="5">
        <f>Results_proc_ener!S48</f>
        <v>90.320834391341165</v>
      </c>
      <c r="AE48" s="5">
        <f>Results_proc_ener!T48</f>
        <v>0</v>
      </c>
    </row>
    <row r="49" spans="1:31" x14ac:dyDescent="0.25">
      <c r="A49" s="5" t="s">
        <v>10</v>
      </c>
      <c r="B49" s="5" t="str">
        <f t="shared" si="0"/>
        <v>Mod-H1</v>
      </c>
      <c r="C49" s="5" t="str">
        <f t="shared" si="1"/>
        <v>Mod</v>
      </c>
      <c r="D49" s="5" t="str">
        <f t="shared" si="2"/>
        <v>H1</v>
      </c>
      <c r="E49" s="5" t="s">
        <v>11</v>
      </c>
      <c r="F49" s="5" t="s">
        <v>14</v>
      </c>
      <c r="G49" s="5"/>
      <c r="H49" s="5"/>
      <c r="I49" s="5" cm="1">
        <f t="array" ref="I49">_xlfn.SWITCH(F49,"R",_xlfn.XLOOKUP(E49&amp;"|"&amp;B49,
        Calculate_cap_emi!$I$14:$I$21&amp;"|"&amp;Calculate_cap_emi!$L$14:$L$21,
        Calculate_cap_emi!$W$14:$W$21, "Not found", 0),"Rb",_xlfn.XLOOKUP(E49&amp;"|"&amp;B49,
        Calculate_cap_emi!$I$14:$I$21&amp;"|"&amp;Calculate_cap_emi!$L$14:$L$21,
        Calculate_cap_emi!$Y$14:$Y$21, "Not found", 0),"Rl",_xlfn.XLOOKUP(E49&amp;"|"&amp;B49,
        Calculate_cap_emi!$I$14:$I$21&amp;"|"&amp;Calculate_cap_emi!$L$14:$L$21,
        Calculate_cap_emi!$Z$14:$Z$21, "Not found", 0),0)</f>
        <v>8</v>
      </c>
      <c r="J49" s="5"/>
      <c r="K49" s="5"/>
      <c r="L49" s="5" cm="1">
        <f t="array" ref="L49">_xlfn.SWITCH(F49,"R",_xlfn.XLOOKUP(E49&amp;"|"&amp;B49,
        Calculate_cap_emi!$I$14:$I$21&amp;"|"&amp;Calculate_cap_emi!$L$14:$L$21,
        Calculate_cap_emi!$AC$14:$AC$21, "Not found", 0),"Rb",_xlfn.XLOOKUP(E49&amp;"|"&amp;B49,
        Calculate_cap_emi!$I$14:$I$21&amp;"|"&amp;Calculate_cap_emi!$L$14:$L$21,
        Calculate_cap_emi!$AE$14:$AE$21, "Not found", 0),"Rl",_xlfn.XLOOKUP(E49&amp;"|"&amp;B49,
        Calculate_cap_emi!$I$14:$I$21&amp;"|"&amp;Calculate_cap_emi!$L$14:$L$21,
        Calculate_cap_emi!$AF$14:$AF$21, "Not found", 0),"HP",_xlfn.XLOOKUP(E49&amp;"|"&amp;B49,
        Calculate_cap_emi!$I$14:$I$21&amp;"|"&amp;Calculate_cap_emi!$L$14:$L$21,
        Calculate_cap_emi!$AD$14:$AD$21, "Not found", 0),"HPl",_xlfn.XLOOKUP(E49&amp;"|"&amp;B49,
        Calculate_cap_emi!$I$14:$I$21&amp;"|"&amp;Calculate_cap_emi!$L$14:$L$21,
        Calculate_cap_emi!$AG$14:$AG$21, "Not found", 0),"Missing")</f>
        <v>808.49693597579153</v>
      </c>
      <c r="M49" s="5"/>
      <c r="N49" s="5"/>
      <c r="O49" s="5"/>
      <c r="P49" s="5"/>
      <c r="Q49" s="5" cm="1">
        <f t="array" ref="Q49">_xlfn.SWITCH(F49,"R",_xlfn.XLOOKUP(E49&amp;"|"&amp;B49,
        Calculate_cap_emi!$I$14:$I$21&amp;"|"&amp;Calculate_cap_emi!$L$14:$L$21,
        Calculate_cap_emi!$AJ$14:$AJ$21, "Not found", 0),"Rb",_xlfn.XLOOKUP(E49&amp;"|"&amp;B49,
        Calculate_cap_emi!$I$14:$I$21&amp;"|"&amp;Calculate_cap_emi!$L$14:$L$21,
        Calculate_cap_emi!$AL$14:$AL$21, "Not found", 0),"Rl",_xlfn.XLOOKUP(E49&amp;"|"&amp;B49,
        Calculate_cap_emi!$I$14:$I$21&amp;"|"&amp;Calculate_cap_emi!$L$14:$L$21,
        Calculate_cap_emi!$AM$14:$AM$21, "Not found", 0),"HP",_xlfn.XLOOKUP(E49&amp;"|"&amp;B49,
        Calculate_cap_emi!$I$14:$I$21&amp;"|"&amp;Calculate_cap_emi!$L$14:$L$21,
        Calculate_cap_emi!$AK$14:$AK$21, "Not found", 0),"HPl",_xlfn.XLOOKUP(E49&amp;"|"&amp;B49,
        Calculate_cap_emi!$I$14:$I$21&amp;"|"&amp;Calculate_cap_emi!$L$14:$L$21,
        Calculate_cap_emi!$AN$14:$AN$21, "Not found", 0),"Missing")</f>
        <v>37.396488708847059</v>
      </c>
      <c r="R49" s="5" cm="1">
        <f t="array" ref="R49">_xlfn.SWITCH(F49,"R",_xlfn.XLOOKUP(E49&amp;"|"&amp;B49,
        Calculate_cap_emi!$I$14:$I$21&amp;"|"&amp;Calculate_cap_emi!$L$14:$L$21,
        Calculate_cap_emi!$AQ$14:$AQ$21, "Not found", 0),"Rb",_xlfn.XLOOKUP(E49&amp;"|"&amp;B49,
        Calculate_cap_emi!$I$14:$I$21&amp;"|"&amp;Calculate_cap_emi!$L$14:$L$21,
        Calculate_cap_emi!$AS$14:$AS$21, "Not found", 0),"Rl",_xlfn.XLOOKUP(E49&amp;"|"&amp;B49,
        Calculate_cap_emi!$I$14:$I$21&amp;"|"&amp;Calculate_cap_emi!$L$14:$L$21,
        Calculate_cap_emi!$AT$14:$AT$21, "Not found", 0),"HP",_xlfn.XLOOKUP(E49&amp;"|"&amp;B49,
        Calculate_cap_emi!$I$14:$I$21&amp;"|"&amp;Calculate_cap_emi!$L$14:$L$21,
        Calculate_cap_emi!$AR$14:$AR$21, "Not found", 0),"HPl",_xlfn.XLOOKUP(E49&amp;"|"&amp;B49,
        Calculate_cap_emi!$I$14:$I$21&amp;"|"&amp;Calculate_cap_emi!$L$14:$L$21,
        Calculate_cap_emi!$AU$14:$AU$21, "Not found", 0),"Missing")</f>
        <v>4.3406258301138019</v>
      </c>
      <c r="S49" s="5" cm="1">
        <f t="array" ref="S49">_xlfn.SWITCH(F49,"R",_xlfn.XLOOKUP(E49&amp;"|"&amp;B49,
        Calculate_cap_emi!$I$14:$I$21&amp;"|"&amp;Calculate_cap_emi!$L$14:$L$21,
        Calculate_cap_emi!$AX$14:$AX$21, "Not found", 0),"Rb",_xlfn.XLOOKUP(E49&amp;"|"&amp;B49,
        Calculate_cap_emi!$I$14:$I$21&amp;"|"&amp;Calculate_cap_emi!$L$14:$L$21,
        Calculate_cap_emi!$AZ$14:$AZ$21, "Not found", 0),"Rl",_xlfn.XLOOKUP(E49&amp;"|"&amp;B49,
        Calculate_cap_emi!$I$14:$I$21&amp;"|"&amp;Calculate_cap_emi!$L$14:$L$21,
        Calculate_cap_emi!$BA$14:$BA$21, "Not found", 0),"HP",_xlfn.XLOOKUP(E49&amp;"|"&amp;B49,
        Calculate_cap_emi!$I$14:$I$21&amp;"|"&amp;Calculate_cap_emi!$L$14:$L$21,
        Calculate_cap_emi!$AY$14:$AY$21, "Not found", 0),"HPl",_xlfn.XLOOKUP(E49&amp;"|"&amp;B49,
        Calculate_cap_emi!$I$14:$I$21&amp;"|"&amp;Calculate_cap_emi!$L$14:$L$21,
        Calculate_cap_emi!$BB$14:$BB$21, "Not found", 0),"Missing")</f>
        <v>44.331785755438688</v>
      </c>
      <c r="T49" s="5" cm="1">
        <f t="array" ref="T49">_xlfn.SWITCH(F49,"R",_xlfn.XLOOKUP(E49&amp;"|"&amp;B49,
        Calculate_cap_emi!$I$14:$I$21&amp;"|"&amp;Calculate_cap_emi!$L$14:$L$21,
        Calculate_cap_emi!$BE$14:$BE$21, "Not found", 0),"Rb",_xlfn.XLOOKUP(E49&amp;"|"&amp;B49,
        Calculate_cap_emi!$I$14:$I$21&amp;"|"&amp;Calculate_cap_emi!$L$14:$L$21,
        Calculate_cap_emi!$BG$14:$BG$21, "Not found", 0),"Rl",_xlfn.XLOOKUP(E49&amp;"|"&amp;B49,
        Calculate_cap_emi!$I$14:$I$21&amp;"|"&amp;Calculate_cap_emi!$L$14:$L$21,
        Calculate_cap_emi!$BH$14:$BH$21, "Not found", 0),"HP",_xlfn.XLOOKUP(E49&amp;"|"&amp;B49,
        Calculate_cap_emi!$I$14:$I$21&amp;"|"&amp;Calculate_cap_emi!$L$14:$L$21,
        Calculate_cap_emi!$BF$14:$BF$21, "Not found", 0),"HPl",_xlfn.XLOOKUP(E49&amp;"|"&amp;B49,
        Calculate_cap_emi!$I$14:$I$21&amp;"|"&amp;Calculate_cap_emi!$L$14:$L$21,
        Calculate_cap_emi!$BI$14:$BI$21, "Not found", 0),"Missing")</f>
        <v>0</v>
      </c>
      <c r="U49" s="5" cm="1">
        <f t="array" ref="U49">_xlfn.SWITCH(F49,"R",_xlfn.XLOOKUP(E49&amp;"|"&amp;B49,
        Calculate_cap_emi_sens!$I$14:$I$21&amp;"|"&amp;Calculate_cap_emi_sens!$L$14:$L$21,
        Calculate_cap_emi_sens!$AX$14:$AX$21, "Not found", 0),"Rb",_xlfn.XLOOKUP(E49&amp;"|"&amp;B49,
        Calculate_cap_emi_sens!$I$14:$I$21&amp;"|"&amp;Calculate_cap_emi_sens!$L$14:$L$21,
        Calculate_cap_emi_sens!$AZ$14:$AZ$21, "Not found", 0),"Rl",_xlfn.XLOOKUP(E49&amp;"|"&amp;B49,
        Calculate_cap_emi_sens!$I$14:$I$21&amp;"|"&amp;Calculate_cap_emi_sens!$L$14:$L$21,
        Calculate_cap_emi_sens!$BA$14:$BA$21, "Not found", 0),"HP",_xlfn.XLOOKUP(E49&amp;"|"&amp;B49,
        Calculate_cap_emi_sens!$I$14:$I$21&amp;"|"&amp;Calculate_cap_emi_sens!$L$14:$L$21,
        Calculate_cap_emi_sens!$AY$14:$AY$21, "Not found", 0),"HPl",_xlfn.XLOOKUP(E49&amp;"|"&amp;B49,
        Calculate_cap_emi_sens!$I$14:$I$21&amp;"|"&amp;Calculate_cap_emi_sens!$L$14:$L$21,
        Calculate_cap_emi_sens!$BB$14:$BB$21, "Not found", 0),"Missing")</f>
        <v>44.331785755438688</v>
      </c>
      <c r="V49" s="5" cm="1">
        <f t="array" ref="V49">_xlfn.SWITCH(F49,"R",_xlfn.XLOOKUP(E49&amp;"|"&amp;B49,
        Calculate_cap_emi_sens!$I$14:$I$21&amp;"|"&amp;Calculate_cap_emi_sens!$L$14:$L$21,
        Calculate_cap_emi_sens!$BE$14:$BE$21, "Not found", 0),"Rb",_xlfn.XLOOKUP(E49&amp;"|"&amp;B49,
        Calculate_cap_emi_sens!$I$14:$I$21&amp;"|"&amp;Calculate_cap_emi_sens!$L$14:$L$21,
        Calculate_cap_emi_sens!$BG$14:$BG$21, "Not found", 0),"Rl",_xlfn.XLOOKUP(E49&amp;"|"&amp;B49,
        Calculate_cap_emi_sens!$I$14:$I$21&amp;"|"&amp;Calculate_cap_emi_sens!$L$14:$L$21,
        Calculate_cap_emi_sens!$BH$14:$BH$21, "Not found", 0),"HP",_xlfn.XLOOKUP(E49&amp;"|"&amp;B49,
        Calculate_cap_emi_sens!$I$14:$I$21&amp;"|"&amp;Calculate_cap_emi_sens!$L$14:$L$21,
        Calculate_cap_emi_sens!$BF$14:$BF$21, "Not found", 0),"HPl",_xlfn.XLOOKUP(E49&amp;"|"&amp;B49,
        Calculate_cap_emi_sens!$I$14:$I$21&amp;"|"&amp;Calculate_cap_emi_sens!$L$14:$L$21,
        Calculate_cap_emi_sens!$BI$14:$BI$21, "Not found", 0),"Missing")</f>
        <v>0</v>
      </c>
      <c r="W49" s="5">
        <f>Results_proc_ener!L49</f>
        <v>21205.09630350121</v>
      </c>
      <c r="X49" s="5">
        <f>Results_proc_ener!M49</f>
        <v>0</v>
      </c>
      <c r="Y49" s="5">
        <f>Results_proc_ener!N49</f>
        <v>0</v>
      </c>
      <c r="Z49" s="5">
        <f>Results_proc_ener!O49</f>
        <v>0</v>
      </c>
      <c r="AA49" s="5">
        <f>Results_proc_ener!P49</f>
        <v>0</v>
      </c>
      <c r="AB49" s="5">
        <f>Results_proc_ener!Q49</f>
        <v>792.00691931718006</v>
      </c>
      <c r="AC49" s="5">
        <f>Results_proc_ener!R49</f>
        <v>15.387509135429376</v>
      </c>
      <c r="AD49" s="5">
        <f>Results_proc_ener!S49</f>
        <v>90.320834391341165</v>
      </c>
      <c r="AE49" s="5">
        <f>Results_proc_ener!T49</f>
        <v>0</v>
      </c>
    </row>
    <row r="50" spans="1:31" x14ac:dyDescent="0.25">
      <c r="A50" s="5" t="s">
        <v>4</v>
      </c>
      <c r="B50" s="5" t="str">
        <f t="shared" si="0"/>
        <v>Mass-Nom</v>
      </c>
      <c r="C50" s="5" t="str">
        <f t="shared" si="1"/>
        <v>Mass</v>
      </c>
      <c r="D50" s="5" t="str">
        <f t="shared" si="2"/>
        <v>Nom</v>
      </c>
      <c r="E50" s="5" t="s">
        <v>3</v>
      </c>
      <c r="F50" s="5" t="s">
        <v>16</v>
      </c>
      <c r="G50" s="5"/>
      <c r="H50" s="5" cm="1">
        <f t="array" ref="H50">_xlfn.SWITCH(F50,"HP",_xlfn.XLOOKUP(E50&amp;"|"&amp;B50,
        Calculate_cap_emi!$I$14:$I$21&amp;"|"&amp;Calculate_cap_emi!$L$14:$L$21,
        Calculate_cap_emi!$X$14:$X$21, "Not found", 0),"HPl",_xlfn.XLOOKUP(E50&amp;"|"&amp;B50,
        Calculate_cap_emi!$I$14:$I$21&amp;"|"&amp;Calculate_cap_emi!$L$14:$L$21,
        Calculate_cap_emi!$AA$14:$AA$21, "Not found", 0),)</f>
        <v>11</v>
      </c>
      <c r="I50" s="5"/>
      <c r="J50" s="5"/>
      <c r="K50" s="5"/>
      <c r="L50" s="5" cm="1">
        <f t="array" ref="L50">_xlfn.SWITCH(F50,"R",_xlfn.XLOOKUP(E50&amp;"|"&amp;B50,
        Calculate_cap_emi!$I$14:$I$21&amp;"|"&amp;Calculate_cap_emi!$L$14:$L$21,
        Calculate_cap_emi!$AC$14:$AC$21, "Not found", 0),"Rb",_xlfn.XLOOKUP(E50&amp;"|"&amp;B50,
        Calculate_cap_emi!$I$14:$I$21&amp;"|"&amp;Calculate_cap_emi!$L$14:$L$21,
        Calculate_cap_emi!$AE$14:$AE$21, "Not found", 0),"Rl",_xlfn.XLOOKUP(E50&amp;"|"&amp;B50,
        Calculate_cap_emi!$I$14:$I$21&amp;"|"&amp;Calculate_cap_emi!$L$14:$L$21,
        Calculate_cap_emi!$AF$14:$AF$21, "Not found", 0),"HP",_xlfn.XLOOKUP(E50&amp;"|"&amp;B50,
        Calculate_cap_emi!$I$14:$I$21&amp;"|"&amp;Calculate_cap_emi!$L$14:$L$21,
        Calculate_cap_emi!$AD$14:$AD$21, "Not found", 0),"HPl",_xlfn.XLOOKUP(E50&amp;"|"&amp;B50,
        Calculate_cap_emi!$I$14:$I$21&amp;"|"&amp;Calculate_cap_emi!$L$14:$L$21,
        Calculate_cap_emi!$AG$14:$AG$21, "Not found", 0),"Missing")</f>
        <v>1534.5082449529411</v>
      </c>
      <c r="M50" s="5"/>
      <c r="N50" s="5"/>
      <c r="O50" s="5"/>
      <c r="P50" s="5"/>
      <c r="Q50" s="5" cm="1">
        <f t="array" ref="Q50">_xlfn.SWITCH(F50,"R",_xlfn.XLOOKUP(E50&amp;"|"&amp;B50,
        Calculate_cap_emi!$I$14:$I$21&amp;"|"&amp;Calculate_cap_emi!$L$14:$L$21,
        Calculate_cap_emi!$AJ$14:$AJ$21, "Not found", 0),"Rb",_xlfn.XLOOKUP(E50&amp;"|"&amp;B50,
        Calculate_cap_emi!$I$14:$I$21&amp;"|"&amp;Calculate_cap_emi!$L$14:$L$21,
        Calculate_cap_emi!$AL$14:$AL$21, "Not found", 0),"Rl",_xlfn.XLOOKUP(E50&amp;"|"&amp;B50,
        Calculate_cap_emi!$I$14:$I$21&amp;"|"&amp;Calculate_cap_emi!$L$14:$L$21,
        Calculate_cap_emi!$AM$14:$AM$21, "Not found", 0),"HP",_xlfn.XLOOKUP(E50&amp;"|"&amp;B50,
        Calculate_cap_emi!$I$14:$I$21&amp;"|"&amp;Calculate_cap_emi!$L$14:$L$21,
        Calculate_cap_emi!$AK$14:$AK$21, "Not found", 0),"HPl",_xlfn.XLOOKUP(E50&amp;"|"&amp;B50,
        Calculate_cap_emi!$I$14:$I$21&amp;"|"&amp;Calculate_cap_emi!$L$14:$L$21,
        Calculate_cap_emi!$AN$14:$AN$21, "Not found", 0),"Missing")</f>
        <v>36.844294649192022</v>
      </c>
      <c r="R50" s="5" cm="1">
        <f t="array" ref="R50">_xlfn.SWITCH(F50,"R",_xlfn.XLOOKUP(E50&amp;"|"&amp;B50,
        Calculate_cap_emi!$I$14:$I$21&amp;"|"&amp;Calculate_cap_emi!$L$14:$L$21,
        Calculate_cap_emi!$AQ$14:$AQ$21, "Not found", 0),"Rb",_xlfn.XLOOKUP(E50&amp;"|"&amp;B50,
        Calculate_cap_emi!$I$14:$I$21&amp;"|"&amp;Calculate_cap_emi!$L$14:$L$21,
        Calculate_cap_emi!$AS$14:$AS$21, "Not found", 0),"Rl",_xlfn.XLOOKUP(E50&amp;"|"&amp;B50,
        Calculate_cap_emi!$I$14:$I$21&amp;"|"&amp;Calculate_cap_emi!$L$14:$L$21,
        Calculate_cap_emi!$AT$14:$AT$21, "Not found", 0),"HP",_xlfn.XLOOKUP(E50&amp;"|"&amp;B50,
        Calculate_cap_emi!$I$14:$I$21&amp;"|"&amp;Calculate_cap_emi!$L$14:$L$21,
        Calculate_cap_emi!$AR$14:$AR$21, "Not found", 0),"HPl",_xlfn.XLOOKUP(E50&amp;"|"&amp;B50,
        Calculate_cap_emi!$I$14:$I$21&amp;"|"&amp;Calculate_cap_emi!$L$14:$L$21,
        Calculate_cap_emi!$AU$14:$AU$21, "Not found", 0),"Missing")</f>
        <v>92.156538464117645</v>
      </c>
      <c r="S50" s="5" cm="1">
        <f t="array" ref="S50">_xlfn.SWITCH(F50,"R",_xlfn.XLOOKUP(E50&amp;"|"&amp;B50,
        Calculate_cap_emi!$I$14:$I$21&amp;"|"&amp;Calculate_cap_emi!$L$14:$L$21,
        Calculate_cap_emi!$AX$14:$AX$21, "Not found", 0),"Rb",_xlfn.XLOOKUP(E50&amp;"|"&amp;B50,
        Calculate_cap_emi!$I$14:$I$21&amp;"|"&amp;Calculate_cap_emi!$L$14:$L$21,
        Calculate_cap_emi!$AZ$14:$AZ$21, "Not found", 0),"Rl",_xlfn.XLOOKUP(E50&amp;"|"&amp;B50,
        Calculate_cap_emi!$I$14:$I$21&amp;"|"&amp;Calculate_cap_emi!$L$14:$L$21,
        Calculate_cap_emi!$BA$14:$BA$21, "Not found", 0),"HP",_xlfn.XLOOKUP(E50&amp;"|"&amp;B50,
        Calculate_cap_emi!$I$14:$I$21&amp;"|"&amp;Calculate_cap_emi!$L$14:$L$21,
        Calculate_cap_emi!$AY$14:$AY$21, "Not found", 0),"HPl",_xlfn.XLOOKUP(E50&amp;"|"&amp;B50,
        Calculate_cap_emi!$I$14:$I$21&amp;"|"&amp;Calculate_cap_emi!$L$14:$L$21,
        Calculate_cap_emi!$BB$14:$BB$21, "Not found", 0),"Missing")</f>
        <v>284.43346129999998</v>
      </c>
      <c r="T50" s="5" cm="1">
        <f t="array" ref="T50">_xlfn.SWITCH(F50,"R",_xlfn.XLOOKUP(E50&amp;"|"&amp;B50,
        Calculate_cap_emi!$I$14:$I$21&amp;"|"&amp;Calculate_cap_emi!$L$14:$L$21,
        Calculate_cap_emi!$BE$14:$BE$21, "Not found", 0),"Rb",_xlfn.XLOOKUP(E50&amp;"|"&amp;B50,
        Calculate_cap_emi!$I$14:$I$21&amp;"|"&amp;Calculate_cap_emi!$L$14:$L$21,
        Calculate_cap_emi!$BG$14:$BG$21, "Not found", 0),"Rl",_xlfn.XLOOKUP(E50&amp;"|"&amp;B50,
        Calculate_cap_emi!$I$14:$I$21&amp;"|"&amp;Calculate_cap_emi!$L$14:$L$21,
        Calculate_cap_emi!$BH$14:$BH$21, "Not found", 0),"HP",_xlfn.XLOOKUP(E50&amp;"|"&amp;B50,
        Calculate_cap_emi!$I$14:$I$21&amp;"|"&amp;Calculate_cap_emi!$L$14:$L$21,
        Calculate_cap_emi!$BF$14:$BF$21, "Not found", 0),"HPl",_xlfn.XLOOKUP(E50&amp;"|"&amp;B50,
        Calculate_cap_emi!$I$14:$I$21&amp;"|"&amp;Calculate_cap_emi!$L$14:$L$21,
        Calculate_cap_emi!$BI$14:$BI$21, "Not found", 0),"Missing")</f>
        <v>1321.8995572588235</v>
      </c>
      <c r="U50" s="5" cm="1">
        <f t="array" ref="U50">_xlfn.SWITCH(F50,"R",_xlfn.XLOOKUP(E50&amp;"|"&amp;B50,
        Calculate_cap_emi_sens!$I$14:$I$21&amp;"|"&amp;Calculate_cap_emi_sens!$L$14:$L$21,
        Calculate_cap_emi_sens!$AX$14:$AX$21, "Not found", 0),"Rb",_xlfn.XLOOKUP(E50&amp;"|"&amp;B50,
        Calculate_cap_emi_sens!$I$14:$I$21&amp;"|"&amp;Calculate_cap_emi_sens!$L$14:$L$21,
        Calculate_cap_emi_sens!$AZ$14:$AZ$21, "Not found", 0),"Rl",_xlfn.XLOOKUP(E50&amp;"|"&amp;B50,
        Calculate_cap_emi_sens!$I$14:$I$21&amp;"|"&amp;Calculate_cap_emi_sens!$L$14:$L$21,
        Calculate_cap_emi_sens!$BA$14:$BA$21, "Not found", 0),"HP",_xlfn.XLOOKUP(E50&amp;"|"&amp;B50,
        Calculate_cap_emi_sens!$I$14:$I$21&amp;"|"&amp;Calculate_cap_emi_sens!$L$14:$L$21,
        Calculate_cap_emi_sens!$AY$14:$AY$21, "Not found", 0),"HPl",_xlfn.XLOOKUP(E50&amp;"|"&amp;B50,
        Calculate_cap_emi_sens!$I$14:$I$21&amp;"|"&amp;Calculate_cap_emi_sens!$L$14:$L$21,
        Calculate_cap_emi_sens!$BB$14:$BB$21, "Not found", 0),"Missing")</f>
        <v>107.6106738558843</v>
      </c>
      <c r="V50" s="5" cm="1">
        <f t="array" ref="V50">_xlfn.SWITCH(F50,"R",_xlfn.XLOOKUP(E50&amp;"|"&amp;B50,
        Calculate_cap_emi_sens!$I$14:$I$21&amp;"|"&amp;Calculate_cap_emi_sens!$L$14:$L$21,
        Calculate_cap_emi_sens!$BE$14:$BE$21, "Not found", 0),"Rb",_xlfn.XLOOKUP(E50&amp;"|"&amp;B50,
        Calculate_cap_emi_sens!$I$14:$I$21&amp;"|"&amp;Calculate_cap_emi_sens!$L$14:$L$21,
        Calculate_cap_emi_sens!$BG$14:$BG$21, "Not found", 0),"Rl",_xlfn.XLOOKUP(E50&amp;"|"&amp;B50,
        Calculate_cap_emi_sens!$I$14:$I$21&amp;"|"&amp;Calculate_cap_emi_sens!$L$14:$L$21,
        Calculate_cap_emi_sens!$BH$14:$BH$21, "Not found", 0),"HP",_xlfn.XLOOKUP(E50&amp;"|"&amp;B50,
        Calculate_cap_emi_sens!$I$14:$I$21&amp;"|"&amp;Calculate_cap_emi_sens!$L$14:$L$21,
        Calculate_cap_emi_sens!$BF$14:$BF$21, "Not found", 0),"HPl",_xlfn.XLOOKUP(E50&amp;"|"&amp;B50,
        Calculate_cap_emi_sens!$I$14:$I$21&amp;"|"&amp;Calculate_cap_emi_sens!$L$14:$L$21,
        Calculate_cap_emi_sens!$BI$14:$BI$21, "Not found", 0),"Missing")</f>
        <v>460.84467891584814</v>
      </c>
      <c r="W50" s="5">
        <f>Results_proc_ener!L50</f>
        <v>36866.798664705886</v>
      </c>
      <c r="X50" s="5">
        <f>Results_proc_ener!M50</f>
        <v>0</v>
      </c>
      <c r="Y50" s="5">
        <f>Results_proc_ener!N50</f>
        <v>0</v>
      </c>
      <c r="Z50" s="5">
        <f>Results_proc_ener!O50</f>
        <v>0</v>
      </c>
      <c r="AA50" s="5">
        <f>Results_proc_ener!P50</f>
        <v>0</v>
      </c>
      <c r="AB50" s="5">
        <f>Results_proc_ener!Q50</f>
        <v>780.31219793684977</v>
      </c>
      <c r="AC50" s="5">
        <f>Results_proc_ener!R50</f>
        <v>1689.5267676000001</v>
      </c>
      <c r="AD50" s="5">
        <f>Results_proc_ener!S50</f>
        <v>8469.5140581176456</v>
      </c>
      <c r="AE50" s="5">
        <f>Results_proc_ener!T50</f>
        <v>8228.4675591176474</v>
      </c>
    </row>
    <row r="51" spans="1:31" x14ac:dyDescent="0.25">
      <c r="A51" s="5" t="s">
        <v>2</v>
      </c>
      <c r="B51" s="5" t="str">
        <f t="shared" si="0"/>
        <v>Mass-Nom</v>
      </c>
      <c r="C51" s="5" t="str">
        <f t="shared" si="1"/>
        <v>Mass</v>
      </c>
      <c r="D51" s="5" t="str">
        <f t="shared" si="2"/>
        <v>Nom</v>
      </c>
      <c r="E51" s="5" t="s">
        <v>3</v>
      </c>
      <c r="F51" s="5" t="s">
        <v>16</v>
      </c>
      <c r="G51" s="5"/>
      <c r="H51" s="5" cm="1">
        <f t="array" ref="H51">_xlfn.SWITCH(F51,"HP",_xlfn.XLOOKUP(E51&amp;"|"&amp;B51,
        Calculate_cap_emi!$I$14:$I$21&amp;"|"&amp;Calculate_cap_emi!$L$14:$L$21,
        Calculate_cap_emi!$X$14:$X$21, "Not found", 0),"HPl",_xlfn.XLOOKUP(E51&amp;"|"&amp;B51,
        Calculate_cap_emi!$I$14:$I$21&amp;"|"&amp;Calculate_cap_emi!$L$14:$L$21,
        Calculate_cap_emi!$AA$14:$AA$21, "Not found", 0),)</f>
        <v>11</v>
      </c>
      <c r="I51" s="5"/>
      <c r="J51" s="5"/>
      <c r="K51" s="5"/>
      <c r="L51" s="5" cm="1">
        <f t="array" ref="L51">_xlfn.SWITCH(F51,"R",_xlfn.XLOOKUP(E51&amp;"|"&amp;B51,
        Calculate_cap_emi!$I$14:$I$21&amp;"|"&amp;Calculate_cap_emi!$L$14:$L$21,
        Calculate_cap_emi!$AC$14:$AC$21, "Not found", 0),"Rb",_xlfn.XLOOKUP(E51&amp;"|"&amp;B51,
        Calculate_cap_emi!$I$14:$I$21&amp;"|"&amp;Calculate_cap_emi!$L$14:$L$21,
        Calculate_cap_emi!$AE$14:$AE$21, "Not found", 0),"Rl",_xlfn.XLOOKUP(E51&amp;"|"&amp;B51,
        Calculate_cap_emi!$I$14:$I$21&amp;"|"&amp;Calculate_cap_emi!$L$14:$L$21,
        Calculate_cap_emi!$AF$14:$AF$21, "Not found", 0),"HP",_xlfn.XLOOKUP(E51&amp;"|"&amp;B51,
        Calculate_cap_emi!$I$14:$I$21&amp;"|"&amp;Calculate_cap_emi!$L$14:$L$21,
        Calculate_cap_emi!$AD$14:$AD$21, "Not found", 0),"HPl",_xlfn.XLOOKUP(E51&amp;"|"&amp;B51,
        Calculate_cap_emi!$I$14:$I$21&amp;"|"&amp;Calculate_cap_emi!$L$14:$L$21,
        Calculate_cap_emi!$AG$14:$AG$21, "Not found", 0),"Missing")</f>
        <v>1534.5082449529411</v>
      </c>
      <c r="M51" s="5"/>
      <c r="N51" s="5"/>
      <c r="O51" s="5"/>
      <c r="P51" s="5"/>
      <c r="Q51" s="5" cm="1">
        <f t="array" ref="Q51">_xlfn.SWITCH(F51,"R",_xlfn.XLOOKUP(E51&amp;"|"&amp;B51,
        Calculate_cap_emi!$I$14:$I$21&amp;"|"&amp;Calculate_cap_emi!$L$14:$L$21,
        Calculate_cap_emi!$AJ$14:$AJ$21, "Not found", 0),"Rb",_xlfn.XLOOKUP(E51&amp;"|"&amp;B51,
        Calculate_cap_emi!$I$14:$I$21&amp;"|"&amp;Calculate_cap_emi!$L$14:$L$21,
        Calculate_cap_emi!$AL$14:$AL$21, "Not found", 0),"Rl",_xlfn.XLOOKUP(E51&amp;"|"&amp;B51,
        Calculate_cap_emi!$I$14:$I$21&amp;"|"&amp;Calculate_cap_emi!$L$14:$L$21,
        Calculate_cap_emi!$AM$14:$AM$21, "Not found", 0),"HP",_xlfn.XLOOKUP(E51&amp;"|"&amp;B51,
        Calculate_cap_emi!$I$14:$I$21&amp;"|"&amp;Calculate_cap_emi!$L$14:$L$21,
        Calculate_cap_emi!$AK$14:$AK$21, "Not found", 0),"HPl",_xlfn.XLOOKUP(E51&amp;"|"&amp;B51,
        Calculate_cap_emi!$I$14:$I$21&amp;"|"&amp;Calculate_cap_emi!$L$14:$L$21,
        Calculate_cap_emi!$AN$14:$AN$21, "Not found", 0),"Missing")</f>
        <v>36.844294649192022</v>
      </c>
      <c r="R51" s="5" cm="1">
        <f t="array" ref="R51">_xlfn.SWITCH(F51,"R",_xlfn.XLOOKUP(E51&amp;"|"&amp;B51,
        Calculate_cap_emi!$I$14:$I$21&amp;"|"&amp;Calculate_cap_emi!$L$14:$L$21,
        Calculate_cap_emi!$AQ$14:$AQ$21, "Not found", 0),"Rb",_xlfn.XLOOKUP(E51&amp;"|"&amp;B51,
        Calculate_cap_emi!$I$14:$I$21&amp;"|"&amp;Calculate_cap_emi!$L$14:$L$21,
        Calculate_cap_emi!$AS$14:$AS$21, "Not found", 0),"Rl",_xlfn.XLOOKUP(E51&amp;"|"&amp;B51,
        Calculate_cap_emi!$I$14:$I$21&amp;"|"&amp;Calculate_cap_emi!$L$14:$L$21,
        Calculate_cap_emi!$AT$14:$AT$21, "Not found", 0),"HP",_xlfn.XLOOKUP(E51&amp;"|"&amp;B51,
        Calculate_cap_emi!$I$14:$I$21&amp;"|"&amp;Calculate_cap_emi!$L$14:$L$21,
        Calculate_cap_emi!$AR$14:$AR$21, "Not found", 0),"HPl",_xlfn.XLOOKUP(E51&amp;"|"&amp;B51,
        Calculate_cap_emi!$I$14:$I$21&amp;"|"&amp;Calculate_cap_emi!$L$14:$L$21,
        Calculate_cap_emi!$AU$14:$AU$21, "Not found", 0),"Missing")</f>
        <v>92.156538464117645</v>
      </c>
      <c r="S51" s="5" cm="1">
        <f t="array" ref="S51">_xlfn.SWITCH(F51,"R",_xlfn.XLOOKUP(E51&amp;"|"&amp;B51,
        Calculate_cap_emi!$I$14:$I$21&amp;"|"&amp;Calculate_cap_emi!$L$14:$L$21,
        Calculate_cap_emi!$AX$14:$AX$21, "Not found", 0),"Rb",_xlfn.XLOOKUP(E51&amp;"|"&amp;B51,
        Calculate_cap_emi!$I$14:$I$21&amp;"|"&amp;Calculate_cap_emi!$L$14:$L$21,
        Calculate_cap_emi!$AZ$14:$AZ$21, "Not found", 0),"Rl",_xlfn.XLOOKUP(E51&amp;"|"&amp;B51,
        Calculate_cap_emi!$I$14:$I$21&amp;"|"&amp;Calculate_cap_emi!$L$14:$L$21,
        Calculate_cap_emi!$BA$14:$BA$21, "Not found", 0),"HP",_xlfn.XLOOKUP(E51&amp;"|"&amp;B51,
        Calculate_cap_emi!$I$14:$I$21&amp;"|"&amp;Calculate_cap_emi!$L$14:$L$21,
        Calculate_cap_emi!$AY$14:$AY$21, "Not found", 0),"HPl",_xlfn.XLOOKUP(E51&amp;"|"&amp;B51,
        Calculate_cap_emi!$I$14:$I$21&amp;"|"&amp;Calculate_cap_emi!$L$14:$L$21,
        Calculate_cap_emi!$BB$14:$BB$21, "Not found", 0),"Missing")</f>
        <v>284.43346129999998</v>
      </c>
      <c r="T51" s="5" cm="1">
        <f t="array" ref="T51">_xlfn.SWITCH(F51,"R",_xlfn.XLOOKUP(E51&amp;"|"&amp;B51,
        Calculate_cap_emi!$I$14:$I$21&amp;"|"&amp;Calculate_cap_emi!$L$14:$L$21,
        Calculate_cap_emi!$BE$14:$BE$21, "Not found", 0),"Rb",_xlfn.XLOOKUP(E51&amp;"|"&amp;B51,
        Calculate_cap_emi!$I$14:$I$21&amp;"|"&amp;Calculate_cap_emi!$L$14:$L$21,
        Calculate_cap_emi!$BG$14:$BG$21, "Not found", 0),"Rl",_xlfn.XLOOKUP(E51&amp;"|"&amp;B51,
        Calculate_cap_emi!$I$14:$I$21&amp;"|"&amp;Calculate_cap_emi!$L$14:$L$21,
        Calculate_cap_emi!$BH$14:$BH$21, "Not found", 0),"HP",_xlfn.XLOOKUP(E51&amp;"|"&amp;B51,
        Calculate_cap_emi!$I$14:$I$21&amp;"|"&amp;Calculate_cap_emi!$L$14:$L$21,
        Calculate_cap_emi!$BF$14:$BF$21, "Not found", 0),"HPl",_xlfn.XLOOKUP(E51&amp;"|"&amp;B51,
        Calculate_cap_emi!$I$14:$I$21&amp;"|"&amp;Calculate_cap_emi!$L$14:$L$21,
        Calculate_cap_emi!$BI$14:$BI$21, "Not found", 0),"Missing")</f>
        <v>1321.8995572588235</v>
      </c>
      <c r="U51" s="5" cm="1">
        <f t="array" ref="U51">_xlfn.SWITCH(F51,"R",_xlfn.XLOOKUP(E51&amp;"|"&amp;B51,
        Calculate_cap_emi_sens!$I$14:$I$21&amp;"|"&amp;Calculate_cap_emi_sens!$L$14:$L$21,
        Calculate_cap_emi_sens!$AX$14:$AX$21, "Not found", 0),"Rb",_xlfn.XLOOKUP(E51&amp;"|"&amp;B51,
        Calculate_cap_emi_sens!$I$14:$I$21&amp;"|"&amp;Calculate_cap_emi_sens!$L$14:$L$21,
        Calculate_cap_emi_sens!$AZ$14:$AZ$21, "Not found", 0),"Rl",_xlfn.XLOOKUP(E51&amp;"|"&amp;B51,
        Calculate_cap_emi_sens!$I$14:$I$21&amp;"|"&amp;Calculate_cap_emi_sens!$L$14:$L$21,
        Calculate_cap_emi_sens!$BA$14:$BA$21, "Not found", 0),"HP",_xlfn.XLOOKUP(E51&amp;"|"&amp;B51,
        Calculate_cap_emi_sens!$I$14:$I$21&amp;"|"&amp;Calculate_cap_emi_sens!$L$14:$L$21,
        Calculate_cap_emi_sens!$AY$14:$AY$21, "Not found", 0),"HPl",_xlfn.XLOOKUP(E51&amp;"|"&amp;B51,
        Calculate_cap_emi_sens!$I$14:$I$21&amp;"|"&amp;Calculate_cap_emi_sens!$L$14:$L$21,
        Calculate_cap_emi_sens!$BB$14:$BB$21, "Not found", 0),"Missing")</f>
        <v>107.6106738558843</v>
      </c>
      <c r="V51" s="5" cm="1">
        <f t="array" ref="V51">_xlfn.SWITCH(F51,"R",_xlfn.XLOOKUP(E51&amp;"|"&amp;B51,
        Calculate_cap_emi_sens!$I$14:$I$21&amp;"|"&amp;Calculate_cap_emi_sens!$L$14:$L$21,
        Calculate_cap_emi_sens!$BE$14:$BE$21, "Not found", 0),"Rb",_xlfn.XLOOKUP(E51&amp;"|"&amp;B51,
        Calculate_cap_emi_sens!$I$14:$I$21&amp;"|"&amp;Calculate_cap_emi_sens!$L$14:$L$21,
        Calculate_cap_emi_sens!$BG$14:$BG$21, "Not found", 0),"Rl",_xlfn.XLOOKUP(E51&amp;"|"&amp;B51,
        Calculate_cap_emi_sens!$I$14:$I$21&amp;"|"&amp;Calculate_cap_emi_sens!$L$14:$L$21,
        Calculate_cap_emi_sens!$BH$14:$BH$21, "Not found", 0),"HP",_xlfn.XLOOKUP(E51&amp;"|"&amp;B51,
        Calculate_cap_emi_sens!$I$14:$I$21&amp;"|"&amp;Calculate_cap_emi_sens!$L$14:$L$21,
        Calculate_cap_emi_sens!$BF$14:$BF$21, "Not found", 0),"HPl",_xlfn.XLOOKUP(E51&amp;"|"&amp;B51,
        Calculate_cap_emi_sens!$I$14:$I$21&amp;"|"&amp;Calculate_cap_emi_sens!$L$14:$L$21,
        Calculate_cap_emi_sens!$BI$14:$BI$21, "Not found", 0),"Missing")</f>
        <v>460.84467891584814</v>
      </c>
      <c r="W51" s="5">
        <f>Results_proc_ener!L51</f>
        <v>36866.798664705886</v>
      </c>
      <c r="X51" s="5">
        <f>Results_proc_ener!M51</f>
        <v>0</v>
      </c>
      <c r="Y51" s="5">
        <f>Results_proc_ener!N51</f>
        <v>0</v>
      </c>
      <c r="Z51" s="5">
        <f>Results_proc_ener!O51</f>
        <v>0</v>
      </c>
      <c r="AA51" s="5">
        <f>Results_proc_ener!P51</f>
        <v>0</v>
      </c>
      <c r="AB51" s="5">
        <f>Results_proc_ener!Q51</f>
        <v>780.31219793684977</v>
      </c>
      <c r="AC51" s="5">
        <f>Results_proc_ener!R51</f>
        <v>1689.5267676000001</v>
      </c>
      <c r="AD51" s="5">
        <f>Results_proc_ener!S51</f>
        <v>8469.5140581176456</v>
      </c>
      <c r="AE51" s="5">
        <f>Results_proc_ener!T51</f>
        <v>8228.4675591176474</v>
      </c>
    </row>
    <row r="52" spans="1:31" x14ac:dyDescent="0.25">
      <c r="A52" s="5" t="s">
        <v>5</v>
      </c>
      <c r="B52" s="5" t="str">
        <f t="shared" si="0"/>
        <v>Mass-H1</v>
      </c>
      <c r="C52" s="5" t="str">
        <f t="shared" si="1"/>
        <v>Mass</v>
      </c>
      <c r="D52" s="5" t="str">
        <f t="shared" si="2"/>
        <v>H1</v>
      </c>
      <c r="E52" s="5" t="s">
        <v>3</v>
      </c>
      <c r="F52" s="5" t="s">
        <v>16</v>
      </c>
      <c r="G52" s="5"/>
      <c r="H52" s="5" cm="1">
        <f t="array" ref="H52">_xlfn.SWITCH(F52,"HP",_xlfn.XLOOKUP(E52&amp;"|"&amp;B52,
        Calculate_cap_emi!$I$14:$I$21&amp;"|"&amp;Calculate_cap_emi!$L$14:$L$21,
        Calculate_cap_emi!$X$14:$X$21, "Not found", 0),"HPl",_xlfn.XLOOKUP(E52&amp;"|"&amp;B52,
        Calculate_cap_emi!$I$14:$I$21&amp;"|"&amp;Calculate_cap_emi!$L$14:$L$21,
        Calculate_cap_emi!$AA$14:$AA$21, "Not found", 0),)</f>
        <v>6.5</v>
      </c>
      <c r="I52" s="5"/>
      <c r="J52" s="5"/>
      <c r="K52" s="5"/>
      <c r="L52" s="5" cm="1">
        <f t="array" ref="L52">_xlfn.SWITCH(F52,"R",_xlfn.XLOOKUP(E52&amp;"|"&amp;B52,
        Calculate_cap_emi!$I$14:$I$21&amp;"|"&amp;Calculate_cap_emi!$L$14:$L$21,
        Calculate_cap_emi!$AC$14:$AC$21, "Not found", 0),"Rb",_xlfn.XLOOKUP(E52&amp;"|"&amp;B52,
        Calculate_cap_emi!$I$14:$I$21&amp;"|"&amp;Calculate_cap_emi!$L$14:$L$21,
        Calculate_cap_emi!$AE$14:$AE$21, "Not found", 0),"Rl",_xlfn.XLOOKUP(E52&amp;"|"&amp;B52,
        Calculate_cap_emi!$I$14:$I$21&amp;"|"&amp;Calculate_cap_emi!$L$14:$L$21,
        Calculate_cap_emi!$AF$14:$AF$21, "Not found", 0),"HP",_xlfn.XLOOKUP(E52&amp;"|"&amp;B52,
        Calculate_cap_emi!$I$14:$I$21&amp;"|"&amp;Calculate_cap_emi!$L$14:$L$21,
        Calculate_cap_emi!$AD$14:$AD$21, "Not found", 0),"HPl",_xlfn.XLOOKUP(E52&amp;"|"&amp;B52,
        Calculate_cap_emi!$I$14:$I$21&amp;"|"&amp;Calculate_cap_emi!$L$14:$L$21,
        Calculate_cap_emi!$AG$14:$AG$21, "Not found", 0),"Missing")</f>
        <v>1215.5476183941173</v>
      </c>
      <c r="M52" s="5"/>
      <c r="N52" s="5"/>
      <c r="O52" s="5"/>
      <c r="P52" s="5"/>
      <c r="Q52" s="5" cm="1">
        <f t="array" ref="Q52">_xlfn.SWITCH(F52,"R",_xlfn.XLOOKUP(E52&amp;"|"&amp;B52,
        Calculate_cap_emi!$I$14:$I$21&amp;"|"&amp;Calculate_cap_emi!$L$14:$L$21,
        Calculate_cap_emi!$AJ$14:$AJ$21, "Not found", 0),"Rb",_xlfn.XLOOKUP(E52&amp;"|"&amp;B52,
        Calculate_cap_emi!$I$14:$I$21&amp;"|"&amp;Calculate_cap_emi!$L$14:$L$21,
        Calculate_cap_emi!$AL$14:$AL$21, "Not found", 0),"Rl",_xlfn.XLOOKUP(E52&amp;"|"&amp;B52,
        Calculate_cap_emi!$I$14:$I$21&amp;"|"&amp;Calculate_cap_emi!$L$14:$L$21,
        Calculate_cap_emi!$AM$14:$AM$21, "Not found", 0),"HP",_xlfn.XLOOKUP(E52&amp;"|"&amp;B52,
        Calculate_cap_emi!$I$14:$I$21&amp;"|"&amp;Calculate_cap_emi!$L$14:$L$21,
        Calculate_cap_emi!$AK$14:$AK$21, "Not found", 0),"HPl",_xlfn.XLOOKUP(E52&amp;"|"&amp;B52,
        Calculate_cap_emi!$I$14:$I$21&amp;"|"&amp;Calculate_cap_emi!$L$14:$L$21,
        Calculate_cap_emi!$AN$14:$AN$21, "Not found", 0),"Missing")</f>
        <v>27.448470358391585</v>
      </c>
      <c r="R52" s="5" cm="1">
        <f t="array" ref="R52">_xlfn.SWITCH(F52,"R",_xlfn.XLOOKUP(E52&amp;"|"&amp;B52,
        Calculate_cap_emi!$I$14:$I$21&amp;"|"&amp;Calculate_cap_emi!$L$14:$L$21,
        Calculate_cap_emi!$AQ$14:$AQ$21, "Not found", 0),"Rb",_xlfn.XLOOKUP(E52&amp;"|"&amp;B52,
        Calculate_cap_emi!$I$14:$I$21&amp;"|"&amp;Calculate_cap_emi!$L$14:$L$21,
        Calculate_cap_emi!$AS$14:$AS$21, "Not found", 0),"Rl",_xlfn.XLOOKUP(E52&amp;"|"&amp;B52,
        Calculate_cap_emi!$I$14:$I$21&amp;"|"&amp;Calculate_cap_emi!$L$14:$L$21,
        Calculate_cap_emi!$AT$14:$AT$21, "Not found", 0),"HP",_xlfn.XLOOKUP(E52&amp;"|"&amp;B52,
        Calculate_cap_emi!$I$14:$I$21&amp;"|"&amp;Calculate_cap_emi!$L$14:$L$21,
        Calculate_cap_emi!$AR$14:$AR$21, "Not found", 0),"HPl",_xlfn.XLOOKUP(E52&amp;"|"&amp;B52,
        Calculate_cap_emi!$I$14:$I$21&amp;"|"&amp;Calculate_cap_emi!$L$14:$L$21,
        Calculate_cap_emi!$AU$14:$AU$21, "Not found", 0),"Missing")</f>
        <v>76.312009027058821</v>
      </c>
      <c r="S52" s="5" cm="1">
        <f t="array" ref="S52">_xlfn.SWITCH(F52,"R",_xlfn.XLOOKUP(E52&amp;"|"&amp;B52,
        Calculate_cap_emi!$I$14:$I$21&amp;"|"&amp;Calculate_cap_emi!$L$14:$L$21,
        Calculate_cap_emi!$AX$14:$AX$21, "Not found", 0),"Rb",_xlfn.XLOOKUP(E52&amp;"|"&amp;B52,
        Calculate_cap_emi!$I$14:$I$21&amp;"|"&amp;Calculate_cap_emi!$L$14:$L$21,
        Calculate_cap_emi!$AZ$14:$AZ$21, "Not found", 0),"Rl",_xlfn.XLOOKUP(E52&amp;"|"&amp;B52,
        Calculate_cap_emi!$I$14:$I$21&amp;"|"&amp;Calculate_cap_emi!$L$14:$L$21,
        Calculate_cap_emi!$BA$14:$BA$21, "Not found", 0),"HP",_xlfn.XLOOKUP(E52&amp;"|"&amp;B52,
        Calculate_cap_emi!$I$14:$I$21&amp;"|"&amp;Calculate_cap_emi!$L$14:$L$21,
        Calculate_cap_emi!$AY$14:$AY$21, "Not found", 0),"HPl",_xlfn.XLOOKUP(E52&amp;"|"&amp;B52,
        Calculate_cap_emi!$I$14:$I$21&amp;"|"&amp;Calculate_cap_emi!$L$14:$L$21,
        Calculate_cap_emi!$BB$14:$BB$21, "Not found", 0),"Missing")</f>
        <v>241.32799335294118</v>
      </c>
      <c r="T52" s="5" cm="1">
        <f t="array" ref="T52">_xlfn.SWITCH(F52,"R",_xlfn.XLOOKUP(E52&amp;"|"&amp;B52,
        Calculate_cap_emi!$I$14:$I$21&amp;"|"&amp;Calculate_cap_emi!$L$14:$L$21,
        Calculate_cap_emi!$BE$14:$BE$21, "Not found", 0),"Rb",_xlfn.XLOOKUP(E52&amp;"|"&amp;B52,
        Calculate_cap_emi!$I$14:$I$21&amp;"|"&amp;Calculate_cap_emi!$L$14:$L$21,
        Calculate_cap_emi!$BG$14:$BG$21, "Not found", 0),"Rl",_xlfn.XLOOKUP(E52&amp;"|"&amp;B52,
        Calculate_cap_emi!$I$14:$I$21&amp;"|"&amp;Calculate_cap_emi!$L$14:$L$21,
        Calculate_cap_emi!$BH$14:$BH$21, "Not found", 0),"HP",_xlfn.XLOOKUP(E52&amp;"|"&amp;B52,
        Calculate_cap_emi!$I$14:$I$21&amp;"|"&amp;Calculate_cap_emi!$L$14:$L$21,
        Calculate_cap_emi!$BF$14:$BF$21, "Not found", 0),"HPl",_xlfn.XLOOKUP(E52&amp;"|"&amp;B52,
        Calculate_cap_emi!$I$14:$I$21&amp;"|"&amp;Calculate_cap_emi!$L$14:$L$21,
        Calculate_cap_emi!$BI$14:$BI$21, "Not found", 0),"Missing")</f>
        <v>1264.174085135294</v>
      </c>
      <c r="U52" s="5" cm="1">
        <f t="array" ref="U52">_xlfn.SWITCH(F52,"R",_xlfn.XLOOKUP(E52&amp;"|"&amp;B52,
        Calculate_cap_emi_sens!$I$14:$I$21&amp;"|"&amp;Calculate_cap_emi_sens!$L$14:$L$21,
        Calculate_cap_emi_sens!$AX$14:$AX$21, "Not found", 0),"Rb",_xlfn.XLOOKUP(E52&amp;"|"&amp;B52,
        Calculate_cap_emi_sens!$I$14:$I$21&amp;"|"&amp;Calculate_cap_emi_sens!$L$14:$L$21,
        Calculate_cap_emi_sens!$AZ$14:$AZ$21, "Not found", 0),"Rl",_xlfn.XLOOKUP(E52&amp;"|"&amp;B52,
        Calculate_cap_emi_sens!$I$14:$I$21&amp;"|"&amp;Calculate_cap_emi_sens!$L$14:$L$21,
        Calculate_cap_emi_sens!$BA$14:$BA$21, "Not found", 0),"HP",_xlfn.XLOOKUP(E52&amp;"|"&amp;B52,
        Calculate_cap_emi_sens!$I$14:$I$21&amp;"|"&amp;Calculate_cap_emi_sens!$L$14:$L$21,
        Calculate_cap_emi_sens!$AY$14:$AY$21, "Not found", 0),"HPl",_xlfn.XLOOKUP(E52&amp;"|"&amp;B52,
        Calculate_cap_emi_sens!$I$14:$I$21&amp;"|"&amp;Calculate_cap_emi_sens!$L$14:$L$21,
        Calculate_cap_emi_sens!$BB$14:$BB$21, "Not found", 0),"Missing")</f>
        <v>85.718207813127265</v>
      </c>
      <c r="V52" s="5" cm="1">
        <f t="array" ref="V52">_xlfn.SWITCH(F52,"R",_xlfn.XLOOKUP(E52&amp;"|"&amp;B52,
        Calculate_cap_emi_sens!$I$14:$I$21&amp;"|"&amp;Calculate_cap_emi_sens!$L$14:$L$21,
        Calculate_cap_emi_sens!$BE$14:$BE$21, "Not found", 0),"Rb",_xlfn.XLOOKUP(E52&amp;"|"&amp;B52,
        Calculate_cap_emi_sens!$I$14:$I$21&amp;"|"&amp;Calculate_cap_emi_sens!$L$14:$L$21,
        Calculate_cap_emi_sens!$BG$14:$BG$21, "Not found", 0),"Rl",_xlfn.XLOOKUP(E52&amp;"|"&amp;B52,
        Calculate_cap_emi_sens!$I$14:$I$21&amp;"|"&amp;Calculate_cap_emi_sens!$L$14:$L$21,
        Calculate_cap_emi_sens!$BH$14:$BH$21, "Not found", 0),"HP",_xlfn.XLOOKUP(E52&amp;"|"&amp;B52,
        Calculate_cap_emi_sens!$I$14:$I$21&amp;"|"&amp;Calculate_cap_emi_sens!$L$14:$L$21,
        Calculate_cap_emi_sens!$BF$14:$BF$21, "Not found", 0),"HPl",_xlfn.XLOOKUP(E52&amp;"|"&amp;B52,
        Calculate_cap_emi_sens!$I$14:$I$21&amp;"|"&amp;Calculate_cap_emi_sens!$L$14:$L$21,
        Calculate_cap_emi_sens!$BI$14:$BI$21, "Not found", 0),"Missing")</f>
        <v>480.35241137292394</v>
      </c>
      <c r="W52" s="5">
        <f>Results_proc_ener!L52</f>
        <v>32134.631092941177</v>
      </c>
      <c r="X52" s="5">
        <f>Results_proc_ener!M52</f>
        <v>0</v>
      </c>
      <c r="Y52" s="5">
        <f>Results_proc_ener!N52</f>
        <v>0</v>
      </c>
      <c r="Z52" s="5">
        <f>Results_proc_ener!O52</f>
        <v>0</v>
      </c>
      <c r="AA52" s="5">
        <f>Results_proc_ener!P52</f>
        <v>0</v>
      </c>
      <c r="AB52" s="5">
        <f>Results_proc_ener!Q52</f>
        <v>581.32138067218239</v>
      </c>
      <c r="AC52" s="5">
        <f>Results_proc_ener!R52</f>
        <v>1385.8191882705883</v>
      </c>
      <c r="AD52" s="5">
        <f>Results_proc_ener!S52</f>
        <v>6795.3958991176469</v>
      </c>
      <c r="AE52" s="5">
        <f>Results_proc_ener!T52</f>
        <v>7331.117875941176</v>
      </c>
    </row>
    <row r="53" spans="1:31" x14ac:dyDescent="0.25">
      <c r="A53" s="5" t="s">
        <v>6</v>
      </c>
      <c r="B53" s="5" t="str">
        <f t="shared" si="0"/>
        <v>Mass-H1</v>
      </c>
      <c r="C53" s="5" t="str">
        <f t="shared" si="1"/>
        <v>Mass</v>
      </c>
      <c r="D53" s="5" t="str">
        <f t="shared" si="2"/>
        <v>H1</v>
      </c>
      <c r="E53" s="5" t="s">
        <v>3</v>
      </c>
      <c r="F53" s="5" t="s">
        <v>16</v>
      </c>
      <c r="G53" s="5"/>
      <c r="H53" s="5" cm="1">
        <f t="array" ref="H53">_xlfn.SWITCH(F53,"HP",_xlfn.XLOOKUP(E53&amp;"|"&amp;B53,
        Calculate_cap_emi!$I$14:$I$21&amp;"|"&amp;Calculate_cap_emi!$L$14:$L$21,
        Calculate_cap_emi!$X$14:$X$21, "Not found", 0),"HPl",_xlfn.XLOOKUP(E53&amp;"|"&amp;B53,
        Calculate_cap_emi!$I$14:$I$21&amp;"|"&amp;Calculate_cap_emi!$L$14:$L$21,
        Calculate_cap_emi!$AA$14:$AA$21, "Not found", 0),)</f>
        <v>6.5</v>
      </c>
      <c r="I53" s="5"/>
      <c r="J53" s="5"/>
      <c r="K53" s="5"/>
      <c r="L53" s="5" cm="1">
        <f t="array" ref="L53">_xlfn.SWITCH(F53,"R",_xlfn.XLOOKUP(E53&amp;"|"&amp;B53,
        Calculate_cap_emi!$I$14:$I$21&amp;"|"&amp;Calculate_cap_emi!$L$14:$L$21,
        Calculate_cap_emi!$AC$14:$AC$21, "Not found", 0),"Rb",_xlfn.XLOOKUP(E53&amp;"|"&amp;B53,
        Calculate_cap_emi!$I$14:$I$21&amp;"|"&amp;Calculate_cap_emi!$L$14:$L$21,
        Calculate_cap_emi!$AE$14:$AE$21, "Not found", 0),"Rl",_xlfn.XLOOKUP(E53&amp;"|"&amp;B53,
        Calculate_cap_emi!$I$14:$I$21&amp;"|"&amp;Calculate_cap_emi!$L$14:$L$21,
        Calculate_cap_emi!$AF$14:$AF$21, "Not found", 0),"HP",_xlfn.XLOOKUP(E53&amp;"|"&amp;B53,
        Calculate_cap_emi!$I$14:$I$21&amp;"|"&amp;Calculate_cap_emi!$L$14:$L$21,
        Calculate_cap_emi!$AD$14:$AD$21, "Not found", 0),"HPl",_xlfn.XLOOKUP(E53&amp;"|"&amp;B53,
        Calculate_cap_emi!$I$14:$I$21&amp;"|"&amp;Calculate_cap_emi!$L$14:$L$21,
        Calculate_cap_emi!$AG$14:$AG$21, "Not found", 0),"Missing")</f>
        <v>1215.5476183941173</v>
      </c>
      <c r="M53" s="5"/>
      <c r="N53" s="5"/>
      <c r="O53" s="5"/>
      <c r="P53" s="5"/>
      <c r="Q53" s="5" cm="1">
        <f t="array" ref="Q53">_xlfn.SWITCH(F53,"R",_xlfn.XLOOKUP(E53&amp;"|"&amp;B53,
        Calculate_cap_emi!$I$14:$I$21&amp;"|"&amp;Calculate_cap_emi!$L$14:$L$21,
        Calculate_cap_emi!$AJ$14:$AJ$21, "Not found", 0),"Rb",_xlfn.XLOOKUP(E53&amp;"|"&amp;B53,
        Calculate_cap_emi!$I$14:$I$21&amp;"|"&amp;Calculate_cap_emi!$L$14:$L$21,
        Calculate_cap_emi!$AL$14:$AL$21, "Not found", 0),"Rl",_xlfn.XLOOKUP(E53&amp;"|"&amp;B53,
        Calculate_cap_emi!$I$14:$I$21&amp;"|"&amp;Calculate_cap_emi!$L$14:$L$21,
        Calculate_cap_emi!$AM$14:$AM$21, "Not found", 0),"HP",_xlfn.XLOOKUP(E53&amp;"|"&amp;B53,
        Calculate_cap_emi!$I$14:$I$21&amp;"|"&amp;Calculate_cap_emi!$L$14:$L$21,
        Calculate_cap_emi!$AK$14:$AK$21, "Not found", 0),"HPl",_xlfn.XLOOKUP(E53&amp;"|"&amp;B53,
        Calculate_cap_emi!$I$14:$I$21&amp;"|"&amp;Calculate_cap_emi!$L$14:$L$21,
        Calculate_cap_emi!$AN$14:$AN$21, "Not found", 0),"Missing")</f>
        <v>27.448470358391585</v>
      </c>
      <c r="R53" s="5" cm="1">
        <f t="array" ref="R53">_xlfn.SWITCH(F53,"R",_xlfn.XLOOKUP(E53&amp;"|"&amp;B53,
        Calculate_cap_emi!$I$14:$I$21&amp;"|"&amp;Calculate_cap_emi!$L$14:$L$21,
        Calculate_cap_emi!$AQ$14:$AQ$21, "Not found", 0),"Rb",_xlfn.XLOOKUP(E53&amp;"|"&amp;B53,
        Calculate_cap_emi!$I$14:$I$21&amp;"|"&amp;Calculate_cap_emi!$L$14:$L$21,
        Calculate_cap_emi!$AS$14:$AS$21, "Not found", 0),"Rl",_xlfn.XLOOKUP(E53&amp;"|"&amp;B53,
        Calculate_cap_emi!$I$14:$I$21&amp;"|"&amp;Calculate_cap_emi!$L$14:$L$21,
        Calculate_cap_emi!$AT$14:$AT$21, "Not found", 0),"HP",_xlfn.XLOOKUP(E53&amp;"|"&amp;B53,
        Calculate_cap_emi!$I$14:$I$21&amp;"|"&amp;Calculate_cap_emi!$L$14:$L$21,
        Calculate_cap_emi!$AR$14:$AR$21, "Not found", 0),"HPl",_xlfn.XLOOKUP(E53&amp;"|"&amp;B53,
        Calculate_cap_emi!$I$14:$I$21&amp;"|"&amp;Calculate_cap_emi!$L$14:$L$21,
        Calculate_cap_emi!$AU$14:$AU$21, "Not found", 0),"Missing")</f>
        <v>76.312009027058821</v>
      </c>
      <c r="S53" s="5" cm="1">
        <f t="array" ref="S53">_xlfn.SWITCH(F53,"R",_xlfn.XLOOKUP(E53&amp;"|"&amp;B53,
        Calculate_cap_emi!$I$14:$I$21&amp;"|"&amp;Calculate_cap_emi!$L$14:$L$21,
        Calculate_cap_emi!$AX$14:$AX$21, "Not found", 0),"Rb",_xlfn.XLOOKUP(E53&amp;"|"&amp;B53,
        Calculate_cap_emi!$I$14:$I$21&amp;"|"&amp;Calculate_cap_emi!$L$14:$L$21,
        Calculate_cap_emi!$AZ$14:$AZ$21, "Not found", 0),"Rl",_xlfn.XLOOKUP(E53&amp;"|"&amp;B53,
        Calculate_cap_emi!$I$14:$I$21&amp;"|"&amp;Calculate_cap_emi!$L$14:$L$21,
        Calculate_cap_emi!$BA$14:$BA$21, "Not found", 0),"HP",_xlfn.XLOOKUP(E53&amp;"|"&amp;B53,
        Calculate_cap_emi!$I$14:$I$21&amp;"|"&amp;Calculate_cap_emi!$L$14:$L$21,
        Calculate_cap_emi!$AY$14:$AY$21, "Not found", 0),"HPl",_xlfn.XLOOKUP(E53&amp;"|"&amp;B53,
        Calculate_cap_emi!$I$14:$I$21&amp;"|"&amp;Calculate_cap_emi!$L$14:$L$21,
        Calculate_cap_emi!$BB$14:$BB$21, "Not found", 0),"Missing")</f>
        <v>241.32799335294118</v>
      </c>
      <c r="T53" s="5" cm="1">
        <f t="array" ref="T53">_xlfn.SWITCH(F53,"R",_xlfn.XLOOKUP(E53&amp;"|"&amp;B53,
        Calculate_cap_emi!$I$14:$I$21&amp;"|"&amp;Calculate_cap_emi!$L$14:$L$21,
        Calculate_cap_emi!$BE$14:$BE$21, "Not found", 0),"Rb",_xlfn.XLOOKUP(E53&amp;"|"&amp;B53,
        Calculate_cap_emi!$I$14:$I$21&amp;"|"&amp;Calculate_cap_emi!$L$14:$L$21,
        Calculate_cap_emi!$BG$14:$BG$21, "Not found", 0),"Rl",_xlfn.XLOOKUP(E53&amp;"|"&amp;B53,
        Calculate_cap_emi!$I$14:$I$21&amp;"|"&amp;Calculate_cap_emi!$L$14:$L$21,
        Calculate_cap_emi!$BH$14:$BH$21, "Not found", 0),"HP",_xlfn.XLOOKUP(E53&amp;"|"&amp;B53,
        Calculate_cap_emi!$I$14:$I$21&amp;"|"&amp;Calculate_cap_emi!$L$14:$L$21,
        Calculate_cap_emi!$BF$14:$BF$21, "Not found", 0),"HPl",_xlfn.XLOOKUP(E53&amp;"|"&amp;B53,
        Calculate_cap_emi!$I$14:$I$21&amp;"|"&amp;Calculate_cap_emi!$L$14:$L$21,
        Calculate_cap_emi!$BI$14:$BI$21, "Not found", 0),"Missing")</f>
        <v>1264.174085135294</v>
      </c>
      <c r="U53" s="5" cm="1">
        <f t="array" ref="U53">_xlfn.SWITCH(F53,"R",_xlfn.XLOOKUP(E53&amp;"|"&amp;B53,
        Calculate_cap_emi_sens!$I$14:$I$21&amp;"|"&amp;Calculate_cap_emi_sens!$L$14:$L$21,
        Calculate_cap_emi_sens!$AX$14:$AX$21, "Not found", 0),"Rb",_xlfn.XLOOKUP(E53&amp;"|"&amp;B53,
        Calculate_cap_emi_sens!$I$14:$I$21&amp;"|"&amp;Calculate_cap_emi_sens!$L$14:$L$21,
        Calculate_cap_emi_sens!$AZ$14:$AZ$21, "Not found", 0),"Rl",_xlfn.XLOOKUP(E53&amp;"|"&amp;B53,
        Calculate_cap_emi_sens!$I$14:$I$21&amp;"|"&amp;Calculate_cap_emi_sens!$L$14:$L$21,
        Calculate_cap_emi_sens!$BA$14:$BA$21, "Not found", 0),"HP",_xlfn.XLOOKUP(E53&amp;"|"&amp;B53,
        Calculate_cap_emi_sens!$I$14:$I$21&amp;"|"&amp;Calculate_cap_emi_sens!$L$14:$L$21,
        Calculate_cap_emi_sens!$AY$14:$AY$21, "Not found", 0),"HPl",_xlfn.XLOOKUP(E53&amp;"|"&amp;B53,
        Calculate_cap_emi_sens!$I$14:$I$21&amp;"|"&amp;Calculate_cap_emi_sens!$L$14:$L$21,
        Calculate_cap_emi_sens!$BB$14:$BB$21, "Not found", 0),"Missing")</f>
        <v>85.718207813127265</v>
      </c>
      <c r="V53" s="5" cm="1">
        <f t="array" ref="V53">_xlfn.SWITCH(F53,"R",_xlfn.XLOOKUP(E53&amp;"|"&amp;B53,
        Calculate_cap_emi_sens!$I$14:$I$21&amp;"|"&amp;Calculate_cap_emi_sens!$L$14:$L$21,
        Calculate_cap_emi_sens!$BE$14:$BE$21, "Not found", 0),"Rb",_xlfn.XLOOKUP(E53&amp;"|"&amp;B53,
        Calculate_cap_emi_sens!$I$14:$I$21&amp;"|"&amp;Calculate_cap_emi_sens!$L$14:$L$21,
        Calculate_cap_emi_sens!$BG$14:$BG$21, "Not found", 0),"Rl",_xlfn.XLOOKUP(E53&amp;"|"&amp;B53,
        Calculate_cap_emi_sens!$I$14:$I$21&amp;"|"&amp;Calculate_cap_emi_sens!$L$14:$L$21,
        Calculate_cap_emi_sens!$BH$14:$BH$21, "Not found", 0),"HP",_xlfn.XLOOKUP(E53&amp;"|"&amp;B53,
        Calculate_cap_emi_sens!$I$14:$I$21&amp;"|"&amp;Calculate_cap_emi_sens!$L$14:$L$21,
        Calculate_cap_emi_sens!$BF$14:$BF$21, "Not found", 0),"HPl",_xlfn.XLOOKUP(E53&amp;"|"&amp;B53,
        Calculate_cap_emi_sens!$I$14:$I$21&amp;"|"&amp;Calculate_cap_emi_sens!$L$14:$L$21,
        Calculate_cap_emi_sens!$BI$14:$BI$21, "Not found", 0),"Missing")</f>
        <v>480.35241137292394</v>
      </c>
      <c r="W53" s="5">
        <f>Results_proc_ener!L53</f>
        <v>32134.631092941177</v>
      </c>
      <c r="X53" s="5">
        <f>Results_proc_ener!M53</f>
        <v>0</v>
      </c>
      <c r="Y53" s="5">
        <f>Results_proc_ener!N53</f>
        <v>0</v>
      </c>
      <c r="Z53" s="5">
        <f>Results_proc_ener!O53</f>
        <v>0</v>
      </c>
      <c r="AA53" s="5">
        <f>Results_proc_ener!P53</f>
        <v>0</v>
      </c>
      <c r="AB53" s="5">
        <f>Results_proc_ener!Q53</f>
        <v>581.32138067218239</v>
      </c>
      <c r="AC53" s="5">
        <f>Results_proc_ener!R53</f>
        <v>1385.8191882705883</v>
      </c>
      <c r="AD53" s="5">
        <f>Results_proc_ener!S53</f>
        <v>6795.3958991176469</v>
      </c>
      <c r="AE53" s="5">
        <f>Results_proc_ener!T53</f>
        <v>7331.117875941176</v>
      </c>
    </row>
    <row r="54" spans="1:31" x14ac:dyDescent="0.25">
      <c r="A54" s="5" t="s">
        <v>7</v>
      </c>
      <c r="B54" s="5" t="str">
        <f t="shared" si="0"/>
        <v>Mod-Nom</v>
      </c>
      <c r="C54" s="5" t="str">
        <f t="shared" si="1"/>
        <v>Mod</v>
      </c>
      <c r="D54" s="5" t="str">
        <f t="shared" si="2"/>
        <v>Nom</v>
      </c>
      <c r="E54" s="5" t="s">
        <v>3</v>
      </c>
      <c r="F54" s="5" t="s">
        <v>16</v>
      </c>
      <c r="G54" s="5"/>
      <c r="H54" s="5" cm="1">
        <f t="array" ref="H54">_xlfn.SWITCH(F54,"HP",_xlfn.XLOOKUP(E54&amp;"|"&amp;B54,
        Calculate_cap_emi!$I$14:$I$21&amp;"|"&amp;Calculate_cap_emi!$L$14:$L$21,
        Calculate_cap_emi!$X$14:$X$21, "Not found", 0),"HPl",_xlfn.XLOOKUP(E54&amp;"|"&amp;B54,
        Calculate_cap_emi!$I$14:$I$21&amp;"|"&amp;Calculate_cap_emi!$L$14:$L$21,
        Calculate_cap_emi!$AA$14:$AA$21, "Not found", 0),)</f>
        <v>11</v>
      </c>
      <c r="I54" s="5"/>
      <c r="J54" s="5"/>
      <c r="K54" s="5"/>
      <c r="L54" s="5" cm="1">
        <f t="array" ref="L54">_xlfn.SWITCH(F54,"R",_xlfn.XLOOKUP(E54&amp;"|"&amp;B54,
        Calculate_cap_emi!$I$14:$I$21&amp;"|"&amp;Calculate_cap_emi!$L$14:$L$21,
        Calculate_cap_emi!$AC$14:$AC$21, "Not found", 0),"Rb",_xlfn.XLOOKUP(E54&amp;"|"&amp;B54,
        Calculate_cap_emi!$I$14:$I$21&amp;"|"&amp;Calculate_cap_emi!$L$14:$L$21,
        Calculate_cap_emi!$AE$14:$AE$21, "Not found", 0),"Rl",_xlfn.XLOOKUP(E54&amp;"|"&amp;B54,
        Calculate_cap_emi!$I$14:$I$21&amp;"|"&amp;Calculate_cap_emi!$L$14:$L$21,
        Calculate_cap_emi!$AF$14:$AF$21, "Not found", 0),"HP",_xlfn.XLOOKUP(E54&amp;"|"&amp;B54,
        Calculate_cap_emi!$I$14:$I$21&amp;"|"&amp;Calculate_cap_emi!$L$14:$L$21,
        Calculate_cap_emi!$AD$14:$AD$21, "Not found", 0),"HPl",_xlfn.XLOOKUP(E54&amp;"|"&amp;B54,
        Calculate_cap_emi!$I$14:$I$21&amp;"|"&amp;Calculate_cap_emi!$L$14:$L$21,
        Calculate_cap_emi!$AG$14:$AG$21, "Not found", 0),"Missing")</f>
        <v>1869.5477896941175</v>
      </c>
      <c r="M54" s="5"/>
      <c r="N54" s="5"/>
      <c r="O54" s="5"/>
      <c r="P54" s="5"/>
      <c r="Q54" s="5" cm="1">
        <f t="array" ref="Q54">_xlfn.SWITCH(F54,"R",_xlfn.XLOOKUP(E54&amp;"|"&amp;B54,
        Calculate_cap_emi!$I$14:$I$21&amp;"|"&amp;Calculate_cap_emi!$L$14:$L$21,
        Calculate_cap_emi!$AJ$14:$AJ$21, "Not found", 0),"Rb",_xlfn.XLOOKUP(E54&amp;"|"&amp;B54,
        Calculate_cap_emi!$I$14:$I$21&amp;"|"&amp;Calculate_cap_emi!$L$14:$L$21,
        Calculate_cap_emi!$AL$14:$AL$21, "Not found", 0),"Rl",_xlfn.XLOOKUP(E54&amp;"|"&amp;B54,
        Calculate_cap_emi!$I$14:$I$21&amp;"|"&amp;Calculate_cap_emi!$L$14:$L$21,
        Calculate_cap_emi!$AM$14:$AM$21, "Not found", 0),"HP",_xlfn.XLOOKUP(E54&amp;"|"&amp;B54,
        Calculate_cap_emi!$I$14:$I$21&amp;"|"&amp;Calculate_cap_emi!$L$14:$L$21,
        Calculate_cap_emi!$AK$14:$AK$21, "Not found", 0),"HPl",_xlfn.XLOOKUP(E54&amp;"|"&amp;B54,
        Calculate_cap_emi!$I$14:$I$21&amp;"|"&amp;Calculate_cap_emi!$L$14:$L$21,
        Calculate_cap_emi!$AN$14:$AN$21, "Not found", 0),"Missing")</f>
        <v>44.044790198347627</v>
      </c>
      <c r="R54" s="5" cm="1">
        <f t="array" ref="R54">_xlfn.SWITCH(F54,"R",_xlfn.XLOOKUP(E54&amp;"|"&amp;B54,
        Calculate_cap_emi!$I$14:$I$21&amp;"|"&amp;Calculate_cap_emi!$L$14:$L$21,
        Calculate_cap_emi!$AQ$14:$AQ$21, "Not found", 0),"Rb",_xlfn.XLOOKUP(E54&amp;"|"&amp;B54,
        Calculate_cap_emi!$I$14:$I$21&amp;"|"&amp;Calculate_cap_emi!$L$14:$L$21,
        Calculate_cap_emi!$AS$14:$AS$21, "Not found", 0),"Rl",_xlfn.XLOOKUP(E54&amp;"|"&amp;B54,
        Calculate_cap_emi!$I$14:$I$21&amp;"|"&amp;Calculate_cap_emi!$L$14:$L$21,
        Calculate_cap_emi!$AT$14:$AT$21, "Not found", 0),"HP",_xlfn.XLOOKUP(E54&amp;"|"&amp;B54,
        Calculate_cap_emi!$I$14:$I$21&amp;"|"&amp;Calculate_cap_emi!$L$14:$L$21,
        Calculate_cap_emi!$AR$14:$AR$21, "Not found", 0),"HPl",_xlfn.XLOOKUP(E54&amp;"|"&amp;B54,
        Calculate_cap_emi!$I$14:$I$21&amp;"|"&amp;Calculate_cap_emi!$L$14:$L$21,
        Calculate_cap_emi!$AU$14:$AU$21, "Not found", 0),"Missing")</f>
        <v>141.5319972952941</v>
      </c>
      <c r="S54" s="5" cm="1">
        <f t="array" ref="S54">_xlfn.SWITCH(F54,"R",_xlfn.XLOOKUP(E54&amp;"|"&amp;B54,
        Calculate_cap_emi!$I$14:$I$21&amp;"|"&amp;Calculate_cap_emi!$L$14:$L$21,
        Calculate_cap_emi!$AX$14:$AX$21, "Not found", 0),"Rb",_xlfn.XLOOKUP(E54&amp;"|"&amp;B54,
        Calculate_cap_emi!$I$14:$I$21&amp;"|"&amp;Calculate_cap_emi!$L$14:$L$21,
        Calculate_cap_emi!$AZ$14:$AZ$21, "Not found", 0),"Rl",_xlfn.XLOOKUP(E54&amp;"|"&amp;B54,
        Calculate_cap_emi!$I$14:$I$21&amp;"|"&amp;Calculate_cap_emi!$L$14:$L$21,
        Calculate_cap_emi!$BA$14:$BA$21, "Not found", 0),"HP",_xlfn.XLOOKUP(E54&amp;"|"&amp;B54,
        Calculate_cap_emi!$I$14:$I$21&amp;"|"&amp;Calculate_cap_emi!$L$14:$L$21,
        Calculate_cap_emi!$AY$14:$AY$21, "Not found", 0),"HPl",_xlfn.XLOOKUP(E54&amp;"|"&amp;B54,
        Calculate_cap_emi!$I$14:$I$21&amp;"|"&amp;Calculate_cap_emi!$L$14:$L$21,
        Calculate_cap_emi!$BB$14:$BB$21, "Not found", 0),"Missing")</f>
        <v>371.34623669411764</v>
      </c>
      <c r="T54" s="5" cm="1">
        <f t="array" ref="T54">_xlfn.SWITCH(F54,"R",_xlfn.XLOOKUP(E54&amp;"|"&amp;B54,
        Calculate_cap_emi!$I$14:$I$21&amp;"|"&amp;Calculate_cap_emi!$L$14:$L$21,
        Calculate_cap_emi!$BE$14:$BE$21, "Not found", 0),"Rb",_xlfn.XLOOKUP(E54&amp;"|"&amp;B54,
        Calculate_cap_emi!$I$14:$I$21&amp;"|"&amp;Calculate_cap_emi!$L$14:$L$21,
        Calculate_cap_emi!$BG$14:$BG$21, "Not found", 0),"Rl",_xlfn.XLOOKUP(E54&amp;"|"&amp;B54,
        Calculate_cap_emi!$I$14:$I$21&amp;"|"&amp;Calculate_cap_emi!$L$14:$L$21,
        Calculate_cap_emi!$BH$14:$BH$21, "Not found", 0),"HP",_xlfn.XLOOKUP(E54&amp;"|"&amp;B54,
        Calculate_cap_emi!$I$14:$I$21&amp;"|"&amp;Calculate_cap_emi!$L$14:$L$21,
        Calculate_cap_emi!$BF$14:$BF$21, "Not found", 0),"HPl",_xlfn.XLOOKUP(E54&amp;"|"&amp;B54,
        Calculate_cap_emi!$I$14:$I$21&amp;"|"&amp;Calculate_cap_emi!$L$14:$L$21,
        Calculate_cap_emi!$BI$14:$BI$21, "Not found", 0),"Missing")</f>
        <v>1993.5191578235294</v>
      </c>
      <c r="U54" s="5" cm="1">
        <f t="array" ref="U54">_xlfn.SWITCH(F54,"R",_xlfn.XLOOKUP(E54&amp;"|"&amp;B54,
        Calculate_cap_emi_sens!$I$14:$I$21&amp;"|"&amp;Calculate_cap_emi_sens!$L$14:$L$21,
        Calculate_cap_emi_sens!$AX$14:$AX$21, "Not found", 0),"Rb",_xlfn.XLOOKUP(E54&amp;"|"&amp;B54,
        Calculate_cap_emi_sens!$I$14:$I$21&amp;"|"&amp;Calculate_cap_emi_sens!$L$14:$L$21,
        Calculate_cap_emi_sens!$AZ$14:$AZ$21, "Not found", 0),"Rl",_xlfn.XLOOKUP(E54&amp;"|"&amp;B54,
        Calculate_cap_emi_sens!$I$14:$I$21&amp;"|"&amp;Calculate_cap_emi_sens!$L$14:$L$21,
        Calculate_cap_emi_sens!$BA$14:$BA$21, "Not found", 0),"HP",_xlfn.XLOOKUP(E54&amp;"|"&amp;B54,
        Calculate_cap_emi_sens!$I$14:$I$21&amp;"|"&amp;Calculate_cap_emi_sens!$L$14:$L$21,
        Calculate_cap_emi_sens!$AY$14:$AY$21, "Not found", 0),"HPl",_xlfn.XLOOKUP(E54&amp;"|"&amp;B54,
        Calculate_cap_emi_sens!$I$14:$I$21&amp;"|"&amp;Calculate_cap_emi_sens!$L$14:$L$21,
        Calculate_cap_emi_sens!$BB$14:$BB$21, "Not found", 0),"Missing")</f>
        <v>119.17050807353138</v>
      </c>
      <c r="V54" s="5" cm="1">
        <f t="array" ref="V54">_xlfn.SWITCH(F54,"R",_xlfn.XLOOKUP(E54&amp;"|"&amp;B54,
        Calculate_cap_emi_sens!$I$14:$I$21&amp;"|"&amp;Calculate_cap_emi_sens!$L$14:$L$21,
        Calculate_cap_emi_sens!$BE$14:$BE$21, "Not found", 0),"Rb",_xlfn.XLOOKUP(E54&amp;"|"&amp;B54,
        Calculate_cap_emi_sens!$I$14:$I$21&amp;"|"&amp;Calculate_cap_emi_sens!$L$14:$L$21,
        Calculate_cap_emi_sens!$BG$14:$BG$21, "Not found", 0),"Rl",_xlfn.XLOOKUP(E54&amp;"|"&amp;B54,
        Calculate_cap_emi_sens!$I$14:$I$21&amp;"|"&amp;Calculate_cap_emi_sens!$L$14:$L$21,
        Calculate_cap_emi_sens!$BH$14:$BH$21, "Not found", 0),"HP",_xlfn.XLOOKUP(E54&amp;"|"&amp;B54,
        Calculate_cap_emi_sens!$I$14:$I$21&amp;"|"&amp;Calculate_cap_emi_sens!$L$14:$L$21,
        Calculate_cap_emi_sens!$BF$14:$BF$21, "Not found", 0),"HPl",_xlfn.XLOOKUP(E54&amp;"|"&amp;B54,
        Calculate_cap_emi_sens!$I$14:$I$21&amp;"|"&amp;Calculate_cap_emi_sens!$L$14:$L$21,
        Calculate_cap_emi_sens!$BI$14:$BI$21, "Not found", 0),"Missing")</f>
        <v>657.00509128131785</v>
      </c>
      <c r="W54" s="5">
        <f>Results_proc_ener!L54</f>
        <v>53142.195095294119</v>
      </c>
      <c r="X54" s="5">
        <f>Results_proc_ener!M54</f>
        <v>0</v>
      </c>
      <c r="Y54" s="5">
        <f>Results_proc_ener!N54</f>
        <v>0</v>
      </c>
      <c r="Z54" s="5">
        <f>Results_proc_ener!O54</f>
        <v>0</v>
      </c>
      <c r="AA54" s="5">
        <f>Results_proc_ener!P54</f>
        <v>0</v>
      </c>
      <c r="AB54" s="5">
        <f>Results_proc_ener!Q54</f>
        <v>932.80892943064509</v>
      </c>
      <c r="AC54" s="5">
        <f>Results_proc_ener!R54</f>
        <v>2422.4803875176467</v>
      </c>
      <c r="AD54" s="5">
        <f>Results_proc_ener!S54</f>
        <v>13297.161322117647</v>
      </c>
      <c r="AE54" s="5">
        <f>Results_proc_ener!T54</f>
        <v>12497.435928884614</v>
      </c>
    </row>
    <row r="55" spans="1:31" x14ac:dyDescent="0.25">
      <c r="A55" s="5" t="s">
        <v>8</v>
      </c>
      <c r="B55" s="5" t="str">
        <f t="shared" si="0"/>
        <v>Mod-Nom</v>
      </c>
      <c r="C55" s="5" t="str">
        <f t="shared" si="1"/>
        <v>Mod</v>
      </c>
      <c r="D55" s="5" t="str">
        <f t="shared" si="2"/>
        <v>Nom</v>
      </c>
      <c r="E55" s="5" t="s">
        <v>3</v>
      </c>
      <c r="F55" s="5" t="s">
        <v>16</v>
      </c>
      <c r="G55" s="5"/>
      <c r="H55" s="5" cm="1">
        <f t="array" ref="H55">_xlfn.SWITCH(F55,"HP",_xlfn.XLOOKUP(E55&amp;"|"&amp;B55,
        Calculate_cap_emi!$I$14:$I$21&amp;"|"&amp;Calculate_cap_emi!$L$14:$L$21,
        Calculate_cap_emi!$X$14:$X$21, "Not found", 0),"HPl",_xlfn.XLOOKUP(E55&amp;"|"&amp;B55,
        Calculate_cap_emi!$I$14:$I$21&amp;"|"&amp;Calculate_cap_emi!$L$14:$L$21,
        Calculate_cap_emi!$AA$14:$AA$21, "Not found", 0),)</f>
        <v>11</v>
      </c>
      <c r="I55" s="5"/>
      <c r="J55" s="5"/>
      <c r="K55" s="5"/>
      <c r="L55" s="5" cm="1">
        <f t="array" ref="L55">_xlfn.SWITCH(F55,"R",_xlfn.XLOOKUP(E55&amp;"|"&amp;B55,
        Calculate_cap_emi!$I$14:$I$21&amp;"|"&amp;Calculate_cap_emi!$L$14:$L$21,
        Calculate_cap_emi!$AC$14:$AC$21, "Not found", 0),"Rb",_xlfn.XLOOKUP(E55&amp;"|"&amp;B55,
        Calculate_cap_emi!$I$14:$I$21&amp;"|"&amp;Calculate_cap_emi!$L$14:$L$21,
        Calculate_cap_emi!$AE$14:$AE$21, "Not found", 0),"Rl",_xlfn.XLOOKUP(E55&amp;"|"&amp;B55,
        Calculate_cap_emi!$I$14:$I$21&amp;"|"&amp;Calculate_cap_emi!$L$14:$L$21,
        Calculate_cap_emi!$AF$14:$AF$21, "Not found", 0),"HP",_xlfn.XLOOKUP(E55&amp;"|"&amp;B55,
        Calculate_cap_emi!$I$14:$I$21&amp;"|"&amp;Calculate_cap_emi!$L$14:$L$21,
        Calculate_cap_emi!$AD$14:$AD$21, "Not found", 0),"HPl",_xlfn.XLOOKUP(E55&amp;"|"&amp;B55,
        Calculate_cap_emi!$I$14:$I$21&amp;"|"&amp;Calculate_cap_emi!$L$14:$L$21,
        Calculate_cap_emi!$AG$14:$AG$21, "Not found", 0),"Missing")</f>
        <v>1869.5477896941175</v>
      </c>
      <c r="M55" s="5"/>
      <c r="N55" s="5"/>
      <c r="O55" s="5"/>
      <c r="P55" s="5"/>
      <c r="Q55" s="5" cm="1">
        <f t="array" ref="Q55">_xlfn.SWITCH(F55,"R",_xlfn.XLOOKUP(E55&amp;"|"&amp;B55,
        Calculate_cap_emi!$I$14:$I$21&amp;"|"&amp;Calculate_cap_emi!$L$14:$L$21,
        Calculate_cap_emi!$AJ$14:$AJ$21, "Not found", 0),"Rb",_xlfn.XLOOKUP(E55&amp;"|"&amp;B55,
        Calculate_cap_emi!$I$14:$I$21&amp;"|"&amp;Calculate_cap_emi!$L$14:$L$21,
        Calculate_cap_emi!$AL$14:$AL$21, "Not found", 0),"Rl",_xlfn.XLOOKUP(E55&amp;"|"&amp;B55,
        Calculate_cap_emi!$I$14:$I$21&amp;"|"&amp;Calculate_cap_emi!$L$14:$L$21,
        Calculate_cap_emi!$AM$14:$AM$21, "Not found", 0),"HP",_xlfn.XLOOKUP(E55&amp;"|"&amp;B55,
        Calculate_cap_emi!$I$14:$I$21&amp;"|"&amp;Calculate_cap_emi!$L$14:$L$21,
        Calculate_cap_emi!$AK$14:$AK$21, "Not found", 0),"HPl",_xlfn.XLOOKUP(E55&amp;"|"&amp;B55,
        Calculate_cap_emi!$I$14:$I$21&amp;"|"&amp;Calculate_cap_emi!$L$14:$L$21,
        Calculate_cap_emi!$AN$14:$AN$21, "Not found", 0),"Missing")</f>
        <v>44.044790198347627</v>
      </c>
      <c r="R55" s="5" cm="1">
        <f t="array" ref="R55">_xlfn.SWITCH(F55,"R",_xlfn.XLOOKUP(E55&amp;"|"&amp;B55,
        Calculate_cap_emi!$I$14:$I$21&amp;"|"&amp;Calculate_cap_emi!$L$14:$L$21,
        Calculate_cap_emi!$AQ$14:$AQ$21, "Not found", 0),"Rb",_xlfn.XLOOKUP(E55&amp;"|"&amp;B55,
        Calculate_cap_emi!$I$14:$I$21&amp;"|"&amp;Calculate_cap_emi!$L$14:$L$21,
        Calculate_cap_emi!$AS$14:$AS$21, "Not found", 0),"Rl",_xlfn.XLOOKUP(E55&amp;"|"&amp;B55,
        Calculate_cap_emi!$I$14:$I$21&amp;"|"&amp;Calculate_cap_emi!$L$14:$L$21,
        Calculate_cap_emi!$AT$14:$AT$21, "Not found", 0),"HP",_xlfn.XLOOKUP(E55&amp;"|"&amp;B55,
        Calculate_cap_emi!$I$14:$I$21&amp;"|"&amp;Calculate_cap_emi!$L$14:$L$21,
        Calculate_cap_emi!$AR$14:$AR$21, "Not found", 0),"HPl",_xlfn.XLOOKUP(E55&amp;"|"&amp;B55,
        Calculate_cap_emi!$I$14:$I$21&amp;"|"&amp;Calculate_cap_emi!$L$14:$L$21,
        Calculate_cap_emi!$AU$14:$AU$21, "Not found", 0),"Missing")</f>
        <v>141.5319972952941</v>
      </c>
      <c r="S55" s="5" cm="1">
        <f t="array" ref="S55">_xlfn.SWITCH(F55,"R",_xlfn.XLOOKUP(E55&amp;"|"&amp;B55,
        Calculate_cap_emi!$I$14:$I$21&amp;"|"&amp;Calculate_cap_emi!$L$14:$L$21,
        Calculate_cap_emi!$AX$14:$AX$21, "Not found", 0),"Rb",_xlfn.XLOOKUP(E55&amp;"|"&amp;B55,
        Calculate_cap_emi!$I$14:$I$21&amp;"|"&amp;Calculate_cap_emi!$L$14:$L$21,
        Calculate_cap_emi!$AZ$14:$AZ$21, "Not found", 0),"Rl",_xlfn.XLOOKUP(E55&amp;"|"&amp;B55,
        Calculate_cap_emi!$I$14:$I$21&amp;"|"&amp;Calculate_cap_emi!$L$14:$L$21,
        Calculate_cap_emi!$BA$14:$BA$21, "Not found", 0),"HP",_xlfn.XLOOKUP(E55&amp;"|"&amp;B55,
        Calculate_cap_emi!$I$14:$I$21&amp;"|"&amp;Calculate_cap_emi!$L$14:$L$21,
        Calculate_cap_emi!$AY$14:$AY$21, "Not found", 0),"HPl",_xlfn.XLOOKUP(E55&amp;"|"&amp;B55,
        Calculate_cap_emi!$I$14:$I$21&amp;"|"&amp;Calculate_cap_emi!$L$14:$L$21,
        Calculate_cap_emi!$BB$14:$BB$21, "Not found", 0),"Missing")</f>
        <v>371.34623669411764</v>
      </c>
      <c r="T55" s="5" cm="1">
        <f t="array" ref="T55">_xlfn.SWITCH(F55,"R",_xlfn.XLOOKUP(E55&amp;"|"&amp;B55,
        Calculate_cap_emi!$I$14:$I$21&amp;"|"&amp;Calculate_cap_emi!$L$14:$L$21,
        Calculate_cap_emi!$BE$14:$BE$21, "Not found", 0),"Rb",_xlfn.XLOOKUP(E55&amp;"|"&amp;B55,
        Calculate_cap_emi!$I$14:$I$21&amp;"|"&amp;Calculate_cap_emi!$L$14:$L$21,
        Calculate_cap_emi!$BG$14:$BG$21, "Not found", 0),"Rl",_xlfn.XLOOKUP(E55&amp;"|"&amp;B55,
        Calculate_cap_emi!$I$14:$I$21&amp;"|"&amp;Calculate_cap_emi!$L$14:$L$21,
        Calculate_cap_emi!$BH$14:$BH$21, "Not found", 0),"HP",_xlfn.XLOOKUP(E55&amp;"|"&amp;B55,
        Calculate_cap_emi!$I$14:$I$21&amp;"|"&amp;Calculate_cap_emi!$L$14:$L$21,
        Calculate_cap_emi!$BF$14:$BF$21, "Not found", 0),"HPl",_xlfn.XLOOKUP(E55&amp;"|"&amp;B55,
        Calculate_cap_emi!$I$14:$I$21&amp;"|"&amp;Calculate_cap_emi!$L$14:$L$21,
        Calculate_cap_emi!$BI$14:$BI$21, "Not found", 0),"Missing")</f>
        <v>1993.5191578235294</v>
      </c>
      <c r="U55" s="5" cm="1">
        <f t="array" ref="U55">_xlfn.SWITCH(F55,"R",_xlfn.XLOOKUP(E55&amp;"|"&amp;B55,
        Calculate_cap_emi_sens!$I$14:$I$21&amp;"|"&amp;Calculate_cap_emi_sens!$L$14:$L$21,
        Calculate_cap_emi_sens!$AX$14:$AX$21, "Not found", 0),"Rb",_xlfn.XLOOKUP(E55&amp;"|"&amp;B55,
        Calculate_cap_emi_sens!$I$14:$I$21&amp;"|"&amp;Calculate_cap_emi_sens!$L$14:$L$21,
        Calculate_cap_emi_sens!$AZ$14:$AZ$21, "Not found", 0),"Rl",_xlfn.XLOOKUP(E55&amp;"|"&amp;B55,
        Calculate_cap_emi_sens!$I$14:$I$21&amp;"|"&amp;Calculate_cap_emi_sens!$L$14:$L$21,
        Calculate_cap_emi_sens!$BA$14:$BA$21, "Not found", 0),"HP",_xlfn.XLOOKUP(E55&amp;"|"&amp;B55,
        Calculate_cap_emi_sens!$I$14:$I$21&amp;"|"&amp;Calculate_cap_emi_sens!$L$14:$L$21,
        Calculate_cap_emi_sens!$AY$14:$AY$21, "Not found", 0),"HPl",_xlfn.XLOOKUP(E55&amp;"|"&amp;B55,
        Calculate_cap_emi_sens!$I$14:$I$21&amp;"|"&amp;Calculate_cap_emi_sens!$L$14:$L$21,
        Calculate_cap_emi_sens!$BB$14:$BB$21, "Not found", 0),"Missing")</f>
        <v>119.17050807353138</v>
      </c>
      <c r="V55" s="5" cm="1">
        <f t="array" ref="V55">_xlfn.SWITCH(F55,"R",_xlfn.XLOOKUP(E55&amp;"|"&amp;B55,
        Calculate_cap_emi_sens!$I$14:$I$21&amp;"|"&amp;Calculate_cap_emi_sens!$L$14:$L$21,
        Calculate_cap_emi_sens!$BE$14:$BE$21, "Not found", 0),"Rb",_xlfn.XLOOKUP(E55&amp;"|"&amp;B55,
        Calculate_cap_emi_sens!$I$14:$I$21&amp;"|"&amp;Calculate_cap_emi_sens!$L$14:$L$21,
        Calculate_cap_emi_sens!$BG$14:$BG$21, "Not found", 0),"Rl",_xlfn.XLOOKUP(E55&amp;"|"&amp;B55,
        Calculate_cap_emi_sens!$I$14:$I$21&amp;"|"&amp;Calculate_cap_emi_sens!$L$14:$L$21,
        Calculate_cap_emi_sens!$BH$14:$BH$21, "Not found", 0),"HP",_xlfn.XLOOKUP(E55&amp;"|"&amp;B55,
        Calculate_cap_emi_sens!$I$14:$I$21&amp;"|"&amp;Calculate_cap_emi_sens!$L$14:$L$21,
        Calculate_cap_emi_sens!$BF$14:$BF$21, "Not found", 0),"HPl",_xlfn.XLOOKUP(E55&amp;"|"&amp;B55,
        Calculate_cap_emi_sens!$I$14:$I$21&amp;"|"&amp;Calculate_cap_emi_sens!$L$14:$L$21,
        Calculate_cap_emi_sens!$BI$14:$BI$21, "Not found", 0),"Missing")</f>
        <v>657.00509128131785</v>
      </c>
      <c r="W55" s="5">
        <f>Results_proc_ener!L55</f>
        <v>53142.195095294119</v>
      </c>
      <c r="X55" s="5">
        <f>Results_proc_ener!M55</f>
        <v>0</v>
      </c>
      <c r="Y55" s="5">
        <f>Results_proc_ener!N55</f>
        <v>0</v>
      </c>
      <c r="Z55" s="5">
        <f>Results_proc_ener!O55</f>
        <v>0</v>
      </c>
      <c r="AA55" s="5">
        <f>Results_proc_ener!P55</f>
        <v>0</v>
      </c>
      <c r="AB55" s="5">
        <f>Results_proc_ener!Q55</f>
        <v>932.80892943064509</v>
      </c>
      <c r="AC55" s="5">
        <f>Results_proc_ener!R55</f>
        <v>2422.4803875176467</v>
      </c>
      <c r="AD55" s="5">
        <f>Results_proc_ener!S55</f>
        <v>13297.161322117647</v>
      </c>
      <c r="AE55" s="5">
        <f>Results_proc_ener!T55</f>
        <v>12497.435928884614</v>
      </c>
    </row>
    <row r="56" spans="1:31" x14ac:dyDescent="0.25">
      <c r="A56" s="5" t="s">
        <v>9</v>
      </c>
      <c r="B56" s="5" t="str">
        <f t="shared" si="0"/>
        <v>Mod-H1</v>
      </c>
      <c r="C56" s="5" t="str">
        <f t="shared" si="1"/>
        <v>Mod</v>
      </c>
      <c r="D56" s="5" t="str">
        <f t="shared" si="2"/>
        <v>H1</v>
      </c>
      <c r="E56" s="5" t="s">
        <v>3</v>
      </c>
      <c r="F56" s="5" t="s">
        <v>16</v>
      </c>
      <c r="G56" s="5"/>
      <c r="H56" s="5" cm="1">
        <f t="array" ref="H56">_xlfn.SWITCH(F56,"HP",_xlfn.XLOOKUP(E56&amp;"|"&amp;B56,
        Calculate_cap_emi!$I$14:$I$21&amp;"|"&amp;Calculate_cap_emi!$L$14:$L$21,
        Calculate_cap_emi!$X$14:$X$21, "Not found", 0),"HPl",_xlfn.XLOOKUP(E56&amp;"|"&amp;B56,
        Calculate_cap_emi!$I$14:$I$21&amp;"|"&amp;Calculate_cap_emi!$L$14:$L$21,
        Calculate_cap_emi!$AA$14:$AA$21, "Not found", 0),)</f>
        <v>6.5</v>
      </c>
      <c r="I56" s="5"/>
      <c r="J56" s="5"/>
      <c r="K56" s="5"/>
      <c r="L56" s="5" cm="1">
        <f t="array" ref="L56">_xlfn.SWITCH(F56,"R",_xlfn.XLOOKUP(E56&amp;"|"&amp;B56,
        Calculate_cap_emi!$I$14:$I$21&amp;"|"&amp;Calculate_cap_emi!$L$14:$L$21,
        Calculate_cap_emi!$AC$14:$AC$21, "Not found", 0),"Rb",_xlfn.XLOOKUP(E56&amp;"|"&amp;B56,
        Calculate_cap_emi!$I$14:$I$21&amp;"|"&amp;Calculate_cap_emi!$L$14:$L$21,
        Calculate_cap_emi!$AE$14:$AE$21, "Not found", 0),"Rl",_xlfn.XLOOKUP(E56&amp;"|"&amp;B56,
        Calculate_cap_emi!$I$14:$I$21&amp;"|"&amp;Calculate_cap_emi!$L$14:$L$21,
        Calculate_cap_emi!$AF$14:$AF$21, "Not found", 0),"HP",_xlfn.XLOOKUP(E56&amp;"|"&amp;B56,
        Calculate_cap_emi!$I$14:$I$21&amp;"|"&amp;Calculate_cap_emi!$L$14:$L$21,
        Calculate_cap_emi!$AD$14:$AD$21, "Not found", 0),"HPl",_xlfn.XLOOKUP(E56&amp;"|"&amp;B56,
        Calculate_cap_emi!$I$14:$I$21&amp;"|"&amp;Calculate_cap_emi!$L$14:$L$21,
        Calculate_cap_emi!$AG$14:$AG$21, "Not found", 0),"Missing")</f>
        <v>1637.2770301588232</v>
      </c>
      <c r="M56" s="5"/>
      <c r="N56" s="5"/>
      <c r="O56" s="5"/>
      <c r="P56" s="5"/>
      <c r="Q56" s="5" cm="1">
        <f t="array" ref="Q56">_xlfn.SWITCH(F56,"R",_xlfn.XLOOKUP(E56&amp;"|"&amp;B56,
        Calculate_cap_emi!$I$14:$I$21&amp;"|"&amp;Calculate_cap_emi!$L$14:$L$21,
        Calculate_cap_emi!$AJ$14:$AJ$21, "Not found", 0),"Rb",_xlfn.XLOOKUP(E56&amp;"|"&amp;B56,
        Calculate_cap_emi!$I$14:$I$21&amp;"|"&amp;Calculate_cap_emi!$L$14:$L$21,
        Calculate_cap_emi!$AL$14:$AL$21, "Not found", 0),"Rl",_xlfn.XLOOKUP(E56&amp;"|"&amp;B56,
        Calculate_cap_emi!$I$14:$I$21&amp;"|"&amp;Calculate_cap_emi!$L$14:$L$21,
        Calculate_cap_emi!$AM$14:$AM$21, "Not found", 0),"HP",_xlfn.XLOOKUP(E56&amp;"|"&amp;B56,
        Calculate_cap_emi!$I$14:$I$21&amp;"|"&amp;Calculate_cap_emi!$L$14:$L$21,
        Calculate_cap_emi!$AK$14:$AK$21, "Not found", 0),"HPl",_xlfn.XLOOKUP(E56&amp;"|"&amp;B56,
        Calculate_cap_emi!$I$14:$I$21&amp;"|"&amp;Calculate_cap_emi!$L$14:$L$21,
        Calculate_cap_emi!$AN$14:$AN$21, "Not found", 0),"Missing")</f>
        <v>38.205238593685706</v>
      </c>
      <c r="R56" s="5" cm="1">
        <f t="array" ref="R56">_xlfn.SWITCH(F56,"R",_xlfn.XLOOKUP(E56&amp;"|"&amp;B56,
        Calculate_cap_emi!$I$14:$I$21&amp;"|"&amp;Calculate_cap_emi!$L$14:$L$21,
        Calculate_cap_emi!$AQ$14:$AQ$21, "Not found", 0),"Rb",_xlfn.XLOOKUP(E56&amp;"|"&amp;B56,
        Calculate_cap_emi!$I$14:$I$21&amp;"|"&amp;Calculate_cap_emi!$L$14:$L$21,
        Calculate_cap_emi!$AS$14:$AS$21, "Not found", 0),"Rl",_xlfn.XLOOKUP(E56&amp;"|"&amp;B56,
        Calculate_cap_emi!$I$14:$I$21&amp;"|"&amp;Calculate_cap_emi!$L$14:$L$21,
        Calculate_cap_emi!$AT$14:$AT$21, "Not found", 0),"HP",_xlfn.XLOOKUP(E56&amp;"|"&amp;B56,
        Calculate_cap_emi!$I$14:$I$21&amp;"|"&amp;Calculate_cap_emi!$L$14:$L$21,
        Calculate_cap_emi!$AR$14:$AR$21, "Not found", 0),"HPl",_xlfn.XLOOKUP(E56&amp;"|"&amp;B56,
        Calculate_cap_emi!$I$14:$I$21&amp;"|"&amp;Calculate_cap_emi!$L$14:$L$21,
        Calculate_cap_emi!$AU$14:$AU$21, "Not found", 0),"Missing")</f>
        <v>107.93553843882353</v>
      </c>
      <c r="S56" s="5" cm="1">
        <f t="array" ref="S56">_xlfn.SWITCH(F56,"R",_xlfn.XLOOKUP(E56&amp;"|"&amp;B56,
        Calculate_cap_emi!$I$14:$I$21&amp;"|"&amp;Calculate_cap_emi!$L$14:$L$21,
        Calculate_cap_emi!$AX$14:$AX$21, "Not found", 0),"Rb",_xlfn.XLOOKUP(E56&amp;"|"&amp;B56,
        Calculate_cap_emi!$I$14:$I$21&amp;"|"&amp;Calculate_cap_emi!$L$14:$L$21,
        Calculate_cap_emi!$AZ$14:$AZ$21, "Not found", 0),"Rl",_xlfn.XLOOKUP(E56&amp;"|"&amp;B56,
        Calculate_cap_emi!$I$14:$I$21&amp;"|"&amp;Calculate_cap_emi!$L$14:$L$21,
        Calculate_cap_emi!$BA$14:$BA$21, "Not found", 0),"HP",_xlfn.XLOOKUP(E56&amp;"|"&amp;B56,
        Calculate_cap_emi!$I$14:$I$21&amp;"|"&amp;Calculate_cap_emi!$L$14:$L$21,
        Calculate_cap_emi!$AY$14:$AY$21, "Not found", 0),"HPl",_xlfn.XLOOKUP(E56&amp;"|"&amp;B56,
        Calculate_cap_emi!$I$14:$I$21&amp;"|"&amp;Calculate_cap_emi!$L$14:$L$21,
        Calculate_cap_emi!$BB$14:$BB$21, "Not found", 0),"Missing")</f>
        <v>335.21034629411764</v>
      </c>
      <c r="T56" s="5" cm="1">
        <f t="array" ref="T56">_xlfn.SWITCH(F56,"R",_xlfn.XLOOKUP(E56&amp;"|"&amp;B56,
        Calculate_cap_emi!$I$14:$I$21&amp;"|"&amp;Calculate_cap_emi!$L$14:$L$21,
        Calculate_cap_emi!$BE$14:$BE$21, "Not found", 0),"Rb",_xlfn.XLOOKUP(E56&amp;"|"&amp;B56,
        Calculate_cap_emi!$I$14:$I$21&amp;"|"&amp;Calculate_cap_emi!$L$14:$L$21,
        Calculate_cap_emi!$BG$14:$BG$21, "Not found", 0),"Rl",_xlfn.XLOOKUP(E56&amp;"|"&amp;B56,
        Calculate_cap_emi!$I$14:$I$21&amp;"|"&amp;Calculate_cap_emi!$L$14:$L$21,
        Calculate_cap_emi!$BH$14:$BH$21, "Not found", 0),"HP",_xlfn.XLOOKUP(E56&amp;"|"&amp;B56,
        Calculate_cap_emi!$I$14:$I$21&amp;"|"&amp;Calculate_cap_emi!$L$14:$L$21,
        Calculate_cap_emi!$BF$14:$BF$21, "Not found", 0),"HPl",_xlfn.XLOOKUP(E56&amp;"|"&amp;B56,
        Calculate_cap_emi!$I$14:$I$21&amp;"|"&amp;Calculate_cap_emi!$L$14:$L$21,
        Calculate_cap_emi!$BI$14:$BI$21, "Not found", 0),"Missing")</f>
        <v>1912.7034968999999</v>
      </c>
      <c r="U56" s="5" cm="1">
        <f t="array" ref="U56">_xlfn.SWITCH(F56,"R",_xlfn.XLOOKUP(E56&amp;"|"&amp;B56,
        Calculate_cap_emi_sens!$I$14:$I$21&amp;"|"&amp;Calculate_cap_emi_sens!$L$14:$L$21,
        Calculate_cap_emi_sens!$AX$14:$AX$21, "Not found", 0),"Rb",_xlfn.XLOOKUP(E56&amp;"|"&amp;B56,
        Calculate_cap_emi_sens!$I$14:$I$21&amp;"|"&amp;Calculate_cap_emi_sens!$L$14:$L$21,
        Calculate_cap_emi_sens!$AZ$14:$AZ$21, "Not found", 0),"Rl",_xlfn.XLOOKUP(E56&amp;"|"&amp;B56,
        Calculate_cap_emi_sens!$I$14:$I$21&amp;"|"&amp;Calculate_cap_emi_sens!$L$14:$L$21,
        Calculate_cap_emi_sens!$BA$14:$BA$21, "Not found", 0),"HP",_xlfn.XLOOKUP(E56&amp;"|"&amp;B56,
        Calculate_cap_emi_sens!$I$14:$I$21&amp;"|"&amp;Calculate_cap_emi_sens!$L$14:$L$21,
        Calculate_cap_emi_sens!$AY$14:$AY$21, "Not found", 0),"HPl",_xlfn.XLOOKUP(E56&amp;"|"&amp;B56,
        Calculate_cap_emi_sens!$I$14:$I$21&amp;"|"&amp;Calculate_cap_emi_sens!$L$14:$L$21,
        Calculate_cap_emi_sens!$BB$14:$BB$21, "Not found", 0),"Missing")</f>
        <v>104.24761957783315</v>
      </c>
      <c r="V56" s="5" cm="1">
        <f t="array" ref="V56">_xlfn.SWITCH(F56,"R",_xlfn.XLOOKUP(E56&amp;"|"&amp;B56,
        Calculate_cap_emi_sens!$I$14:$I$21&amp;"|"&amp;Calculate_cap_emi_sens!$L$14:$L$21,
        Calculate_cap_emi_sens!$BE$14:$BE$21, "Not found", 0),"Rb",_xlfn.XLOOKUP(E56&amp;"|"&amp;B56,
        Calculate_cap_emi_sens!$I$14:$I$21&amp;"|"&amp;Calculate_cap_emi_sens!$L$14:$L$21,
        Calculate_cap_emi_sens!$BG$14:$BG$21, "Not found", 0),"Rl",_xlfn.XLOOKUP(E56&amp;"|"&amp;B56,
        Calculate_cap_emi_sens!$I$14:$I$21&amp;"|"&amp;Calculate_cap_emi_sens!$L$14:$L$21,
        Calculate_cap_emi_sens!$BH$14:$BH$21, "Not found", 0),"HP",_xlfn.XLOOKUP(E56&amp;"|"&amp;B56,
        Calculate_cap_emi_sens!$I$14:$I$21&amp;"|"&amp;Calculate_cap_emi_sens!$L$14:$L$21,
        Calculate_cap_emi_sens!$BF$14:$BF$21, "Not found", 0),"HPl",_xlfn.XLOOKUP(E56&amp;"|"&amp;B56,
        Calculate_cap_emi_sens!$I$14:$I$21&amp;"|"&amp;Calculate_cap_emi_sens!$L$14:$L$21,
        Calculate_cap_emi_sens!$BI$14:$BI$21, "Not found", 0),"Missing")</f>
        <v>676.76417607880626</v>
      </c>
      <c r="W56" s="5">
        <f>Results_proc_ener!L56</f>
        <v>46517.160504705884</v>
      </c>
      <c r="X56" s="5">
        <f>Results_proc_ener!M56</f>
        <v>0</v>
      </c>
      <c r="Y56" s="5">
        <f>Results_proc_ener!N56</f>
        <v>0</v>
      </c>
      <c r="Z56" s="5">
        <f>Results_proc_ener!O56</f>
        <v>0</v>
      </c>
      <c r="AA56" s="5">
        <f>Results_proc_ener!P56</f>
        <v>0</v>
      </c>
      <c r="AB56" s="5">
        <f>Results_proc_ener!Q56</f>
        <v>809.13514517218232</v>
      </c>
      <c r="AC56" s="5">
        <f>Results_proc_ener!R56</f>
        <v>1997.2897765058824</v>
      </c>
      <c r="AD56" s="5">
        <f>Results_proc_ener!S56</f>
        <v>10953.395899117648</v>
      </c>
      <c r="AE56" s="5">
        <f>Results_proc_ener!T56</f>
        <v>11241.14637317873</v>
      </c>
    </row>
    <row r="57" spans="1:31" x14ac:dyDescent="0.25">
      <c r="A57" s="5" t="s">
        <v>10</v>
      </c>
      <c r="B57" s="5" t="str">
        <f t="shared" si="0"/>
        <v>Mod-H1</v>
      </c>
      <c r="C57" s="5" t="str">
        <f t="shared" si="1"/>
        <v>Mod</v>
      </c>
      <c r="D57" s="5" t="str">
        <f t="shared" si="2"/>
        <v>H1</v>
      </c>
      <c r="E57" s="5" t="s">
        <v>3</v>
      </c>
      <c r="F57" s="5" t="s">
        <v>16</v>
      </c>
      <c r="G57" s="5"/>
      <c r="H57" s="5" cm="1">
        <f t="array" ref="H57">_xlfn.SWITCH(F57,"HP",_xlfn.XLOOKUP(E57&amp;"|"&amp;B57,
        Calculate_cap_emi!$I$14:$I$21&amp;"|"&amp;Calculate_cap_emi!$L$14:$L$21,
        Calculate_cap_emi!$X$14:$X$21, "Not found", 0),"HPl",_xlfn.XLOOKUP(E57&amp;"|"&amp;B57,
        Calculate_cap_emi!$I$14:$I$21&amp;"|"&amp;Calculate_cap_emi!$L$14:$L$21,
        Calculate_cap_emi!$AA$14:$AA$21, "Not found", 0),)</f>
        <v>6.5</v>
      </c>
      <c r="I57" s="5"/>
      <c r="J57" s="5"/>
      <c r="K57" s="5"/>
      <c r="L57" s="5" cm="1">
        <f t="array" ref="L57">_xlfn.SWITCH(F57,"R",_xlfn.XLOOKUP(E57&amp;"|"&amp;B57,
        Calculate_cap_emi!$I$14:$I$21&amp;"|"&amp;Calculate_cap_emi!$L$14:$L$21,
        Calculate_cap_emi!$AC$14:$AC$21, "Not found", 0),"Rb",_xlfn.XLOOKUP(E57&amp;"|"&amp;B57,
        Calculate_cap_emi!$I$14:$I$21&amp;"|"&amp;Calculate_cap_emi!$L$14:$L$21,
        Calculate_cap_emi!$AE$14:$AE$21, "Not found", 0),"Rl",_xlfn.XLOOKUP(E57&amp;"|"&amp;B57,
        Calculate_cap_emi!$I$14:$I$21&amp;"|"&amp;Calculate_cap_emi!$L$14:$L$21,
        Calculate_cap_emi!$AF$14:$AF$21, "Not found", 0),"HP",_xlfn.XLOOKUP(E57&amp;"|"&amp;B57,
        Calculate_cap_emi!$I$14:$I$21&amp;"|"&amp;Calculate_cap_emi!$L$14:$L$21,
        Calculate_cap_emi!$AD$14:$AD$21, "Not found", 0),"HPl",_xlfn.XLOOKUP(E57&amp;"|"&amp;B57,
        Calculate_cap_emi!$I$14:$I$21&amp;"|"&amp;Calculate_cap_emi!$L$14:$L$21,
        Calculate_cap_emi!$AG$14:$AG$21, "Not found", 0),"Missing")</f>
        <v>1637.2770301588232</v>
      </c>
      <c r="M57" s="5"/>
      <c r="N57" s="5"/>
      <c r="O57" s="5"/>
      <c r="P57" s="5"/>
      <c r="Q57" s="5" cm="1">
        <f t="array" ref="Q57">_xlfn.SWITCH(F57,"R",_xlfn.XLOOKUP(E57&amp;"|"&amp;B57,
        Calculate_cap_emi!$I$14:$I$21&amp;"|"&amp;Calculate_cap_emi!$L$14:$L$21,
        Calculate_cap_emi!$AJ$14:$AJ$21, "Not found", 0),"Rb",_xlfn.XLOOKUP(E57&amp;"|"&amp;B57,
        Calculate_cap_emi!$I$14:$I$21&amp;"|"&amp;Calculate_cap_emi!$L$14:$L$21,
        Calculate_cap_emi!$AL$14:$AL$21, "Not found", 0),"Rl",_xlfn.XLOOKUP(E57&amp;"|"&amp;B57,
        Calculate_cap_emi!$I$14:$I$21&amp;"|"&amp;Calculate_cap_emi!$L$14:$L$21,
        Calculate_cap_emi!$AM$14:$AM$21, "Not found", 0),"HP",_xlfn.XLOOKUP(E57&amp;"|"&amp;B57,
        Calculate_cap_emi!$I$14:$I$21&amp;"|"&amp;Calculate_cap_emi!$L$14:$L$21,
        Calculate_cap_emi!$AK$14:$AK$21, "Not found", 0),"HPl",_xlfn.XLOOKUP(E57&amp;"|"&amp;B57,
        Calculate_cap_emi!$I$14:$I$21&amp;"|"&amp;Calculate_cap_emi!$L$14:$L$21,
        Calculate_cap_emi!$AN$14:$AN$21, "Not found", 0),"Missing")</f>
        <v>38.205238593685706</v>
      </c>
      <c r="R57" s="5" cm="1">
        <f t="array" ref="R57">_xlfn.SWITCH(F57,"R",_xlfn.XLOOKUP(E57&amp;"|"&amp;B57,
        Calculate_cap_emi!$I$14:$I$21&amp;"|"&amp;Calculate_cap_emi!$L$14:$L$21,
        Calculate_cap_emi!$AQ$14:$AQ$21, "Not found", 0),"Rb",_xlfn.XLOOKUP(E57&amp;"|"&amp;B57,
        Calculate_cap_emi!$I$14:$I$21&amp;"|"&amp;Calculate_cap_emi!$L$14:$L$21,
        Calculate_cap_emi!$AS$14:$AS$21, "Not found", 0),"Rl",_xlfn.XLOOKUP(E57&amp;"|"&amp;B57,
        Calculate_cap_emi!$I$14:$I$21&amp;"|"&amp;Calculate_cap_emi!$L$14:$L$21,
        Calculate_cap_emi!$AT$14:$AT$21, "Not found", 0),"HP",_xlfn.XLOOKUP(E57&amp;"|"&amp;B57,
        Calculate_cap_emi!$I$14:$I$21&amp;"|"&amp;Calculate_cap_emi!$L$14:$L$21,
        Calculate_cap_emi!$AR$14:$AR$21, "Not found", 0),"HPl",_xlfn.XLOOKUP(E57&amp;"|"&amp;B57,
        Calculate_cap_emi!$I$14:$I$21&amp;"|"&amp;Calculate_cap_emi!$L$14:$L$21,
        Calculate_cap_emi!$AU$14:$AU$21, "Not found", 0),"Missing")</f>
        <v>107.93553843882353</v>
      </c>
      <c r="S57" s="5" cm="1">
        <f t="array" ref="S57">_xlfn.SWITCH(F57,"R",_xlfn.XLOOKUP(E57&amp;"|"&amp;B57,
        Calculate_cap_emi!$I$14:$I$21&amp;"|"&amp;Calculate_cap_emi!$L$14:$L$21,
        Calculate_cap_emi!$AX$14:$AX$21, "Not found", 0),"Rb",_xlfn.XLOOKUP(E57&amp;"|"&amp;B57,
        Calculate_cap_emi!$I$14:$I$21&amp;"|"&amp;Calculate_cap_emi!$L$14:$L$21,
        Calculate_cap_emi!$AZ$14:$AZ$21, "Not found", 0),"Rl",_xlfn.XLOOKUP(E57&amp;"|"&amp;B57,
        Calculate_cap_emi!$I$14:$I$21&amp;"|"&amp;Calculate_cap_emi!$L$14:$L$21,
        Calculate_cap_emi!$BA$14:$BA$21, "Not found", 0),"HP",_xlfn.XLOOKUP(E57&amp;"|"&amp;B57,
        Calculate_cap_emi!$I$14:$I$21&amp;"|"&amp;Calculate_cap_emi!$L$14:$L$21,
        Calculate_cap_emi!$AY$14:$AY$21, "Not found", 0),"HPl",_xlfn.XLOOKUP(E57&amp;"|"&amp;B57,
        Calculate_cap_emi!$I$14:$I$21&amp;"|"&amp;Calculate_cap_emi!$L$14:$L$21,
        Calculate_cap_emi!$BB$14:$BB$21, "Not found", 0),"Missing")</f>
        <v>335.21034629411764</v>
      </c>
      <c r="T57" s="5" cm="1">
        <f t="array" ref="T57">_xlfn.SWITCH(F57,"R",_xlfn.XLOOKUP(E57&amp;"|"&amp;B57,
        Calculate_cap_emi!$I$14:$I$21&amp;"|"&amp;Calculate_cap_emi!$L$14:$L$21,
        Calculate_cap_emi!$BE$14:$BE$21, "Not found", 0),"Rb",_xlfn.XLOOKUP(E57&amp;"|"&amp;B57,
        Calculate_cap_emi!$I$14:$I$21&amp;"|"&amp;Calculate_cap_emi!$L$14:$L$21,
        Calculate_cap_emi!$BG$14:$BG$21, "Not found", 0),"Rl",_xlfn.XLOOKUP(E57&amp;"|"&amp;B57,
        Calculate_cap_emi!$I$14:$I$21&amp;"|"&amp;Calculate_cap_emi!$L$14:$L$21,
        Calculate_cap_emi!$BH$14:$BH$21, "Not found", 0),"HP",_xlfn.XLOOKUP(E57&amp;"|"&amp;B57,
        Calculate_cap_emi!$I$14:$I$21&amp;"|"&amp;Calculate_cap_emi!$L$14:$L$21,
        Calculate_cap_emi!$BF$14:$BF$21, "Not found", 0),"HPl",_xlfn.XLOOKUP(E57&amp;"|"&amp;B57,
        Calculate_cap_emi!$I$14:$I$21&amp;"|"&amp;Calculate_cap_emi!$L$14:$L$21,
        Calculate_cap_emi!$BI$14:$BI$21, "Not found", 0),"Missing")</f>
        <v>1912.7034968999999</v>
      </c>
      <c r="U57" s="5" cm="1">
        <f t="array" ref="U57">_xlfn.SWITCH(F57,"R",_xlfn.XLOOKUP(E57&amp;"|"&amp;B57,
        Calculate_cap_emi_sens!$I$14:$I$21&amp;"|"&amp;Calculate_cap_emi_sens!$L$14:$L$21,
        Calculate_cap_emi_sens!$AX$14:$AX$21, "Not found", 0),"Rb",_xlfn.XLOOKUP(E57&amp;"|"&amp;B57,
        Calculate_cap_emi_sens!$I$14:$I$21&amp;"|"&amp;Calculate_cap_emi_sens!$L$14:$L$21,
        Calculate_cap_emi_sens!$AZ$14:$AZ$21, "Not found", 0),"Rl",_xlfn.XLOOKUP(E57&amp;"|"&amp;B57,
        Calculate_cap_emi_sens!$I$14:$I$21&amp;"|"&amp;Calculate_cap_emi_sens!$L$14:$L$21,
        Calculate_cap_emi_sens!$BA$14:$BA$21, "Not found", 0),"HP",_xlfn.XLOOKUP(E57&amp;"|"&amp;B57,
        Calculate_cap_emi_sens!$I$14:$I$21&amp;"|"&amp;Calculate_cap_emi_sens!$L$14:$L$21,
        Calculate_cap_emi_sens!$AY$14:$AY$21, "Not found", 0),"HPl",_xlfn.XLOOKUP(E57&amp;"|"&amp;B57,
        Calculate_cap_emi_sens!$I$14:$I$21&amp;"|"&amp;Calculate_cap_emi_sens!$L$14:$L$21,
        Calculate_cap_emi_sens!$BB$14:$BB$21, "Not found", 0),"Missing")</f>
        <v>104.24761957783315</v>
      </c>
      <c r="V57" s="5" cm="1">
        <f t="array" ref="V57">_xlfn.SWITCH(F57,"R",_xlfn.XLOOKUP(E57&amp;"|"&amp;B57,
        Calculate_cap_emi_sens!$I$14:$I$21&amp;"|"&amp;Calculate_cap_emi_sens!$L$14:$L$21,
        Calculate_cap_emi_sens!$BE$14:$BE$21, "Not found", 0),"Rb",_xlfn.XLOOKUP(E57&amp;"|"&amp;B57,
        Calculate_cap_emi_sens!$I$14:$I$21&amp;"|"&amp;Calculate_cap_emi_sens!$L$14:$L$21,
        Calculate_cap_emi_sens!$BG$14:$BG$21, "Not found", 0),"Rl",_xlfn.XLOOKUP(E57&amp;"|"&amp;B57,
        Calculate_cap_emi_sens!$I$14:$I$21&amp;"|"&amp;Calculate_cap_emi_sens!$L$14:$L$21,
        Calculate_cap_emi_sens!$BH$14:$BH$21, "Not found", 0),"HP",_xlfn.XLOOKUP(E57&amp;"|"&amp;B57,
        Calculate_cap_emi_sens!$I$14:$I$21&amp;"|"&amp;Calculate_cap_emi_sens!$L$14:$L$21,
        Calculate_cap_emi_sens!$BF$14:$BF$21, "Not found", 0),"HPl",_xlfn.XLOOKUP(E57&amp;"|"&amp;B57,
        Calculate_cap_emi_sens!$I$14:$I$21&amp;"|"&amp;Calculate_cap_emi_sens!$L$14:$L$21,
        Calculate_cap_emi_sens!$BI$14:$BI$21, "Not found", 0),"Missing")</f>
        <v>676.76417607880626</v>
      </c>
      <c r="W57" s="5">
        <f>Results_proc_ener!L57</f>
        <v>46517.160504705884</v>
      </c>
      <c r="X57" s="5">
        <f>Results_proc_ener!M57</f>
        <v>0</v>
      </c>
      <c r="Y57" s="5">
        <f>Results_proc_ener!N57</f>
        <v>0</v>
      </c>
      <c r="Z57" s="5">
        <f>Results_proc_ener!O57</f>
        <v>0</v>
      </c>
      <c r="AA57" s="5">
        <f>Results_proc_ener!P57</f>
        <v>0</v>
      </c>
      <c r="AB57" s="5">
        <f>Results_proc_ener!Q57</f>
        <v>809.13514517218232</v>
      </c>
      <c r="AC57" s="5">
        <f>Results_proc_ener!R57</f>
        <v>1997.2897765058824</v>
      </c>
      <c r="AD57" s="5">
        <f>Results_proc_ener!S57</f>
        <v>10953.395899117648</v>
      </c>
      <c r="AE57" s="5">
        <f>Results_proc_ener!T57</f>
        <v>11241.14637317873</v>
      </c>
    </row>
    <row r="58" spans="1:31" x14ac:dyDescent="0.25">
      <c r="A58" s="5" t="s">
        <v>4</v>
      </c>
      <c r="B58" s="5" t="str">
        <f t="shared" si="0"/>
        <v>Mass-Nom</v>
      </c>
      <c r="C58" s="5" t="str">
        <f t="shared" si="1"/>
        <v>Mass</v>
      </c>
      <c r="D58" s="5" t="str">
        <f t="shared" si="2"/>
        <v>Nom</v>
      </c>
      <c r="E58" s="5" t="s">
        <v>11</v>
      </c>
      <c r="F58" s="5" t="s">
        <v>16</v>
      </c>
      <c r="G58" s="5"/>
      <c r="H58" s="5" cm="1">
        <f t="array" ref="H58">_xlfn.SWITCH(F58,"HP",_xlfn.XLOOKUP(E58&amp;"|"&amp;B58,
        Calculate_cap_emi!$I$14:$I$21&amp;"|"&amp;Calculate_cap_emi!$L$14:$L$21,
        Calculate_cap_emi!$X$14:$X$21, "Not found", 0),"HPl",_xlfn.XLOOKUP(E58&amp;"|"&amp;B58,
        Calculate_cap_emi!$I$14:$I$21&amp;"|"&amp;Calculate_cap_emi!$L$14:$L$21,
        Calculate_cap_emi!$AA$14:$AA$21, "Not found", 0),)</f>
        <v>15.5</v>
      </c>
      <c r="I58" s="5"/>
      <c r="J58" s="5"/>
      <c r="K58" s="5"/>
      <c r="L58" s="5" cm="1">
        <f t="array" ref="L58">_xlfn.SWITCH(F58,"R",_xlfn.XLOOKUP(E58&amp;"|"&amp;B58,
        Calculate_cap_emi!$I$14:$I$21&amp;"|"&amp;Calculate_cap_emi!$L$14:$L$21,
        Calculate_cap_emi!$AC$14:$AC$21, "Not found", 0),"Rb",_xlfn.XLOOKUP(E58&amp;"|"&amp;B58,
        Calculate_cap_emi!$I$14:$I$21&amp;"|"&amp;Calculate_cap_emi!$L$14:$L$21,
        Calculate_cap_emi!$AE$14:$AE$21, "Not found", 0),"Rl",_xlfn.XLOOKUP(E58&amp;"|"&amp;B58,
        Calculate_cap_emi!$I$14:$I$21&amp;"|"&amp;Calculate_cap_emi!$L$14:$L$21,
        Calculate_cap_emi!$AF$14:$AF$21, "Not found", 0),"HP",_xlfn.XLOOKUP(E58&amp;"|"&amp;B58,
        Calculate_cap_emi!$I$14:$I$21&amp;"|"&amp;Calculate_cap_emi!$L$14:$L$21,
        Calculate_cap_emi!$AD$14:$AD$21, "Not found", 0),"HPl",_xlfn.XLOOKUP(E58&amp;"|"&amp;B58,
        Calculate_cap_emi!$I$14:$I$21&amp;"|"&amp;Calculate_cap_emi!$L$14:$L$21,
        Calculate_cap_emi!$AG$14:$AG$21, "Not found", 0),"Missing")</f>
        <v>2011.6822679470588</v>
      </c>
      <c r="M58" s="5"/>
      <c r="N58" s="5"/>
      <c r="O58" s="5"/>
      <c r="P58" s="5"/>
      <c r="Q58" s="5" cm="1">
        <f t="array" ref="Q58">_xlfn.SWITCH(F58,"R",_xlfn.XLOOKUP(E58&amp;"|"&amp;B58,
        Calculate_cap_emi!$I$14:$I$21&amp;"|"&amp;Calculate_cap_emi!$L$14:$L$21,
        Calculate_cap_emi!$AJ$14:$AJ$21, "Not found", 0),"Rb",_xlfn.XLOOKUP(E58&amp;"|"&amp;B58,
        Calculate_cap_emi!$I$14:$I$21&amp;"|"&amp;Calculate_cap_emi!$L$14:$L$21,
        Calculate_cap_emi!$AL$14:$AL$21, "Not found", 0),"Rl",_xlfn.XLOOKUP(E58&amp;"|"&amp;B58,
        Calculate_cap_emi!$I$14:$I$21&amp;"|"&amp;Calculate_cap_emi!$L$14:$L$21,
        Calculate_cap_emi!$AM$14:$AM$21, "Not found", 0),"HP",_xlfn.XLOOKUP(E58&amp;"|"&amp;B58,
        Calculate_cap_emi!$I$14:$I$21&amp;"|"&amp;Calculate_cap_emi!$L$14:$L$21,
        Calculate_cap_emi!$AK$14:$AK$21, "Not found", 0),"HPl",_xlfn.XLOOKUP(E58&amp;"|"&amp;B58,
        Calculate_cap_emi!$I$14:$I$21&amp;"|"&amp;Calculate_cap_emi!$L$14:$L$21,
        Calculate_cap_emi!$AN$14:$AN$21, "Not found", 0),"Missing")</f>
        <v>51.02573656116072</v>
      </c>
      <c r="R58" s="5" cm="1">
        <f t="array" ref="R58">_xlfn.SWITCH(F58,"R",_xlfn.XLOOKUP(E58&amp;"|"&amp;B58,
        Calculate_cap_emi!$I$14:$I$21&amp;"|"&amp;Calculate_cap_emi!$L$14:$L$21,
        Calculate_cap_emi!$AQ$14:$AQ$21, "Not found", 0),"Rb",_xlfn.XLOOKUP(E58&amp;"|"&amp;B58,
        Calculate_cap_emi!$I$14:$I$21&amp;"|"&amp;Calculate_cap_emi!$L$14:$L$21,
        Calculate_cap_emi!$AS$14:$AS$21, "Not found", 0),"Rl",_xlfn.XLOOKUP(E58&amp;"|"&amp;B58,
        Calculate_cap_emi!$I$14:$I$21&amp;"|"&amp;Calculate_cap_emi!$L$14:$L$21,
        Calculate_cap_emi!$AT$14:$AT$21, "Not found", 0),"HP",_xlfn.XLOOKUP(E58&amp;"|"&amp;B58,
        Calculate_cap_emi!$I$14:$I$21&amp;"|"&amp;Calculate_cap_emi!$L$14:$L$21,
        Calculate_cap_emi!$AR$14:$AR$21, "Not found", 0),"HPl",_xlfn.XLOOKUP(E58&amp;"|"&amp;B58,
        Calculate_cap_emi!$I$14:$I$21&amp;"|"&amp;Calculate_cap_emi!$L$14:$L$21,
        Calculate_cap_emi!$AU$14:$AU$21, "Not found", 0),"Missing")</f>
        <v>123.72560905764705</v>
      </c>
      <c r="S58" s="5" cm="1">
        <f t="array" ref="S58">_xlfn.SWITCH(F58,"R",_xlfn.XLOOKUP(E58&amp;"|"&amp;B58,
        Calculate_cap_emi!$I$14:$I$21&amp;"|"&amp;Calculate_cap_emi!$L$14:$L$21,
        Calculate_cap_emi!$AX$14:$AX$21, "Not found", 0),"Rb",_xlfn.XLOOKUP(E58&amp;"|"&amp;B58,
        Calculate_cap_emi!$I$14:$I$21&amp;"|"&amp;Calculate_cap_emi!$L$14:$L$21,
        Calculate_cap_emi!$AZ$14:$AZ$21, "Not found", 0),"Rl",_xlfn.XLOOKUP(E58&amp;"|"&amp;B58,
        Calculate_cap_emi!$I$14:$I$21&amp;"|"&amp;Calculate_cap_emi!$L$14:$L$21,
        Calculate_cap_emi!$BA$14:$BA$21, "Not found", 0),"HP",_xlfn.XLOOKUP(E58&amp;"|"&amp;B58,
        Calculate_cap_emi!$I$14:$I$21&amp;"|"&amp;Calculate_cap_emi!$L$14:$L$21,
        Calculate_cap_emi!$AY$14:$AY$21, "Not found", 0),"HPl",_xlfn.XLOOKUP(E58&amp;"|"&amp;B58,
        Calculate_cap_emi!$I$14:$I$21&amp;"|"&amp;Calculate_cap_emi!$L$14:$L$21,
        Calculate_cap_emi!$BB$14:$BB$21, "Not found", 0),"Missing")</f>
        <v>517.20850679411762</v>
      </c>
      <c r="T58" s="5" cm="1">
        <f t="array" ref="T58">_xlfn.SWITCH(F58,"R",_xlfn.XLOOKUP(E58&amp;"|"&amp;B58,
        Calculate_cap_emi!$I$14:$I$21&amp;"|"&amp;Calculate_cap_emi!$L$14:$L$21,
        Calculate_cap_emi!$BE$14:$BE$21, "Not found", 0),"Rb",_xlfn.XLOOKUP(E58&amp;"|"&amp;B58,
        Calculate_cap_emi!$I$14:$I$21&amp;"|"&amp;Calculate_cap_emi!$L$14:$L$21,
        Calculate_cap_emi!$BG$14:$BG$21, "Not found", 0),"Rl",_xlfn.XLOOKUP(E58&amp;"|"&amp;B58,
        Calculate_cap_emi!$I$14:$I$21&amp;"|"&amp;Calculate_cap_emi!$L$14:$L$21,
        Calculate_cap_emi!$BH$14:$BH$21, "Not found", 0),"HP",_xlfn.XLOOKUP(E58&amp;"|"&amp;B58,
        Calculate_cap_emi!$I$14:$I$21&amp;"|"&amp;Calculate_cap_emi!$L$14:$L$21,
        Calculate_cap_emi!$BF$14:$BF$21, "Not found", 0),"HPl",_xlfn.XLOOKUP(E58&amp;"|"&amp;B58,
        Calculate_cap_emi!$I$14:$I$21&amp;"|"&amp;Calculate_cap_emi!$L$14:$L$21,
        Calculate_cap_emi!$BI$14:$BI$21, "Not found", 0),"Missing")</f>
        <v>1648.0642522235294</v>
      </c>
      <c r="U58" s="5" cm="1">
        <f t="array" ref="U58">_xlfn.SWITCH(F58,"R",_xlfn.XLOOKUP(E58&amp;"|"&amp;B58,
        Calculate_cap_emi_sens!$I$14:$I$21&amp;"|"&amp;Calculate_cap_emi_sens!$L$14:$L$21,
        Calculate_cap_emi_sens!$AX$14:$AX$21, "Not found", 0),"Rb",_xlfn.XLOOKUP(E58&amp;"|"&amp;B58,
        Calculate_cap_emi_sens!$I$14:$I$21&amp;"|"&amp;Calculate_cap_emi_sens!$L$14:$L$21,
        Calculate_cap_emi_sens!$AZ$14:$AZ$21, "Not found", 0),"Rl",_xlfn.XLOOKUP(E58&amp;"|"&amp;B58,
        Calculate_cap_emi_sens!$I$14:$I$21&amp;"|"&amp;Calculate_cap_emi_sens!$L$14:$L$21,
        Calculate_cap_emi_sens!$BA$14:$BA$21, "Not found", 0),"HP",_xlfn.XLOOKUP(E58&amp;"|"&amp;B58,
        Calculate_cap_emi_sens!$I$14:$I$21&amp;"|"&amp;Calculate_cap_emi_sens!$L$14:$L$21,
        Calculate_cap_emi_sens!$AY$14:$AY$21, "Not found", 0),"HPl",_xlfn.XLOOKUP(E58&amp;"|"&amp;B58,
        Calculate_cap_emi_sens!$I$14:$I$21&amp;"|"&amp;Calculate_cap_emi_sens!$L$14:$L$21,
        Calculate_cap_emi_sens!$BB$14:$BB$21, "Not found", 0),"Missing")</f>
        <v>340.38571935000198</v>
      </c>
      <c r="V58" s="5" cm="1">
        <f t="array" ref="V58">_xlfn.SWITCH(F58,"R",_xlfn.XLOOKUP(E58&amp;"|"&amp;B58,
        Calculate_cap_emi_sens!$I$14:$I$21&amp;"|"&amp;Calculate_cap_emi_sens!$L$14:$L$21,
        Calculate_cap_emi_sens!$BE$14:$BE$21, "Not found", 0),"Rb",_xlfn.XLOOKUP(E58&amp;"|"&amp;B58,
        Calculate_cap_emi_sens!$I$14:$I$21&amp;"|"&amp;Calculate_cap_emi_sens!$L$14:$L$21,
        Calculate_cap_emi_sens!$BG$14:$BG$21, "Not found", 0),"Rl",_xlfn.XLOOKUP(E58&amp;"|"&amp;B58,
        Calculate_cap_emi_sens!$I$14:$I$21&amp;"|"&amp;Calculate_cap_emi_sens!$L$14:$L$21,
        Calculate_cap_emi_sens!$BH$14:$BH$21, "Not found", 0),"HP",_xlfn.XLOOKUP(E58&amp;"|"&amp;B58,
        Calculate_cap_emi_sens!$I$14:$I$21&amp;"|"&amp;Calculate_cap_emi_sens!$L$14:$L$21,
        Calculate_cap_emi_sens!$BF$14:$BF$21, "Not found", 0),"HPl",_xlfn.XLOOKUP(E58&amp;"|"&amp;B58,
        Calculate_cap_emi_sens!$I$14:$I$21&amp;"|"&amp;Calculate_cap_emi_sens!$L$14:$L$21,
        Calculate_cap_emi_sens!$BI$14:$BI$21, "Not found", 0),"Missing")</f>
        <v>591.24700424808236</v>
      </c>
      <c r="W58" s="5">
        <f>Results_proc_ener!L58</f>
        <v>50797.80507529412</v>
      </c>
      <c r="X58" s="5">
        <f>Results_proc_ener!M58</f>
        <v>0</v>
      </c>
      <c r="Y58" s="5">
        <f>Results_proc_ener!N58</f>
        <v>0</v>
      </c>
      <c r="Z58" s="5">
        <f>Results_proc_ener!O58</f>
        <v>0</v>
      </c>
      <c r="AA58" s="5">
        <f>Results_proc_ener!P58</f>
        <v>0</v>
      </c>
      <c r="AB58" s="5">
        <f>Results_proc_ener!Q58</f>
        <v>1080.6559068775427</v>
      </c>
      <c r="AC58" s="5">
        <f>Results_proc_ener!R58</f>
        <v>1890.2807267647058</v>
      </c>
      <c r="AD58" s="5">
        <f>Results_proc_ener!S58</f>
        <v>15405.867306058823</v>
      </c>
      <c r="AE58" s="5">
        <f>Results_proc_ener!T58</f>
        <v>8767.0386759717185</v>
      </c>
    </row>
    <row r="59" spans="1:31" x14ac:dyDescent="0.25">
      <c r="A59" s="5" t="s">
        <v>2</v>
      </c>
      <c r="B59" s="5" t="str">
        <f t="shared" si="0"/>
        <v>Mass-Nom</v>
      </c>
      <c r="C59" s="5" t="str">
        <f t="shared" si="1"/>
        <v>Mass</v>
      </c>
      <c r="D59" s="5" t="str">
        <f t="shared" si="2"/>
        <v>Nom</v>
      </c>
      <c r="E59" s="5" t="s">
        <v>11</v>
      </c>
      <c r="F59" s="5" t="s">
        <v>16</v>
      </c>
      <c r="G59" s="5"/>
      <c r="H59" s="5" cm="1">
        <f t="array" ref="H59">_xlfn.SWITCH(F59,"HP",_xlfn.XLOOKUP(E59&amp;"|"&amp;B59,
        Calculate_cap_emi!$I$14:$I$21&amp;"|"&amp;Calculate_cap_emi!$L$14:$L$21,
        Calculate_cap_emi!$X$14:$X$21, "Not found", 0),"HPl",_xlfn.XLOOKUP(E59&amp;"|"&amp;B59,
        Calculate_cap_emi!$I$14:$I$21&amp;"|"&amp;Calculate_cap_emi!$L$14:$L$21,
        Calculate_cap_emi!$AA$14:$AA$21, "Not found", 0),)</f>
        <v>15.5</v>
      </c>
      <c r="I59" s="5"/>
      <c r="J59" s="5"/>
      <c r="K59" s="5"/>
      <c r="L59" s="5" cm="1">
        <f t="array" ref="L59">_xlfn.SWITCH(F59,"R",_xlfn.XLOOKUP(E59&amp;"|"&amp;B59,
        Calculate_cap_emi!$I$14:$I$21&amp;"|"&amp;Calculate_cap_emi!$L$14:$L$21,
        Calculate_cap_emi!$AC$14:$AC$21, "Not found", 0),"Rb",_xlfn.XLOOKUP(E59&amp;"|"&amp;B59,
        Calculate_cap_emi!$I$14:$I$21&amp;"|"&amp;Calculate_cap_emi!$L$14:$L$21,
        Calculate_cap_emi!$AE$14:$AE$21, "Not found", 0),"Rl",_xlfn.XLOOKUP(E59&amp;"|"&amp;B59,
        Calculate_cap_emi!$I$14:$I$21&amp;"|"&amp;Calculate_cap_emi!$L$14:$L$21,
        Calculate_cap_emi!$AF$14:$AF$21, "Not found", 0),"HP",_xlfn.XLOOKUP(E59&amp;"|"&amp;B59,
        Calculate_cap_emi!$I$14:$I$21&amp;"|"&amp;Calculate_cap_emi!$L$14:$L$21,
        Calculate_cap_emi!$AD$14:$AD$21, "Not found", 0),"HPl",_xlfn.XLOOKUP(E59&amp;"|"&amp;B59,
        Calculate_cap_emi!$I$14:$I$21&amp;"|"&amp;Calculate_cap_emi!$L$14:$L$21,
        Calculate_cap_emi!$AG$14:$AG$21, "Not found", 0),"Missing")</f>
        <v>2011.6822679470588</v>
      </c>
      <c r="M59" s="5"/>
      <c r="N59" s="5"/>
      <c r="O59" s="5"/>
      <c r="P59" s="5"/>
      <c r="Q59" s="5" cm="1">
        <f t="array" ref="Q59">_xlfn.SWITCH(F59,"R",_xlfn.XLOOKUP(E59&amp;"|"&amp;B59,
        Calculate_cap_emi!$I$14:$I$21&amp;"|"&amp;Calculate_cap_emi!$L$14:$L$21,
        Calculate_cap_emi!$AJ$14:$AJ$21, "Not found", 0),"Rb",_xlfn.XLOOKUP(E59&amp;"|"&amp;B59,
        Calculate_cap_emi!$I$14:$I$21&amp;"|"&amp;Calculate_cap_emi!$L$14:$L$21,
        Calculate_cap_emi!$AL$14:$AL$21, "Not found", 0),"Rl",_xlfn.XLOOKUP(E59&amp;"|"&amp;B59,
        Calculate_cap_emi!$I$14:$I$21&amp;"|"&amp;Calculate_cap_emi!$L$14:$L$21,
        Calculate_cap_emi!$AM$14:$AM$21, "Not found", 0),"HP",_xlfn.XLOOKUP(E59&amp;"|"&amp;B59,
        Calculate_cap_emi!$I$14:$I$21&amp;"|"&amp;Calculate_cap_emi!$L$14:$L$21,
        Calculate_cap_emi!$AK$14:$AK$21, "Not found", 0),"HPl",_xlfn.XLOOKUP(E59&amp;"|"&amp;B59,
        Calculate_cap_emi!$I$14:$I$21&amp;"|"&amp;Calculate_cap_emi!$L$14:$L$21,
        Calculate_cap_emi!$AN$14:$AN$21, "Not found", 0),"Missing")</f>
        <v>51.02573656116072</v>
      </c>
      <c r="R59" s="5" cm="1">
        <f t="array" ref="R59">_xlfn.SWITCH(F59,"R",_xlfn.XLOOKUP(E59&amp;"|"&amp;B59,
        Calculate_cap_emi!$I$14:$I$21&amp;"|"&amp;Calculate_cap_emi!$L$14:$L$21,
        Calculate_cap_emi!$AQ$14:$AQ$21, "Not found", 0),"Rb",_xlfn.XLOOKUP(E59&amp;"|"&amp;B59,
        Calculate_cap_emi!$I$14:$I$21&amp;"|"&amp;Calculate_cap_emi!$L$14:$L$21,
        Calculate_cap_emi!$AS$14:$AS$21, "Not found", 0),"Rl",_xlfn.XLOOKUP(E59&amp;"|"&amp;B59,
        Calculate_cap_emi!$I$14:$I$21&amp;"|"&amp;Calculate_cap_emi!$L$14:$L$21,
        Calculate_cap_emi!$AT$14:$AT$21, "Not found", 0),"HP",_xlfn.XLOOKUP(E59&amp;"|"&amp;B59,
        Calculate_cap_emi!$I$14:$I$21&amp;"|"&amp;Calculate_cap_emi!$L$14:$L$21,
        Calculate_cap_emi!$AR$14:$AR$21, "Not found", 0),"HPl",_xlfn.XLOOKUP(E59&amp;"|"&amp;B59,
        Calculate_cap_emi!$I$14:$I$21&amp;"|"&amp;Calculate_cap_emi!$L$14:$L$21,
        Calculate_cap_emi!$AU$14:$AU$21, "Not found", 0),"Missing")</f>
        <v>123.72560905764705</v>
      </c>
      <c r="S59" s="5" cm="1">
        <f t="array" ref="S59">_xlfn.SWITCH(F59,"R",_xlfn.XLOOKUP(E59&amp;"|"&amp;B59,
        Calculate_cap_emi!$I$14:$I$21&amp;"|"&amp;Calculate_cap_emi!$L$14:$L$21,
        Calculate_cap_emi!$AX$14:$AX$21, "Not found", 0),"Rb",_xlfn.XLOOKUP(E59&amp;"|"&amp;B59,
        Calculate_cap_emi!$I$14:$I$21&amp;"|"&amp;Calculate_cap_emi!$L$14:$L$21,
        Calculate_cap_emi!$AZ$14:$AZ$21, "Not found", 0),"Rl",_xlfn.XLOOKUP(E59&amp;"|"&amp;B59,
        Calculate_cap_emi!$I$14:$I$21&amp;"|"&amp;Calculate_cap_emi!$L$14:$L$21,
        Calculate_cap_emi!$BA$14:$BA$21, "Not found", 0),"HP",_xlfn.XLOOKUP(E59&amp;"|"&amp;B59,
        Calculate_cap_emi!$I$14:$I$21&amp;"|"&amp;Calculate_cap_emi!$L$14:$L$21,
        Calculate_cap_emi!$AY$14:$AY$21, "Not found", 0),"HPl",_xlfn.XLOOKUP(E59&amp;"|"&amp;B59,
        Calculate_cap_emi!$I$14:$I$21&amp;"|"&amp;Calculate_cap_emi!$L$14:$L$21,
        Calculate_cap_emi!$BB$14:$BB$21, "Not found", 0),"Missing")</f>
        <v>517.20850679411762</v>
      </c>
      <c r="T59" s="5" cm="1">
        <f t="array" ref="T59">_xlfn.SWITCH(F59,"R",_xlfn.XLOOKUP(E59&amp;"|"&amp;B59,
        Calculate_cap_emi!$I$14:$I$21&amp;"|"&amp;Calculate_cap_emi!$L$14:$L$21,
        Calculate_cap_emi!$BE$14:$BE$21, "Not found", 0),"Rb",_xlfn.XLOOKUP(E59&amp;"|"&amp;B59,
        Calculate_cap_emi!$I$14:$I$21&amp;"|"&amp;Calculate_cap_emi!$L$14:$L$21,
        Calculate_cap_emi!$BG$14:$BG$21, "Not found", 0),"Rl",_xlfn.XLOOKUP(E59&amp;"|"&amp;B59,
        Calculate_cap_emi!$I$14:$I$21&amp;"|"&amp;Calculate_cap_emi!$L$14:$L$21,
        Calculate_cap_emi!$BH$14:$BH$21, "Not found", 0),"HP",_xlfn.XLOOKUP(E59&amp;"|"&amp;B59,
        Calculate_cap_emi!$I$14:$I$21&amp;"|"&amp;Calculate_cap_emi!$L$14:$L$21,
        Calculate_cap_emi!$BF$14:$BF$21, "Not found", 0),"HPl",_xlfn.XLOOKUP(E59&amp;"|"&amp;B59,
        Calculate_cap_emi!$I$14:$I$21&amp;"|"&amp;Calculate_cap_emi!$L$14:$L$21,
        Calculate_cap_emi!$BI$14:$BI$21, "Not found", 0),"Missing")</f>
        <v>1648.0642522235294</v>
      </c>
      <c r="U59" s="5" cm="1">
        <f t="array" ref="U59">_xlfn.SWITCH(F59,"R",_xlfn.XLOOKUP(E59&amp;"|"&amp;B59,
        Calculate_cap_emi_sens!$I$14:$I$21&amp;"|"&amp;Calculate_cap_emi_sens!$L$14:$L$21,
        Calculate_cap_emi_sens!$AX$14:$AX$21, "Not found", 0),"Rb",_xlfn.XLOOKUP(E59&amp;"|"&amp;B59,
        Calculate_cap_emi_sens!$I$14:$I$21&amp;"|"&amp;Calculate_cap_emi_sens!$L$14:$L$21,
        Calculate_cap_emi_sens!$AZ$14:$AZ$21, "Not found", 0),"Rl",_xlfn.XLOOKUP(E59&amp;"|"&amp;B59,
        Calculate_cap_emi_sens!$I$14:$I$21&amp;"|"&amp;Calculate_cap_emi_sens!$L$14:$L$21,
        Calculate_cap_emi_sens!$BA$14:$BA$21, "Not found", 0),"HP",_xlfn.XLOOKUP(E59&amp;"|"&amp;B59,
        Calculate_cap_emi_sens!$I$14:$I$21&amp;"|"&amp;Calculate_cap_emi_sens!$L$14:$L$21,
        Calculate_cap_emi_sens!$AY$14:$AY$21, "Not found", 0),"HPl",_xlfn.XLOOKUP(E59&amp;"|"&amp;B59,
        Calculate_cap_emi_sens!$I$14:$I$21&amp;"|"&amp;Calculate_cap_emi_sens!$L$14:$L$21,
        Calculate_cap_emi_sens!$BB$14:$BB$21, "Not found", 0),"Missing")</f>
        <v>340.38571935000198</v>
      </c>
      <c r="V59" s="5" cm="1">
        <f t="array" ref="V59">_xlfn.SWITCH(F59,"R",_xlfn.XLOOKUP(E59&amp;"|"&amp;B59,
        Calculate_cap_emi_sens!$I$14:$I$21&amp;"|"&amp;Calculate_cap_emi_sens!$L$14:$L$21,
        Calculate_cap_emi_sens!$BE$14:$BE$21, "Not found", 0),"Rb",_xlfn.XLOOKUP(E59&amp;"|"&amp;B59,
        Calculate_cap_emi_sens!$I$14:$I$21&amp;"|"&amp;Calculate_cap_emi_sens!$L$14:$L$21,
        Calculate_cap_emi_sens!$BG$14:$BG$21, "Not found", 0),"Rl",_xlfn.XLOOKUP(E59&amp;"|"&amp;B59,
        Calculate_cap_emi_sens!$I$14:$I$21&amp;"|"&amp;Calculate_cap_emi_sens!$L$14:$L$21,
        Calculate_cap_emi_sens!$BH$14:$BH$21, "Not found", 0),"HP",_xlfn.XLOOKUP(E59&amp;"|"&amp;B59,
        Calculate_cap_emi_sens!$I$14:$I$21&amp;"|"&amp;Calculate_cap_emi_sens!$L$14:$L$21,
        Calculate_cap_emi_sens!$BF$14:$BF$21, "Not found", 0),"HPl",_xlfn.XLOOKUP(E59&amp;"|"&amp;B59,
        Calculate_cap_emi_sens!$I$14:$I$21&amp;"|"&amp;Calculate_cap_emi_sens!$L$14:$L$21,
        Calculate_cap_emi_sens!$BI$14:$BI$21, "Not found", 0),"Missing")</f>
        <v>591.24700424808236</v>
      </c>
      <c r="W59" s="5">
        <f>Results_proc_ener!L59</f>
        <v>50797.80507529412</v>
      </c>
      <c r="X59" s="5">
        <f>Results_proc_ener!M59</f>
        <v>0</v>
      </c>
      <c r="Y59" s="5">
        <f>Results_proc_ener!N59</f>
        <v>0</v>
      </c>
      <c r="Z59" s="5">
        <f>Results_proc_ener!O59</f>
        <v>0</v>
      </c>
      <c r="AA59" s="5">
        <f>Results_proc_ener!P59</f>
        <v>0</v>
      </c>
      <c r="AB59" s="5">
        <f>Results_proc_ener!Q59</f>
        <v>1080.6559068775427</v>
      </c>
      <c r="AC59" s="5">
        <f>Results_proc_ener!R59</f>
        <v>1890.2807267647058</v>
      </c>
      <c r="AD59" s="5">
        <f>Results_proc_ener!S59</f>
        <v>15405.867306058823</v>
      </c>
      <c r="AE59" s="5">
        <f>Results_proc_ener!T59</f>
        <v>8767.0386759717185</v>
      </c>
    </row>
    <row r="60" spans="1:31" x14ac:dyDescent="0.25">
      <c r="A60" s="5" t="s">
        <v>5</v>
      </c>
      <c r="B60" s="5" t="str">
        <f t="shared" si="0"/>
        <v>Mass-H1</v>
      </c>
      <c r="C60" s="5" t="str">
        <f t="shared" si="1"/>
        <v>Mass</v>
      </c>
      <c r="D60" s="5" t="str">
        <f t="shared" si="2"/>
        <v>H1</v>
      </c>
      <c r="E60" s="5" t="s">
        <v>11</v>
      </c>
      <c r="F60" s="5" t="s">
        <v>16</v>
      </c>
      <c r="G60" s="5"/>
      <c r="H60" s="5" cm="1">
        <f t="array" ref="H60">_xlfn.SWITCH(F60,"HP",_xlfn.XLOOKUP(E60&amp;"|"&amp;B60,
        Calculate_cap_emi!$I$14:$I$21&amp;"|"&amp;Calculate_cap_emi!$L$14:$L$21,
        Calculate_cap_emi!$X$14:$X$21, "Not found", 0),"HPl",_xlfn.XLOOKUP(E60&amp;"|"&amp;B60,
        Calculate_cap_emi!$I$14:$I$21&amp;"|"&amp;Calculate_cap_emi!$L$14:$L$21,
        Calculate_cap_emi!$AA$14:$AA$21, "Not found", 0),)</f>
        <v>8</v>
      </c>
      <c r="I60" s="5"/>
      <c r="J60" s="5"/>
      <c r="K60" s="5"/>
      <c r="L60" s="5" cm="1">
        <f t="array" ref="L60">_xlfn.SWITCH(F60,"R",_xlfn.XLOOKUP(E60&amp;"|"&amp;B60,
        Calculate_cap_emi!$I$14:$I$21&amp;"|"&amp;Calculate_cap_emi!$L$14:$L$21,
        Calculate_cap_emi!$AC$14:$AC$21, "Not found", 0),"Rb",_xlfn.XLOOKUP(E60&amp;"|"&amp;B60,
        Calculate_cap_emi!$I$14:$I$21&amp;"|"&amp;Calculate_cap_emi!$L$14:$L$21,
        Calculate_cap_emi!$AE$14:$AE$21, "Not found", 0),"Rl",_xlfn.XLOOKUP(E60&amp;"|"&amp;B60,
        Calculate_cap_emi!$I$14:$I$21&amp;"|"&amp;Calculate_cap_emi!$L$14:$L$21,
        Calculate_cap_emi!$AF$14:$AF$21, "Not found", 0),"HP",_xlfn.XLOOKUP(E60&amp;"|"&amp;B60,
        Calculate_cap_emi!$I$14:$I$21&amp;"|"&amp;Calculate_cap_emi!$L$14:$L$21,
        Calculate_cap_emi!$AD$14:$AD$21, "Not found", 0),"HPl",_xlfn.XLOOKUP(E60&amp;"|"&amp;B60,
        Calculate_cap_emi!$I$14:$I$21&amp;"|"&amp;Calculate_cap_emi!$L$14:$L$21,
        Calculate_cap_emi!$AG$14:$AG$21, "Not found", 0),"Missing")</f>
        <v>1248.729155470588</v>
      </c>
      <c r="M60" s="5"/>
      <c r="N60" s="5"/>
      <c r="O60" s="5"/>
      <c r="P60" s="5"/>
      <c r="Q60" s="5" cm="1">
        <f t="array" ref="Q60">_xlfn.SWITCH(F60,"R",_xlfn.XLOOKUP(E60&amp;"|"&amp;B60,
        Calculate_cap_emi!$I$14:$I$21&amp;"|"&amp;Calculate_cap_emi!$L$14:$L$21,
        Calculate_cap_emi!$AJ$14:$AJ$21, "Not found", 0),"Rb",_xlfn.XLOOKUP(E60&amp;"|"&amp;B60,
        Calculate_cap_emi!$I$14:$I$21&amp;"|"&amp;Calculate_cap_emi!$L$14:$L$21,
        Calculate_cap_emi!$AL$14:$AL$21, "Not found", 0),"Rl",_xlfn.XLOOKUP(E60&amp;"|"&amp;B60,
        Calculate_cap_emi!$I$14:$I$21&amp;"|"&amp;Calculate_cap_emi!$L$14:$L$21,
        Calculate_cap_emi!$AM$14:$AM$21, "Not found", 0),"HP",_xlfn.XLOOKUP(E60&amp;"|"&amp;B60,
        Calculate_cap_emi!$I$14:$I$21&amp;"|"&amp;Calculate_cap_emi!$L$14:$L$21,
        Calculate_cap_emi!$AK$14:$AK$21, "Not found", 0),"HPl",_xlfn.XLOOKUP(E60&amp;"|"&amp;B60,
        Calculate_cap_emi!$I$14:$I$21&amp;"|"&amp;Calculate_cap_emi!$L$14:$L$21,
        Calculate_cap_emi!$AN$14:$AN$21, "Not found", 0),"Missing")</f>
        <v>28.282692018395689</v>
      </c>
      <c r="R60" s="5" cm="1">
        <f t="array" ref="R60">_xlfn.SWITCH(F60,"R",_xlfn.XLOOKUP(E60&amp;"|"&amp;B60,
        Calculate_cap_emi!$I$14:$I$21&amp;"|"&amp;Calculate_cap_emi!$L$14:$L$21,
        Calculate_cap_emi!$AQ$14:$AQ$21, "Not found", 0),"Rb",_xlfn.XLOOKUP(E60&amp;"|"&amp;B60,
        Calculate_cap_emi!$I$14:$I$21&amp;"|"&amp;Calculate_cap_emi!$L$14:$L$21,
        Calculate_cap_emi!$AS$14:$AS$21, "Not found", 0),"Rl",_xlfn.XLOOKUP(E60&amp;"|"&amp;B60,
        Calculate_cap_emi!$I$14:$I$21&amp;"|"&amp;Calculate_cap_emi!$L$14:$L$21,
        Calculate_cap_emi!$AT$14:$AT$21, "Not found", 0),"HP",_xlfn.XLOOKUP(E60&amp;"|"&amp;B60,
        Calculate_cap_emi!$I$14:$I$21&amp;"|"&amp;Calculate_cap_emi!$L$14:$L$21,
        Calculate_cap_emi!$AR$14:$AR$21, "Not found", 0),"HPl",_xlfn.XLOOKUP(E60&amp;"|"&amp;B60,
        Calculate_cap_emi!$I$14:$I$21&amp;"|"&amp;Calculate_cap_emi!$L$14:$L$21,
        Calculate_cap_emi!$AU$14:$AU$21, "Not found", 0),"Missing")</f>
        <v>81.111503154705872</v>
      </c>
      <c r="S60" s="5" cm="1">
        <f t="array" ref="S60">_xlfn.SWITCH(F60,"R",_xlfn.XLOOKUP(E60&amp;"|"&amp;B60,
        Calculate_cap_emi!$I$14:$I$21&amp;"|"&amp;Calculate_cap_emi!$L$14:$L$21,
        Calculate_cap_emi!$AX$14:$AX$21, "Not found", 0),"Rb",_xlfn.XLOOKUP(E60&amp;"|"&amp;B60,
        Calculate_cap_emi!$I$14:$I$21&amp;"|"&amp;Calculate_cap_emi!$L$14:$L$21,
        Calculate_cap_emi!$AZ$14:$AZ$21, "Not found", 0),"Rl",_xlfn.XLOOKUP(E60&amp;"|"&amp;B60,
        Calculate_cap_emi!$I$14:$I$21&amp;"|"&amp;Calculate_cap_emi!$L$14:$L$21,
        Calculate_cap_emi!$BA$14:$BA$21, "Not found", 0),"HP",_xlfn.XLOOKUP(E60&amp;"|"&amp;B60,
        Calculate_cap_emi!$I$14:$I$21&amp;"|"&amp;Calculate_cap_emi!$L$14:$L$21,
        Calculate_cap_emi!$AY$14:$AY$21, "Not found", 0),"HPl",_xlfn.XLOOKUP(E60&amp;"|"&amp;B60,
        Calculate_cap_emi!$I$14:$I$21&amp;"|"&amp;Calculate_cap_emi!$L$14:$L$21,
        Calculate_cap_emi!$BB$14:$BB$21, "Not found", 0),"Missing")</f>
        <v>246.49026335294118</v>
      </c>
      <c r="T60" s="5" cm="1">
        <f t="array" ref="T60">_xlfn.SWITCH(F60,"R",_xlfn.XLOOKUP(E60&amp;"|"&amp;B60,
        Calculate_cap_emi!$I$14:$I$21&amp;"|"&amp;Calculate_cap_emi!$L$14:$L$21,
        Calculate_cap_emi!$BE$14:$BE$21, "Not found", 0),"Rb",_xlfn.XLOOKUP(E60&amp;"|"&amp;B60,
        Calculate_cap_emi!$I$14:$I$21&amp;"|"&amp;Calculate_cap_emi!$L$14:$L$21,
        Calculate_cap_emi!$BG$14:$BG$21, "Not found", 0),"Rl",_xlfn.XLOOKUP(E60&amp;"|"&amp;B60,
        Calculate_cap_emi!$I$14:$I$21&amp;"|"&amp;Calculate_cap_emi!$L$14:$L$21,
        Calculate_cap_emi!$BH$14:$BH$21, "Not found", 0),"HP",_xlfn.XLOOKUP(E60&amp;"|"&amp;B60,
        Calculate_cap_emi!$I$14:$I$21&amp;"|"&amp;Calculate_cap_emi!$L$14:$L$21,
        Calculate_cap_emi!$BF$14:$BF$21, "Not found", 0),"HPl",_xlfn.XLOOKUP(E60&amp;"|"&amp;B60,
        Calculate_cap_emi!$I$14:$I$21&amp;"|"&amp;Calculate_cap_emi!$L$14:$L$21,
        Calculate_cap_emi!$BI$14:$BI$21, "Not found", 0),"Missing")</f>
        <v>1275.7191796588236</v>
      </c>
      <c r="U60" s="5" cm="1">
        <f t="array" ref="U60">_xlfn.SWITCH(F60,"R",_xlfn.XLOOKUP(E60&amp;"|"&amp;B60,
        Calculate_cap_emi_sens!$I$14:$I$21&amp;"|"&amp;Calculate_cap_emi_sens!$L$14:$L$21,
        Calculate_cap_emi_sens!$AX$14:$AX$21, "Not found", 0),"Rb",_xlfn.XLOOKUP(E60&amp;"|"&amp;B60,
        Calculate_cap_emi_sens!$I$14:$I$21&amp;"|"&amp;Calculate_cap_emi_sens!$L$14:$L$21,
        Calculate_cap_emi_sens!$AZ$14:$AZ$21, "Not found", 0),"Rl",_xlfn.XLOOKUP(E60&amp;"|"&amp;B60,
        Calculate_cap_emi_sens!$I$14:$I$21&amp;"|"&amp;Calculate_cap_emi_sens!$L$14:$L$21,
        Calculate_cap_emi_sens!$BA$14:$BA$21, "Not found", 0),"HP",_xlfn.XLOOKUP(E60&amp;"|"&amp;B60,
        Calculate_cap_emi_sens!$I$14:$I$21&amp;"|"&amp;Calculate_cap_emi_sens!$L$14:$L$21,
        Calculate_cap_emi_sens!$AY$14:$AY$21, "Not found", 0),"HPl",_xlfn.XLOOKUP(E60&amp;"|"&amp;B60,
        Calculate_cap_emi_sens!$I$14:$I$21&amp;"|"&amp;Calculate_cap_emi_sens!$L$14:$L$21,
        Calculate_cap_emi_sens!$BB$14:$BB$21, "Not found", 0),"Missing")</f>
        <v>84.802527835086607</v>
      </c>
      <c r="V60" s="5" cm="1">
        <f t="array" ref="V60">_xlfn.SWITCH(F60,"R",_xlfn.XLOOKUP(E60&amp;"|"&amp;B60,
        Calculate_cap_emi_sens!$I$14:$I$21&amp;"|"&amp;Calculate_cap_emi_sens!$L$14:$L$21,
        Calculate_cap_emi_sens!$BE$14:$BE$21, "Not found", 0),"Rb",_xlfn.XLOOKUP(E60&amp;"|"&amp;B60,
        Calculate_cap_emi_sens!$I$14:$I$21&amp;"|"&amp;Calculate_cap_emi_sens!$L$14:$L$21,
        Calculate_cap_emi_sens!$BG$14:$BG$21, "Not found", 0),"Rl",_xlfn.XLOOKUP(E60&amp;"|"&amp;B60,
        Calculate_cap_emi_sens!$I$14:$I$21&amp;"|"&amp;Calculate_cap_emi_sens!$L$14:$L$21,
        Calculate_cap_emi_sens!$BH$14:$BH$21, "Not found", 0),"HP",_xlfn.XLOOKUP(E60&amp;"|"&amp;B60,
        Calculate_cap_emi_sens!$I$14:$I$21&amp;"|"&amp;Calculate_cap_emi_sens!$L$14:$L$21,
        Calculate_cap_emi_sens!$BF$14:$BF$21, "Not found", 0),"HPl",_xlfn.XLOOKUP(E60&amp;"|"&amp;B60,
        Calculate_cap_emi_sens!$I$14:$I$21&amp;"|"&amp;Calculate_cap_emi_sens!$L$14:$L$21,
        Calculate_cap_emi_sens!$BI$14:$BI$21, "Not found", 0),"Missing")</f>
        <v>473.4802875744856</v>
      </c>
      <c r="W60" s="5">
        <f>Results_proc_ener!L60</f>
        <v>33081.064602352941</v>
      </c>
      <c r="X60" s="5">
        <f>Results_proc_ener!M60</f>
        <v>0</v>
      </c>
      <c r="Y60" s="5">
        <f>Results_proc_ener!N60</f>
        <v>0</v>
      </c>
      <c r="Z60" s="5">
        <f>Results_proc_ener!O60</f>
        <v>0</v>
      </c>
      <c r="AA60" s="5">
        <f>Results_proc_ener!P60</f>
        <v>0</v>
      </c>
      <c r="AB60" s="5">
        <f>Results_proc_ener!Q60</f>
        <v>598.98906418416959</v>
      </c>
      <c r="AC60" s="5">
        <f>Results_proc_ener!R60</f>
        <v>1446.5607041117646</v>
      </c>
      <c r="AD60" s="5">
        <f>Results_proc_ener!S60</f>
        <v>7130.2195311176474</v>
      </c>
      <c r="AE60" s="5">
        <f>Results_proc_ener!T60</f>
        <v>7510.587812823529</v>
      </c>
    </row>
    <row r="61" spans="1:31" x14ac:dyDescent="0.25">
      <c r="A61" s="5" t="s">
        <v>6</v>
      </c>
      <c r="B61" s="5" t="str">
        <f t="shared" si="0"/>
        <v>Mass-H1</v>
      </c>
      <c r="C61" s="5" t="str">
        <f t="shared" si="1"/>
        <v>Mass</v>
      </c>
      <c r="D61" s="5" t="str">
        <f t="shared" si="2"/>
        <v>H1</v>
      </c>
      <c r="E61" s="5" t="s">
        <v>11</v>
      </c>
      <c r="F61" s="5" t="s">
        <v>16</v>
      </c>
      <c r="G61" s="5"/>
      <c r="H61" s="5" cm="1">
        <f t="array" ref="H61">_xlfn.SWITCH(F61,"HP",_xlfn.XLOOKUP(E61&amp;"|"&amp;B61,
        Calculate_cap_emi!$I$14:$I$21&amp;"|"&amp;Calculate_cap_emi!$L$14:$L$21,
        Calculate_cap_emi!$X$14:$X$21, "Not found", 0),"HPl",_xlfn.XLOOKUP(E61&amp;"|"&amp;B61,
        Calculate_cap_emi!$I$14:$I$21&amp;"|"&amp;Calculate_cap_emi!$L$14:$L$21,
        Calculate_cap_emi!$AA$14:$AA$21, "Not found", 0),)</f>
        <v>8</v>
      </c>
      <c r="I61" s="5"/>
      <c r="J61" s="5"/>
      <c r="K61" s="5"/>
      <c r="L61" s="5" cm="1">
        <f t="array" ref="L61">_xlfn.SWITCH(F61,"R",_xlfn.XLOOKUP(E61&amp;"|"&amp;B61,
        Calculate_cap_emi!$I$14:$I$21&amp;"|"&amp;Calculate_cap_emi!$L$14:$L$21,
        Calculate_cap_emi!$AC$14:$AC$21, "Not found", 0),"Rb",_xlfn.XLOOKUP(E61&amp;"|"&amp;B61,
        Calculate_cap_emi!$I$14:$I$21&amp;"|"&amp;Calculate_cap_emi!$L$14:$L$21,
        Calculate_cap_emi!$AE$14:$AE$21, "Not found", 0),"Rl",_xlfn.XLOOKUP(E61&amp;"|"&amp;B61,
        Calculate_cap_emi!$I$14:$I$21&amp;"|"&amp;Calculate_cap_emi!$L$14:$L$21,
        Calculate_cap_emi!$AF$14:$AF$21, "Not found", 0),"HP",_xlfn.XLOOKUP(E61&amp;"|"&amp;B61,
        Calculate_cap_emi!$I$14:$I$21&amp;"|"&amp;Calculate_cap_emi!$L$14:$L$21,
        Calculate_cap_emi!$AD$14:$AD$21, "Not found", 0),"HPl",_xlfn.XLOOKUP(E61&amp;"|"&amp;B61,
        Calculate_cap_emi!$I$14:$I$21&amp;"|"&amp;Calculate_cap_emi!$L$14:$L$21,
        Calculate_cap_emi!$AG$14:$AG$21, "Not found", 0),"Missing")</f>
        <v>1248.729155470588</v>
      </c>
      <c r="M61" s="5"/>
      <c r="N61" s="5"/>
      <c r="O61" s="5"/>
      <c r="P61" s="5"/>
      <c r="Q61" s="5" cm="1">
        <f t="array" ref="Q61">_xlfn.SWITCH(F61,"R",_xlfn.XLOOKUP(E61&amp;"|"&amp;B61,
        Calculate_cap_emi!$I$14:$I$21&amp;"|"&amp;Calculate_cap_emi!$L$14:$L$21,
        Calculate_cap_emi!$AJ$14:$AJ$21, "Not found", 0),"Rb",_xlfn.XLOOKUP(E61&amp;"|"&amp;B61,
        Calculate_cap_emi!$I$14:$I$21&amp;"|"&amp;Calculate_cap_emi!$L$14:$L$21,
        Calculate_cap_emi!$AL$14:$AL$21, "Not found", 0),"Rl",_xlfn.XLOOKUP(E61&amp;"|"&amp;B61,
        Calculate_cap_emi!$I$14:$I$21&amp;"|"&amp;Calculate_cap_emi!$L$14:$L$21,
        Calculate_cap_emi!$AM$14:$AM$21, "Not found", 0),"HP",_xlfn.XLOOKUP(E61&amp;"|"&amp;B61,
        Calculate_cap_emi!$I$14:$I$21&amp;"|"&amp;Calculate_cap_emi!$L$14:$L$21,
        Calculate_cap_emi!$AK$14:$AK$21, "Not found", 0),"HPl",_xlfn.XLOOKUP(E61&amp;"|"&amp;B61,
        Calculate_cap_emi!$I$14:$I$21&amp;"|"&amp;Calculate_cap_emi!$L$14:$L$21,
        Calculate_cap_emi!$AN$14:$AN$21, "Not found", 0),"Missing")</f>
        <v>28.282692018395689</v>
      </c>
      <c r="R61" s="5" cm="1">
        <f t="array" ref="R61">_xlfn.SWITCH(F61,"R",_xlfn.XLOOKUP(E61&amp;"|"&amp;B61,
        Calculate_cap_emi!$I$14:$I$21&amp;"|"&amp;Calculate_cap_emi!$L$14:$L$21,
        Calculate_cap_emi!$AQ$14:$AQ$21, "Not found", 0),"Rb",_xlfn.XLOOKUP(E61&amp;"|"&amp;B61,
        Calculate_cap_emi!$I$14:$I$21&amp;"|"&amp;Calculate_cap_emi!$L$14:$L$21,
        Calculate_cap_emi!$AS$14:$AS$21, "Not found", 0),"Rl",_xlfn.XLOOKUP(E61&amp;"|"&amp;B61,
        Calculate_cap_emi!$I$14:$I$21&amp;"|"&amp;Calculate_cap_emi!$L$14:$L$21,
        Calculate_cap_emi!$AT$14:$AT$21, "Not found", 0),"HP",_xlfn.XLOOKUP(E61&amp;"|"&amp;B61,
        Calculate_cap_emi!$I$14:$I$21&amp;"|"&amp;Calculate_cap_emi!$L$14:$L$21,
        Calculate_cap_emi!$AR$14:$AR$21, "Not found", 0),"HPl",_xlfn.XLOOKUP(E61&amp;"|"&amp;B61,
        Calculate_cap_emi!$I$14:$I$21&amp;"|"&amp;Calculate_cap_emi!$L$14:$L$21,
        Calculate_cap_emi!$AU$14:$AU$21, "Not found", 0),"Missing")</f>
        <v>81.111503154705872</v>
      </c>
      <c r="S61" s="5" cm="1">
        <f t="array" ref="S61">_xlfn.SWITCH(F61,"R",_xlfn.XLOOKUP(E61&amp;"|"&amp;B61,
        Calculate_cap_emi!$I$14:$I$21&amp;"|"&amp;Calculate_cap_emi!$L$14:$L$21,
        Calculate_cap_emi!$AX$14:$AX$21, "Not found", 0),"Rb",_xlfn.XLOOKUP(E61&amp;"|"&amp;B61,
        Calculate_cap_emi!$I$14:$I$21&amp;"|"&amp;Calculate_cap_emi!$L$14:$L$21,
        Calculate_cap_emi!$AZ$14:$AZ$21, "Not found", 0),"Rl",_xlfn.XLOOKUP(E61&amp;"|"&amp;B61,
        Calculate_cap_emi!$I$14:$I$21&amp;"|"&amp;Calculate_cap_emi!$L$14:$L$21,
        Calculate_cap_emi!$BA$14:$BA$21, "Not found", 0),"HP",_xlfn.XLOOKUP(E61&amp;"|"&amp;B61,
        Calculate_cap_emi!$I$14:$I$21&amp;"|"&amp;Calculate_cap_emi!$L$14:$L$21,
        Calculate_cap_emi!$AY$14:$AY$21, "Not found", 0),"HPl",_xlfn.XLOOKUP(E61&amp;"|"&amp;B61,
        Calculate_cap_emi!$I$14:$I$21&amp;"|"&amp;Calculate_cap_emi!$L$14:$L$21,
        Calculate_cap_emi!$BB$14:$BB$21, "Not found", 0),"Missing")</f>
        <v>246.49026335294118</v>
      </c>
      <c r="T61" s="5" cm="1">
        <f t="array" ref="T61">_xlfn.SWITCH(F61,"R",_xlfn.XLOOKUP(E61&amp;"|"&amp;B61,
        Calculate_cap_emi!$I$14:$I$21&amp;"|"&amp;Calculate_cap_emi!$L$14:$L$21,
        Calculate_cap_emi!$BE$14:$BE$21, "Not found", 0),"Rb",_xlfn.XLOOKUP(E61&amp;"|"&amp;B61,
        Calculate_cap_emi!$I$14:$I$21&amp;"|"&amp;Calculate_cap_emi!$L$14:$L$21,
        Calculate_cap_emi!$BG$14:$BG$21, "Not found", 0),"Rl",_xlfn.XLOOKUP(E61&amp;"|"&amp;B61,
        Calculate_cap_emi!$I$14:$I$21&amp;"|"&amp;Calculate_cap_emi!$L$14:$L$21,
        Calculate_cap_emi!$BH$14:$BH$21, "Not found", 0),"HP",_xlfn.XLOOKUP(E61&amp;"|"&amp;B61,
        Calculate_cap_emi!$I$14:$I$21&amp;"|"&amp;Calculate_cap_emi!$L$14:$L$21,
        Calculate_cap_emi!$BF$14:$BF$21, "Not found", 0),"HPl",_xlfn.XLOOKUP(E61&amp;"|"&amp;B61,
        Calculate_cap_emi!$I$14:$I$21&amp;"|"&amp;Calculate_cap_emi!$L$14:$L$21,
        Calculate_cap_emi!$BI$14:$BI$21, "Not found", 0),"Missing")</f>
        <v>1275.7191796588236</v>
      </c>
      <c r="U61" s="5" cm="1">
        <f t="array" ref="U61">_xlfn.SWITCH(F61,"R",_xlfn.XLOOKUP(E61&amp;"|"&amp;B61,
        Calculate_cap_emi_sens!$I$14:$I$21&amp;"|"&amp;Calculate_cap_emi_sens!$L$14:$L$21,
        Calculate_cap_emi_sens!$AX$14:$AX$21, "Not found", 0),"Rb",_xlfn.XLOOKUP(E61&amp;"|"&amp;B61,
        Calculate_cap_emi_sens!$I$14:$I$21&amp;"|"&amp;Calculate_cap_emi_sens!$L$14:$L$21,
        Calculate_cap_emi_sens!$AZ$14:$AZ$21, "Not found", 0),"Rl",_xlfn.XLOOKUP(E61&amp;"|"&amp;B61,
        Calculate_cap_emi_sens!$I$14:$I$21&amp;"|"&amp;Calculate_cap_emi_sens!$L$14:$L$21,
        Calculate_cap_emi_sens!$BA$14:$BA$21, "Not found", 0),"HP",_xlfn.XLOOKUP(E61&amp;"|"&amp;B61,
        Calculate_cap_emi_sens!$I$14:$I$21&amp;"|"&amp;Calculate_cap_emi_sens!$L$14:$L$21,
        Calculate_cap_emi_sens!$AY$14:$AY$21, "Not found", 0),"HPl",_xlfn.XLOOKUP(E61&amp;"|"&amp;B61,
        Calculate_cap_emi_sens!$I$14:$I$21&amp;"|"&amp;Calculate_cap_emi_sens!$L$14:$L$21,
        Calculate_cap_emi_sens!$BB$14:$BB$21, "Not found", 0),"Missing")</f>
        <v>84.802527835086607</v>
      </c>
      <c r="V61" s="5" cm="1">
        <f t="array" ref="V61">_xlfn.SWITCH(F61,"R",_xlfn.XLOOKUP(E61&amp;"|"&amp;B61,
        Calculate_cap_emi_sens!$I$14:$I$21&amp;"|"&amp;Calculate_cap_emi_sens!$L$14:$L$21,
        Calculate_cap_emi_sens!$BE$14:$BE$21, "Not found", 0),"Rb",_xlfn.XLOOKUP(E61&amp;"|"&amp;B61,
        Calculate_cap_emi_sens!$I$14:$I$21&amp;"|"&amp;Calculate_cap_emi_sens!$L$14:$L$21,
        Calculate_cap_emi_sens!$BG$14:$BG$21, "Not found", 0),"Rl",_xlfn.XLOOKUP(E61&amp;"|"&amp;B61,
        Calculate_cap_emi_sens!$I$14:$I$21&amp;"|"&amp;Calculate_cap_emi_sens!$L$14:$L$21,
        Calculate_cap_emi_sens!$BH$14:$BH$21, "Not found", 0),"HP",_xlfn.XLOOKUP(E61&amp;"|"&amp;B61,
        Calculate_cap_emi_sens!$I$14:$I$21&amp;"|"&amp;Calculate_cap_emi_sens!$L$14:$L$21,
        Calculate_cap_emi_sens!$BF$14:$BF$21, "Not found", 0),"HPl",_xlfn.XLOOKUP(E61&amp;"|"&amp;B61,
        Calculate_cap_emi_sens!$I$14:$I$21&amp;"|"&amp;Calculate_cap_emi_sens!$L$14:$L$21,
        Calculate_cap_emi_sens!$BI$14:$BI$21, "Not found", 0),"Missing")</f>
        <v>473.4802875744856</v>
      </c>
      <c r="W61" s="5">
        <f>Results_proc_ener!L61</f>
        <v>33081.064602352941</v>
      </c>
      <c r="X61" s="5">
        <f>Results_proc_ener!M61</f>
        <v>0</v>
      </c>
      <c r="Y61" s="5">
        <f>Results_proc_ener!N61</f>
        <v>0</v>
      </c>
      <c r="Z61" s="5">
        <f>Results_proc_ener!O61</f>
        <v>0</v>
      </c>
      <c r="AA61" s="5">
        <f>Results_proc_ener!P61</f>
        <v>0</v>
      </c>
      <c r="AB61" s="5">
        <f>Results_proc_ener!Q61</f>
        <v>598.98906418416959</v>
      </c>
      <c r="AC61" s="5">
        <f>Results_proc_ener!R61</f>
        <v>1446.5607041117646</v>
      </c>
      <c r="AD61" s="5">
        <f>Results_proc_ener!S61</f>
        <v>7130.2195311176474</v>
      </c>
      <c r="AE61" s="5">
        <f>Results_proc_ener!T61</f>
        <v>7510.587812823529</v>
      </c>
    </row>
    <row r="62" spans="1:31" x14ac:dyDescent="0.25">
      <c r="A62" s="5" t="s">
        <v>7</v>
      </c>
      <c r="B62" s="5" t="str">
        <f t="shared" si="0"/>
        <v>Mod-Nom</v>
      </c>
      <c r="C62" s="5" t="str">
        <f t="shared" si="1"/>
        <v>Mod</v>
      </c>
      <c r="D62" s="5" t="str">
        <f t="shared" si="2"/>
        <v>Nom</v>
      </c>
      <c r="E62" s="5" t="s">
        <v>11</v>
      </c>
      <c r="F62" s="5" t="s">
        <v>16</v>
      </c>
      <c r="G62" s="5"/>
      <c r="H62" s="5" cm="1">
        <f t="array" ref="H62">_xlfn.SWITCH(F62,"HP",_xlfn.XLOOKUP(E62&amp;"|"&amp;B62,
        Calculate_cap_emi!$I$14:$I$21&amp;"|"&amp;Calculate_cap_emi!$L$14:$L$21,
        Calculate_cap_emi!$X$14:$X$21, "Not found", 0),"HPl",_xlfn.XLOOKUP(E62&amp;"|"&amp;B62,
        Calculate_cap_emi!$I$14:$I$21&amp;"|"&amp;Calculate_cap_emi!$L$14:$L$21,
        Calculate_cap_emi!$AA$14:$AA$21, "Not found", 0),)</f>
        <v>16</v>
      </c>
      <c r="I62" s="5"/>
      <c r="J62" s="5"/>
      <c r="K62" s="5"/>
      <c r="L62" s="5" cm="1">
        <f t="array" ref="L62">_xlfn.SWITCH(F62,"R",_xlfn.XLOOKUP(E62&amp;"|"&amp;B62,
        Calculate_cap_emi!$I$14:$I$21&amp;"|"&amp;Calculate_cap_emi!$L$14:$L$21,
        Calculate_cap_emi!$AC$14:$AC$21, "Not found", 0),"Rb",_xlfn.XLOOKUP(E62&amp;"|"&amp;B62,
        Calculate_cap_emi!$I$14:$I$21&amp;"|"&amp;Calculate_cap_emi!$L$14:$L$21,
        Calculate_cap_emi!$AE$14:$AE$21, "Not found", 0),"Rl",_xlfn.XLOOKUP(E62&amp;"|"&amp;B62,
        Calculate_cap_emi!$I$14:$I$21&amp;"|"&amp;Calculate_cap_emi!$L$14:$L$21,
        Calculate_cap_emi!$AF$14:$AF$21, "Not found", 0),"HP",_xlfn.XLOOKUP(E62&amp;"|"&amp;B62,
        Calculate_cap_emi!$I$14:$I$21&amp;"|"&amp;Calculate_cap_emi!$L$14:$L$21,
        Calculate_cap_emi!$AD$14:$AD$21, "Not found", 0),"HPl",_xlfn.XLOOKUP(E62&amp;"|"&amp;B62,
        Calculate_cap_emi!$I$14:$I$21&amp;"|"&amp;Calculate_cap_emi!$L$14:$L$21,
        Calculate_cap_emi!$AG$14:$AG$21, "Not found", 0),"Missing")</f>
        <v>2416.2688715117647</v>
      </c>
      <c r="M62" s="5"/>
      <c r="N62" s="5"/>
      <c r="O62" s="5"/>
      <c r="P62" s="5"/>
      <c r="Q62" s="5" cm="1">
        <f t="array" ref="Q62">_xlfn.SWITCH(F62,"R",_xlfn.XLOOKUP(E62&amp;"|"&amp;B62,
        Calculate_cap_emi!$I$14:$I$21&amp;"|"&amp;Calculate_cap_emi!$L$14:$L$21,
        Calculate_cap_emi!$AJ$14:$AJ$21, "Not found", 0),"Rb",_xlfn.XLOOKUP(E62&amp;"|"&amp;B62,
        Calculate_cap_emi!$I$14:$I$21&amp;"|"&amp;Calculate_cap_emi!$L$14:$L$21,
        Calculate_cap_emi!$AL$14:$AL$21, "Not found", 0),"Rl",_xlfn.XLOOKUP(E62&amp;"|"&amp;B62,
        Calculate_cap_emi!$I$14:$I$21&amp;"|"&amp;Calculate_cap_emi!$L$14:$L$21,
        Calculate_cap_emi!$AM$14:$AM$21, "Not found", 0),"HP",_xlfn.XLOOKUP(E62&amp;"|"&amp;B62,
        Calculate_cap_emi!$I$14:$I$21&amp;"|"&amp;Calculate_cap_emi!$L$14:$L$21,
        Calculate_cap_emi!$AK$14:$AK$21, "Not found", 0),"HPl",_xlfn.XLOOKUP(E62&amp;"|"&amp;B62,
        Calculate_cap_emi!$I$14:$I$21&amp;"|"&amp;Calculate_cap_emi!$L$14:$L$21,
        Calculate_cap_emi!$AN$14:$AN$21, "Not found", 0),"Missing")</f>
        <v>60.377585760448525</v>
      </c>
      <c r="R62" s="5" cm="1">
        <f t="array" ref="R62">_xlfn.SWITCH(F62,"R",_xlfn.XLOOKUP(E62&amp;"|"&amp;B62,
        Calculate_cap_emi!$I$14:$I$21&amp;"|"&amp;Calculate_cap_emi!$L$14:$L$21,
        Calculate_cap_emi!$AQ$14:$AQ$21, "Not found", 0),"Rb",_xlfn.XLOOKUP(E62&amp;"|"&amp;B62,
        Calculate_cap_emi!$I$14:$I$21&amp;"|"&amp;Calculate_cap_emi!$L$14:$L$21,
        Calculate_cap_emi!$AS$14:$AS$21, "Not found", 0),"Rl",_xlfn.XLOOKUP(E62&amp;"|"&amp;B62,
        Calculate_cap_emi!$I$14:$I$21&amp;"|"&amp;Calculate_cap_emi!$L$14:$L$21,
        Calculate_cap_emi!$AT$14:$AT$21, "Not found", 0),"HP",_xlfn.XLOOKUP(E62&amp;"|"&amp;B62,
        Calculate_cap_emi!$I$14:$I$21&amp;"|"&amp;Calculate_cap_emi!$L$14:$L$21,
        Calculate_cap_emi!$AR$14:$AR$21, "Not found", 0),"HPl",_xlfn.XLOOKUP(E62&amp;"|"&amp;B62,
        Calculate_cap_emi!$I$14:$I$21&amp;"|"&amp;Calculate_cap_emi!$L$14:$L$21,
        Calculate_cap_emi!$AU$14:$AU$21, "Not found", 0),"Missing")</f>
        <v>139.00695024176468</v>
      </c>
      <c r="S62" s="5" cm="1">
        <f t="array" ref="S62">_xlfn.SWITCH(F62,"R",_xlfn.XLOOKUP(E62&amp;"|"&amp;B62,
        Calculate_cap_emi!$I$14:$I$21&amp;"|"&amp;Calculate_cap_emi!$L$14:$L$21,
        Calculate_cap_emi!$AX$14:$AX$21, "Not found", 0),"Rb",_xlfn.XLOOKUP(E62&amp;"|"&amp;B62,
        Calculate_cap_emi!$I$14:$I$21&amp;"|"&amp;Calculate_cap_emi!$L$14:$L$21,
        Calculate_cap_emi!$AZ$14:$AZ$21, "Not found", 0),"Rl",_xlfn.XLOOKUP(E62&amp;"|"&amp;B62,
        Calculate_cap_emi!$I$14:$I$21&amp;"|"&amp;Calculate_cap_emi!$L$14:$L$21,
        Calculate_cap_emi!$BA$14:$BA$21, "Not found", 0),"HP",_xlfn.XLOOKUP(E62&amp;"|"&amp;B62,
        Calculate_cap_emi!$I$14:$I$21&amp;"|"&amp;Calculate_cap_emi!$L$14:$L$21,
        Calculate_cap_emi!$AY$14:$AY$21, "Not found", 0),"HPl",_xlfn.XLOOKUP(E62&amp;"|"&amp;B62,
        Calculate_cap_emi!$I$14:$I$21&amp;"|"&amp;Calculate_cap_emi!$L$14:$L$21,
        Calculate_cap_emi!$BB$14:$BB$21, "Not found", 0),"Missing")</f>
        <v>470.33892924705879</v>
      </c>
      <c r="T62" s="5" cm="1">
        <f t="array" ref="T62">_xlfn.SWITCH(F62,"R",_xlfn.XLOOKUP(E62&amp;"|"&amp;B62,
        Calculate_cap_emi!$I$14:$I$21&amp;"|"&amp;Calculate_cap_emi!$L$14:$L$21,
        Calculate_cap_emi!$BE$14:$BE$21, "Not found", 0),"Rb",_xlfn.XLOOKUP(E62&amp;"|"&amp;B62,
        Calculate_cap_emi!$I$14:$I$21&amp;"|"&amp;Calculate_cap_emi!$L$14:$L$21,
        Calculate_cap_emi!$BG$14:$BG$21, "Not found", 0),"Rl",_xlfn.XLOOKUP(E62&amp;"|"&amp;B62,
        Calculate_cap_emi!$I$14:$I$21&amp;"|"&amp;Calculate_cap_emi!$L$14:$L$21,
        Calculate_cap_emi!$BH$14:$BH$21, "Not found", 0),"HP",_xlfn.XLOOKUP(E62&amp;"|"&amp;B62,
        Calculate_cap_emi!$I$14:$I$21&amp;"|"&amp;Calculate_cap_emi!$L$14:$L$21,
        Calculate_cap_emi!$BF$14:$BF$21, "Not found", 0),"HPl",_xlfn.XLOOKUP(E62&amp;"|"&amp;B62,
        Calculate_cap_emi!$I$14:$I$21&amp;"|"&amp;Calculate_cap_emi!$L$14:$L$21,
        Calculate_cap_emi!$BI$14:$BI$21, "Not found", 0),"Missing")</f>
        <v>1732.9191469058824</v>
      </c>
      <c r="U62" s="5" cm="1">
        <f t="array" ref="U62">_xlfn.SWITCH(F62,"R",_xlfn.XLOOKUP(E62&amp;"|"&amp;B62,
        Calculate_cap_emi_sens!$I$14:$I$21&amp;"|"&amp;Calculate_cap_emi_sens!$L$14:$L$21,
        Calculate_cap_emi_sens!$AX$14:$AX$21, "Not found", 0),"Rb",_xlfn.XLOOKUP(E62&amp;"|"&amp;B62,
        Calculate_cap_emi_sens!$I$14:$I$21&amp;"|"&amp;Calculate_cap_emi_sens!$L$14:$L$21,
        Calculate_cap_emi_sens!$AZ$14:$AZ$21, "Not found", 0),"Rl",_xlfn.XLOOKUP(E62&amp;"|"&amp;B62,
        Calculate_cap_emi_sens!$I$14:$I$21&amp;"|"&amp;Calculate_cap_emi_sens!$L$14:$L$21,
        Calculate_cap_emi_sens!$BA$14:$BA$21, "Not found", 0),"HP",_xlfn.XLOOKUP(E62&amp;"|"&amp;B62,
        Calculate_cap_emi_sens!$I$14:$I$21&amp;"|"&amp;Calculate_cap_emi_sens!$L$14:$L$21,
        Calculate_cap_emi_sens!$AY$14:$AY$21, "Not found", 0),"HPl",_xlfn.XLOOKUP(E62&amp;"|"&amp;B62,
        Calculate_cap_emi_sens!$I$14:$I$21&amp;"|"&amp;Calculate_cap_emi_sens!$L$14:$L$21,
        Calculate_cap_emi_sens!$BB$14:$BB$21, "Not found", 0),"Missing")</f>
        <v>293.51614180294314</v>
      </c>
      <c r="V62" s="5" cm="1">
        <f t="array" ref="V62">_xlfn.SWITCH(F62,"R",_xlfn.XLOOKUP(E62&amp;"|"&amp;B62,
        Calculate_cap_emi_sens!$I$14:$I$21&amp;"|"&amp;Calculate_cap_emi_sens!$L$14:$L$21,
        Calculate_cap_emi_sens!$BE$14:$BE$21, "Not found", 0),"Rb",_xlfn.XLOOKUP(E62&amp;"|"&amp;B62,
        Calculate_cap_emi_sens!$I$14:$I$21&amp;"|"&amp;Calculate_cap_emi_sens!$L$14:$L$21,
        Calculate_cap_emi_sens!$BG$14:$BG$21, "Not found", 0),"Rl",_xlfn.XLOOKUP(E62&amp;"|"&amp;B62,
        Calculate_cap_emi_sens!$I$14:$I$21&amp;"|"&amp;Calculate_cap_emi_sens!$L$14:$L$21,
        Calculate_cap_emi_sens!$BH$14:$BH$21, "Not found", 0),"HP",_xlfn.XLOOKUP(E62&amp;"|"&amp;B62,
        Calculate_cap_emi_sens!$I$14:$I$21&amp;"|"&amp;Calculate_cap_emi_sens!$L$14:$L$21,
        Calculate_cap_emi_sens!$BF$14:$BF$21, "Not found", 0),"HPl",_xlfn.XLOOKUP(E62&amp;"|"&amp;B62,
        Calculate_cap_emi_sens!$I$14:$I$21&amp;"|"&amp;Calculate_cap_emi_sens!$L$14:$L$21,
        Calculate_cap_emi_sens!$BI$14:$BI$21, "Not found", 0),"Missing")</f>
        <v>648.01238776093192</v>
      </c>
      <c r="W62" s="5">
        <f>Results_proc_ener!L62</f>
        <v>59252.554459411767</v>
      </c>
      <c r="X62" s="5">
        <f>Results_proc_ener!M62</f>
        <v>0</v>
      </c>
      <c r="Y62" s="5">
        <f>Results_proc_ener!N62</f>
        <v>0</v>
      </c>
      <c r="Z62" s="5">
        <f>Results_proc_ener!O62</f>
        <v>0</v>
      </c>
      <c r="AA62" s="5">
        <f>Results_proc_ener!P62</f>
        <v>0</v>
      </c>
      <c r="AB62" s="5">
        <f>Results_proc_ener!Q62</f>
        <v>1278.7153913364277</v>
      </c>
      <c r="AC62" s="5">
        <f>Results_proc_ener!R62</f>
        <v>2526.8814060000004</v>
      </c>
      <c r="AD62" s="5">
        <f>Results_proc_ener!S62</f>
        <v>19899.985158294119</v>
      </c>
      <c r="AE62" s="5">
        <f>Results_proc_ener!T62</f>
        <v>9125.8172410588231</v>
      </c>
    </row>
    <row r="63" spans="1:31" x14ac:dyDescent="0.25">
      <c r="A63" s="5" t="s">
        <v>8</v>
      </c>
      <c r="B63" s="5" t="str">
        <f t="shared" si="0"/>
        <v>Mod-Nom</v>
      </c>
      <c r="C63" s="5" t="str">
        <f t="shared" si="1"/>
        <v>Mod</v>
      </c>
      <c r="D63" s="5" t="str">
        <f t="shared" si="2"/>
        <v>Nom</v>
      </c>
      <c r="E63" s="5" t="s">
        <v>11</v>
      </c>
      <c r="F63" s="5" t="s">
        <v>16</v>
      </c>
      <c r="G63" s="5"/>
      <c r="H63" s="5" cm="1">
        <f t="array" ref="H63">_xlfn.SWITCH(F63,"HP",_xlfn.XLOOKUP(E63&amp;"|"&amp;B63,
        Calculate_cap_emi!$I$14:$I$21&amp;"|"&amp;Calculate_cap_emi!$L$14:$L$21,
        Calculate_cap_emi!$X$14:$X$21, "Not found", 0),"HPl",_xlfn.XLOOKUP(E63&amp;"|"&amp;B63,
        Calculate_cap_emi!$I$14:$I$21&amp;"|"&amp;Calculate_cap_emi!$L$14:$L$21,
        Calculate_cap_emi!$AA$14:$AA$21, "Not found", 0),)</f>
        <v>16</v>
      </c>
      <c r="I63" s="5"/>
      <c r="J63" s="5"/>
      <c r="K63" s="5"/>
      <c r="L63" s="5" cm="1">
        <f t="array" ref="L63">_xlfn.SWITCH(F63,"R",_xlfn.XLOOKUP(E63&amp;"|"&amp;B63,
        Calculate_cap_emi!$I$14:$I$21&amp;"|"&amp;Calculate_cap_emi!$L$14:$L$21,
        Calculate_cap_emi!$AC$14:$AC$21, "Not found", 0),"Rb",_xlfn.XLOOKUP(E63&amp;"|"&amp;B63,
        Calculate_cap_emi!$I$14:$I$21&amp;"|"&amp;Calculate_cap_emi!$L$14:$L$21,
        Calculate_cap_emi!$AE$14:$AE$21, "Not found", 0),"Rl",_xlfn.XLOOKUP(E63&amp;"|"&amp;B63,
        Calculate_cap_emi!$I$14:$I$21&amp;"|"&amp;Calculate_cap_emi!$L$14:$L$21,
        Calculate_cap_emi!$AF$14:$AF$21, "Not found", 0),"HP",_xlfn.XLOOKUP(E63&amp;"|"&amp;B63,
        Calculate_cap_emi!$I$14:$I$21&amp;"|"&amp;Calculate_cap_emi!$L$14:$L$21,
        Calculate_cap_emi!$AD$14:$AD$21, "Not found", 0),"HPl",_xlfn.XLOOKUP(E63&amp;"|"&amp;B63,
        Calculate_cap_emi!$I$14:$I$21&amp;"|"&amp;Calculate_cap_emi!$L$14:$L$21,
        Calculate_cap_emi!$AG$14:$AG$21, "Not found", 0),"Missing")</f>
        <v>2416.2688715117647</v>
      </c>
      <c r="M63" s="5"/>
      <c r="N63" s="5"/>
      <c r="O63" s="5"/>
      <c r="P63" s="5"/>
      <c r="Q63" s="5" cm="1">
        <f t="array" ref="Q63">_xlfn.SWITCH(F63,"R",_xlfn.XLOOKUP(E63&amp;"|"&amp;B63,
        Calculate_cap_emi!$I$14:$I$21&amp;"|"&amp;Calculate_cap_emi!$L$14:$L$21,
        Calculate_cap_emi!$AJ$14:$AJ$21, "Not found", 0),"Rb",_xlfn.XLOOKUP(E63&amp;"|"&amp;B63,
        Calculate_cap_emi!$I$14:$I$21&amp;"|"&amp;Calculate_cap_emi!$L$14:$L$21,
        Calculate_cap_emi!$AL$14:$AL$21, "Not found", 0),"Rl",_xlfn.XLOOKUP(E63&amp;"|"&amp;B63,
        Calculate_cap_emi!$I$14:$I$21&amp;"|"&amp;Calculate_cap_emi!$L$14:$L$21,
        Calculate_cap_emi!$AM$14:$AM$21, "Not found", 0),"HP",_xlfn.XLOOKUP(E63&amp;"|"&amp;B63,
        Calculate_cap_emi!$I$14:$I$21&amp;"|"&amp;Calculate_cap_emi!$L$14:$L$21,
        Calculate_cap_emi!$AK$14:$AK$21, "Not found", 0),"HPl",_xlfn.XLOOKUP(E63&amp;"|"&amp;B63,
        Calculate_cap_emi!$I$14:$I$21&amp;"|"&amp;Calculate_cap_emi!$L$14:$L$21,
        Calculate_cap_emi!$AN$14:$AN$21, "Not found", 0),"Missing")</f>
        <v>60.377585760448525</v>
      </c>
      <c r="R63" s="5" cm="1">
        <f t="array" ref="R63">_xlfn.SWITCH(F63,"R",_xlfn.XLOOKUP(E63&amp;"|"&amp;B63,
        Calculate_cap_emi!$I$14:$I$21&amp;"|"&amp;Calculate_cap_emi!$L$14:$L$21,
        Calculate_cap_emi!$AQ$14:$AQ$21, "Not found", 0),"Rb",_xlfn.XLOOKUP(E63&amp;"|"&amp;B63,
        Calculate_cap_emi!$I$14:$I$21&amp;"|"&amp;Calculate_cap_emi!$L$14:$L$21,
        Calculate_cap_emi!$AS$14:$AS$21, "Not found", 0),"Rl",_xlfn.XLOOKUP(E63&amp;"|"&amp;B63,
        Calculate_cap_emi!$I$14:$I$21&amp;"|"&amp;Calculate_cap_emi!$L$14:$L$21,
        Calculate_cap_emi!$AT$14:$AT$21, "Not found", 0),"HP",_xlfn.XLOOKUP(E63&amp;"|"&amp;B63,
        Calculate_cap_emi!$I$14:$I$21&amp;"|"&amp;Calculate_cap_emi!$L$14:$L$21,
        Calculate_cap_emi!$AR$14:$AR$21, "Not found", 0),"HPl",_xlfn.XLOOKUP(E63&amp;"|"&amp;B63,
        Calculate_cap_emi!$I$14:$I$21&amp;"|"&amp;Calculate_cap_emi!$L$14:$L$21,
        Calculate_cap_emi!$AU$14:$AU$21, "Not found", 0),"Missing")</f>
        <v>139.00695024176468</v>
      </c>
      <c r="S63" s="5" cm="1">
        <f t="array" ref="S63">_xlfn.SWITCH(F63,"R",_xlfn.XLOOKUP(E63&amp;"|"&amp;B63,
        Calculate_cap_emi!$I$14:$I$21&amp;"|"&amp;Calculate_cap_emi!$L$14:$L$21,
        Calculate_cap_emi!$AX$14:$AX$21, "Not found", 0),"Rb",_xlfn.XLOOKUP(E63&amp;"|"&amp;B63,
        Calculate_cap_emi!$I$14:$I$21&amp;"|"&amp;Calculate_cap_emi!$L$14:$L$21,
        Calculate_cap_emi!$AZ$14:$AZ$21, "Not found", 0),"Rl",_xlfn.XLOOKUP(E63&amp;"|"&amp;B63,
        Calculate_cap_emi!$I$14:$I$21&amp;"|"&amp;Calculate_cap_emi!$L$14:$L$21,
        Calculate_cap_emi!$BA$14:$BA$21, "Not found", 0),"HP",_xlfn.XLOOKUP(E63&amp;"|"&amp;B63,
        Calculate_cap_emi!$I$14:$I$21&amp;"|"&amp;Calculate_cap_emi!$L$14:$L$21,
        Calculate_cap_emi!$AY$14:$AY$21, "Not found", 0),"HPl",_xlfn.XLOOKUP(E63&amp;"|"&amp;B63,
        Calculate_cap_emi!$I$14:$I$21&amp;"|"&amp;Calculate_cap_emi!$L$14:$L$21,
        Calculate_cap_emi!$BB$14:$BB$21, "Not found", 0),"Missing")</f>
        <v>470.33892924705879</v>
      </c>
      <c r="T63" s="5" cm="1">
        <f t="array" ref="T63">_xlfn.SWITCH(F63,"R",_xlfn.XLOOKUP(E63&amp;"|"&amp;B63,
        Calculate_cap_emi!$I$14:$I$21&amp;"|"&amp;Calculate_cap_emi!$L$14:$L$21,
        Calculate_cap_emi!$BE$14:$BE$21, "Not found", 0),"Rb",_xlfn.XLOOKUP(E63&amp;"|"&amp;B63,
        Calculate_cap_emi!$I$14:$I$21&amp;"|"&amp;Calculate_cap_emi!$L$14:$L$21,
        Calculate_cap_emi!$BG$14:$BG$21, "Not found", 0),"Rl",_xlfn.XLOOKUP(E63&amp;"|"&amp;B63,
        Calculate_cap_emi!$I$14:$I$21&amp;"|"&amp;Calculate_cap_emi!$L$14:$L$21,
        Calculate_cap_emi!$BH$14:$BH$21, "Not found", 0),"HP",_xlfn.XLOOKUP(E63&amp;"|"&amp;B63,
        Calculate_cap_emi!$I$14:$I$21&amp;"|"&amp;Calculate_cap_emi!$L$14:$L$21,
        Calculate_cap_emi!$BF$14:$BF$21, "Not found", 0),"HPl",_xlfn.XLOOKUP(E63&amp;"|"&amp;B63,
        Calculate_cap_emi!$I$14:$I$21&amp;"|"&amp;Calculate_cap_emi!$L$14:$L$21,
        Calculate_cap_emi!$BI$14:$BI$21, "Not found", 0),"Missing")</f>
        <v>1732.9191469058824</v>
      </c>
      <c r="U63" s="5" cm="1">
        <f t="array" ref="U63">_xlfn.SWITCH(F63,"R",_xlfn.XLOOKUP(E63&amp;"|"&amp;B63,
        Calculate_cap_emi_sens!$I$14:$I$21&amp;"|"&amp;Calculate_cap_emi_sens!$L$14:$L$21,
        Calculate_cap_emi_sens!$AX$14:$AX$21, "Not found", 0),"Rb",_xlfn.XLOOKUP(E63&amp;"|"&amp;B63,
        Calculate_cap_emi_sens!$I$14:$I$21&amp;"|"&amp;Calculate_cap_emi_sens!$L$14:$L$21,
        Calculate_cap_emi_sens!$AZ$14:$AZ$21, "Not found", 0),"Rl",_xlfn.XLOOKUP(E63&amp;"|"&amp;B63,
        Calculate_cap_emi_sens!$I$14:$I$21&amp;"|"&amp;Calculate_cap_emi_sens!$L$14:$L$21,
        Calculate_cap_emi_sens!$BA$14:$BA$21, "Not found", 0),"HP",_xlfn.XLOOKUP(E63&amp;"|"&amp;B63,
        Calculate_cap_emi_sens!$I$14:$I$21&amp;"|"&amp;Calculate_cap_emi_sens!$L$14:$L$21,
        Calculate_cap_emi_sens!$AY$14:$AY$21, "Not found", 0),"HPl",_xlfn.XLOOKUP(E63&amp;"|"&amp;B63,
        Calculate_cap_emi_sens!$I$14:$I$21&amp;"|"&amp;Calculate_cap_emi_sens!$L$14:$L$21,
        Calculate_cap_emi_sens!$BB$14:$BB$21, "Not found", 0),"Missing")</f>
        <v>293.51614180294314</v>
      </c>
      <c r="V63" s="5" cm="1">
        <f t="array" ref="V63">_xlfn.SWITCH(F63,"R",_xlfn.XLOOKUP(E63&amp;"|"&amp;B63,
        Calculate_cap_emi_sens!$I$14:$I$21&amp;"|"&amp;Calculate_cap_emi_sens!$L$14:$L$21,
        Calculate_cap_emi_sens!$BE$14:$BE$21, "Not found", 0),"Rb",_xlfn.XLOOKUP(E63&amp;"|"&amp;B63,
        Calculate_cap_emi_sens!$I$14:$I$21&amp;"|"&amp;Calculate_cap_emi_sens!$L$14:$L$21,
        Calculate_cap_emi_sens!$BG$14:$BG$21, "Not found", 0),"Rl",_xlfn.XLOOKUP(E63&amp;"|"&amp;B63,
        Calculate_cap_emi_sens!$I$14:$I$21&amp;"|"&amp;Calculate_cap_emi_sens!$L$14:$L$21,
        Calculate_cap_emi_sens!$BH$14:$BH$21, "Not found", 0),"HP",_xlfn.XLOOKUP(E63&amp;"|"&amp;B63,
        Calculate_cap_emi_sens!$I$14:$I$21&amp;"|"&amp;Calculate_cap_emi_sens!$L$14:$L$21,
        Calculate_cap_emi_sens!$BF$14:$BF$21, "Not found", 0),"HPl",_xlfn.XLOOKUP(E63&amp;"|"&amp;B63,
        Calculate_cap_emi_sens!$I$14:$I$21&amp;"|"&amp;Calculate_cap_emi_sens!$L$14:$L$21,
        Calculate_cap_emi_sens!$BI$14:$BI$21, "Not found", 0),"Missing")</f>
        <v>648.01238776093192</v>
      </c>
      <c r="W63" s="5">
        <f>Results_proc_ener!L63</f>
        <v>59252.554459411767</v>
      </c>
      <c r="X63" s="5">
        <f>Results_proc_ener!M63</f>
        <v>0</v>
      </c>
      <c r="Y63" s="5">
        <f>Results_proc_ener!N63</f>
        <v>0</v>
      </c>
      <c r="Z63" s="5">
        <f>Results_proc_ener!O63</f>
        <v>0</v>
      </c>
      <c r="AA63" s="5">
        <f>Results_proc_ener!P63</f>
        <v>0</v>
      </c>
      <c r="AB63" s="5">
        <f>Results_proc_ener!Q63</f>
        <v>1278.7153913364277</v>
      </c>
      <c r="AC63" s="5">
        <f>Results_proc_ener!R63</f>
        <v>2526.8814060000004</v>
      </c>
      <c r="AD63" s="5">
        <f>Results_proc_ener!S63</f>
        <v>19899.985158294119</v>
      </c>
      <c r="AE63" s="5">
        <f>Results_proc_ener!T63</f>
        <v>9125.8172410588231</v>
      </c>
    </row>
    <row r="64" spans="1:31" x14ac:dyDescent="0.25">
      <c r="A64" s="5" t="s">
        <v>9</v>
      </c>
      <c r="B64" s="5" t="str">
        <f t="shared" si="0"/>
        <v>Mod-H1</v>
      </c>
      <c r="C64" s="5" t="str">
        <f t="shared" si="1"/>
        <v>Mod</v>
      </c>
      <c r="D64" s="5" t="str">
        <f t="shared" si="2"/>
        <v>H1</v>
      </c>
      <c r="E64" s="5" t="s">
        <v>11</v>
      </c>
      <c r="F64" s="5" t="s">
        <v>16</v>
      </c>
      <c r="G64" s="5"/>
      <c r="H64" s="5" cm="1">
        <f t="array" ref="H64">_xlfn.SWITCH(F64,"HP",_xlfn.XLOOKUP(E64&amp;"|"&amp;B64,
        Calculate_cap_emi!$I$14:$I$21&amp;"|"&amp;Calculate_cap_emi!$L$14:$L$21,
        Calculate_cap_emi!$X$14:$X$21, "Not found", 0),"HPl",_xlfn.XLOOKUP(E64&amp;"|"&amp;B64,
        Calculate_cap_emi!$I$14:$I$21&amp;"|"&amp;Calculate_cap_emi!$L$14:$L$21,
        Calculate_cap_emi!$AA$14:$AA$21, "Not found", 0),)</f>
        <v>12.5</v>
      </c>
      <c r="I64" s="5"/>
      <c r="J64" s="5"/>
      <c r="K64" s="5"/>
      <c r="L64" s="5" cm="1">
        <f t="array" ref="L64">_xlfn.SWITCH(F64,"R",_xlfn.XLOOKUP(E64&amp;"|"&amp;B64,
        Calculate_cap_emi!$I$14:$I$21&amp;"|"&amp;Calculate_cap_emi!$L$14:$L$21,
        Calculate_cap_emi!$AC$14:$AC$21, "Not found", 0),"Rb",_xlfn.XLOOKUP(E64&amp;"|"&amp;B64,
        Calculate_cap_emi!$I$14:$I$21&amp;"|"&amp;Calculate_cap_emi!$L$14:$L$21,
        Calculate_cap_emi!$AE$14:$AE$21, "Not found", 0),"Rl",_xlfn.XLOOKUP(E64&amp;"|"&amp;B64,
        Calculate_cap_emi!$I$14:$I$21&amp;"|"&amp;Calculate_cap_emi!$L$14:$L$21,
        Calculate_cap_emi!$AF$14:$AF$21, "Not found", 0),"HP",_xlfn.XLOOKUP(E64&amp;"|"&amp;B64,
        Calculate_cap_emi!$I$14:$I$21&amp;"|"&amp;Calculate_cap_emi!$L$14:$L$21,
        Calculate_cap_emi!$AD$14:$AD$21, "Not found", 0),"HPl",_xlfn.XLOOKUP(E64&amp;"|"&amp;B64,
        Calculate_cap_emi!$I$14:$I$21&amp;"|"&amp;Calculate_cap_emi!$L$14:$L$21,
        Calculate_cap_emi!$AG$14:$AG$21, "Not found", 0),"Missing")</f>
        <v>1836.3662526176472</v>
      </c>
      <c r="M64" s="5"/>
      <c r="N64" s="5"/>
      <c r="O64" s="5"/>
      <c r="P64" s="5"/>
      <c r="Q64" s="5" cm="1">
        <f t="array" ref="Q64">_xlfn.SWITCH(F64,"R",_xlfn.XLOOKUP(E64&amp;"|"&amp;B64,
        Calculate_cap_emi!$I$14:$I$21&amp;"|"&amp;Calculate_cap_emi!$L$14:$L$21,
        Calculate_cap_emi!$AJ$14:$AJ$21, "Not found", 0),"Rb",_xlfn.XLOOKUP(E64&amp;"|"&amp;B64,
        Calculate_cap_emi!$I$14:$I$21&amp;"|"&amp;Calculate_cap_emi!$L$14:$L$21,
        Calculate_cap_emi!$AL$14:$AL$21, "Not found", 0),"Rl",_xlfn.XLOOKUP(E64&amp;"|"&amp;B64,
        Calculate_cap_emi!$I$14:$I$21&amp;"|"&amp;Calculate_cap_emi!$L$14:$L$21,
        Calculate_cap_emi!$AM$14:$AM$21, "Not found", 0),"HP",_xlfn.XLOOKUP(E64&amp;"|"&amp;B64,
        Calculate_cap_emi!$I$14:$I$21&amp;"|"&amp;Calculate_cap_emi!$L$14:$L$21,
        Calculate_cap_emi!$AK$14:$AK$21, "Not found", 0),"HPl",_xlfn.XLOOKUP(E64&amp;"|"&amp;B64,
        Calculate_cap_emi!$I$14:$I$21&amp;"|"&amp;Calculate_cap_emi!$L$14:$L$21,
        Calculate_cap_emi!$AN$14:$AN$21, "Not found", 0),"Missing")</f>
        <v>43.21056854141689</v>
      </c>
      <c r="R64" s="5" cm="1">
        <f t="array" ref="R64">_xlfn.SWITCH(F64,"R",_xlfn.XLOOKUP(E64&amp;"|"&amp;B64,
        Calculate_cap_emi!$I$14:$I$21&amp;"|"&amp;Calculate_cap_emi!$L$14:$L$21,
        Calculate_cap_emi!$AQ$14:$AQ$21, "Not found", 0),"Rb",_xlfn.XLOOKUP(E64&amp;"|"&amp;B64,
        Calculate_cap_emi!$I$14:$I$21&amp;"|"&amp;Calculate_cap_emi!$L$14:$L$21,
        Calculate_cap_emi!$AS$14:$AS$21, "Not found", 0),"Rl",_xlfn.XLOOKUP(E64&amp;"|"&amp;B64,
        Calculate_cap_emi!$I$14:$I$21&amp;"|"&amp;Calculate_cap_emi!$L$14:$L$21,
        Calculate_cap_emi!$AT$14:$AT$21, "Not found", 0),"HP",_xlfn.XLOOKUP(E64&amp;"|"&amp;B64,
        Calculate_cap_emi!$I$14:$I$21&amp;"|"&amp;Calculate_cap_emi!$L$14:$L$21,
        Calculate_cap_emi!$AR$14:$AR$21, "Not found", 0),"HPl",_xlfn.XLOOKUP(E64&amp;"|"&amp;B64,
        Calculate_cap_emi!$I$14:$I$21&amp;"|"&amp;Calculate_cap_emi!$L$14:$L$21,
        Calculate_cap_emi!$AU$14:$AU$21, "Not found", 0),"Missing")</f>
        <v>136.73250316764705</v>
      </c>
      <c r="S64" s="5" cm="1">
        <f t="array" ref="S64">_xlfn.SWITCH(F64,"R",_xlfn.XLOOKUP(E64&amp;"|"&amp;B64,
        Calculate_cap_emi!$I$14:$I$21&amp;"|"&amp;Calculate_cap_emi!$L$14:$L$21,
        Calculate_cap_emi!$AX$14:$AX$21, "Not found", 0),"Rb",_xlfn.XLOOKUP(E64&amp;"|"&amp;B64,
        Calculate_cap_emi!$I$14:$I$21&amp;"|"&amp;Calculate_cap_emi!$L$14:$L$21,
        Calculate_cap_emi!$AZ$14:$AZ$21, "Not found", 0),"Rl",_xlfn.XLOOKUP(E64&amp;"|"&amp;B64,
        Calculate_cap_emi!$I$14:$I$21&amp;"|"&amp;Calculate_cap_emi!$L$14:$L$21,
        Calculate_cap_emi!$BA$14:$BA$21, "Not found", 0),"HP",_xlfn.XLOOKUP(E64&amp;"|"&amp;B64,
        Calculate_cap_emi!$I$14:$I$21&amp;"|"&amp;Calculate_cap_emi!$L$14:$L$21,
        Calculate_cap_emi!$AY$14:$AY$21, "Not found", 0),"HPl",_xlfn.XLOOKUP(E64&amp;"|"&amp;B64,
        Calculate_cap_emi!$I$14:$I$21&amp;"|"&amp;Calculate_cap_emi!$L$14:$L$21,
        Calculate_cap_emi!$BB$14:$BB$21, "Not found", 0),"Missing")</f>
        <v>366.18396669411766</v>
      </c>
      <c r="T64" s="5" cm="1">
        <f t="array" ref="T64">_xlfn.SWITCH(F64,"R",_xlfn.XLOOKUP(E64&amp;"|"&amp;B64,
        Calculate_cap_emi!$I$14:$I$21&amp;"|"&amp;Calculate_cap_emi!$L$14:$L$21,
        Calculate_cap_emi!$BE$14:$BE$21, "Not found", 0),"Rb",_xlfn.XLOOKUP(E64&amp;"|"&amp;B64,
        Calculate_cap_emi!$I$14:$I$21&amp;"|"&amp;Calculate_cap_emi!$L$14:$L$21,
        Calculate_cap_emi!$BG$14:$BG$21, "Not found", 0),"Rl",_xlfn.XLOOKUP(E64&amp;"|"&amp;B64,
        Calculate_cap_emi!$I$14:$I$21&amp;"|"&amp;Calculate_cap_emi!$L$14:$L$21,
        Calculate_cap_emi!$BH$14:$BH$21, "Not found", 0),"HP",_xlfn.XLOOKUP(E64&amp;"|"&amp;B64,
        Calculate_cap_emi!$I$14:$I$21&amp;"|"&amp;Calculate_cap_emi!$L$14:$L$21,
        Calculate_cap_emi!$BF$14:$BF$21, "Not found", 0),"HPl",_xlfn.XLOOKUP(E64&amp;"|"&amp;B64,
        Calculate_cap_emi!$I$14:$I$21&amp;"|"&amp;Calculate_cap_emi!$L$14:$L$21,
        Calculate_cap_emi!$BI$14:$BI$21, "Not found", 0),"Missing")</f>
        <v>1981.9740634235295</v>
      </c>
      <c r="U64" s="5" cm="1">
        <f t="array" ref="U64">_xlfn.SWITCH(F64,"R",_xlfn.XLOOKUP(E64&amp;"|"&amp;B64,
        Calculate_cap_emi_sens!$I$14:$I$21&amp;"|"&amp;Calculate_cap_emi_sens!$L$14:$L$21,
        Calculate_cap_emi_sens!$AX$14:$AX$21, "Not found", 0),"Rb",_xlfn.XLOOKUP(E64&amp;"|"&amp;B64,
        Calculate_cap_emi_sens!$I$14:$I$21&amp;"|"&amp;Calculate_cap_emi_sens!$L$14:$L$21,
        Calculate_cap_emi_sens!$AZ$14:$AZ$21, "Not found", 0),"Rl",_xlfn.XLOOKUP(E64&amp;"|"&amp;B64,
        Calculate_cap_emi_sens!$I$14:$I$21&amp;"|"&amp;Calculate_cap_emi_sens!$L$14:$L$21,
        Calculate_cap_emi_sens!$BA$14:$BA$21, "Not found", 0),"HP",_xlfn.XLOOKUP(E64&amp;"|"&amp;B64,
        Calculate_cap_emi_sens!$I$14:$I$21&amp;"|"&amp;Calculate_cap_emi_sens!$L$14:$L$21,
        Calculate_cap_emi_sens!$AY$14:$AY$21, "Not found", 0),"HPl",_xlfn.XLOOKUP(E64&amp;"|"&amp;B64,
        Calculate_cap_emi_sens!$I$14:$I$21&amp;"|"&amp;Calculate_cap_emi_sens!$L$14:$L$21,
        Calculate_cap_emi_sens!$BB$14:$BB$21, "Not found", 0),"Missing")</f>
        <v>114.00823807353137</v>
      </c>
      <c r="V64" s="5" cm="1">
        <f t="array" ref="V64">_xlfn.SWITCH(F64,"R",_xlfn.XLOOKUP(E64&amp;"|"&amp;B64,
        Calculate_cap_emi_sens!$I$14:$I$21&amp;"|"&amp;Calculate_cap_emi_sens!$L$14:$L$21,
        Calculate_cap_emi_sens!$BE$14:$BE$21, "Not found", 0),"Rb",_xlfn.XLOOKUP(E64&amp;"|"&amp;B64,
        Calculate_cap_emi_sens!$I$14:$I$21&amp;"|"&amp;Calculate_cap_emi_sens!$L$14:$L$21,
        Calculate_cap_emi_sens!$BG$14:$BG$21, "Not found", 0),"Rl",_xlfn.XLOOKUP(E64&amp;"|"&amp;B64,
        Calculate_cap_emi_sens!$I$14:$I$21&amp;"|"&amp;Calculate_cap_emi_sens!$L$14:$L$21,
        Calculate_cap_emi_sens!$BH$14:$BH$21, "Not found", 0),"HP",_xlfn.XLOOKUP(E64&amp;"|"&amp;B64,
        Calculate_cap_emi_sens!$I$14:$I$21&amp;"|"&amp;Calculate_cap_emi_sens!$L$14:$L$21,
        Calculate_cap_emi_sens!$BF$14:$BF$21, "Not found", 0),"HPl",_xlfn.XLOOKUP(E64&amp;"|"&amp;B64,
        Calculate_cap_emi_sens!$I$14:$I$21&amp;"|"&amp;Calculate_cap_emi_sens!$L$14:$L$21,
        Calculate_cap_emi_sens!$BI$14:$BI$21, "Not found", 0),"Missing")</f>
        <v>656.74145299935549</v>
      </c>
      <c r="W64" s="5">
        <f>Results_proc_ener!L64</f>
        <v>52195.761585882356</v>
      </c>
      <c r="X64" s="5">
        <f>Results_proc_ener!M64</f>
        <v>0</v>
      </c>
      <c r="Y64" s="5">
        <f>Results_proc_ener!N64</f>
        <v>0</v>
      </c>
      <c r="Z64" s="5">
        <f>Results_proc_ener!O64</f>
        <v>0</v>
      </c>
      <c r="AA64" s="5">
        <f>Results_proc_ener!P64</f>
        <v>0</v>
      </c>
      <c r="AB64" s="5">
        <f>Results_proc_ener!Q64</f>
        <v>915.14124598374747</v>
      </c>
      <c r="AC64" s="5">
        <f>Results_proc_ener!R64</f>
        <v>2361.7388716764708</v>
      </c>
      <c r="AD64" s="5">
        <f>Results_proc_ener!S64</f>
        <v>12962.337690117647</v>
      </c>
      <c r="AE64" s="5">
        <f>Results_proc_ener!T64</f>
        <v>12317.96599200226</v>
      </c>
    </row>
    <row r="65" spans="1:31" x14ac:dyDescent="0.25">
      <c r="A65" s="5" t="s">
        <v>10</v>
      </c>
      <c r="B65" s="5" t="str">
        <f t="shared" si="0"/>
        <v>Mod-H1</v>
      </c>
      <c r="C65" s="5" t="str">
        <f t="shared" si="1"/>
        <v>Mod</v>
      </c>
      <c r="D65" s="5" t="str">
        <f t="shared" si="2"/>
        <v>H1</v>
      </c>
      <c r="E65" s="5" t="s">
        <v>11</v>
      </c>
      <c r="F65" s="5" t="s">
        <v>16</v>
      </c>
      <c r="G65" s="5"/>
      <c r="H65" s="5" cm="1">
        <f t="array" ref="H65">_xlfn.SWITCH(F65,"HP",_xlfn.XLOOKUP(E65&amp;"|"&amp;B65,
        Calculate_cap_emi!$I$14:$I$21&amp;"|"&amp;Calculate_cap_emi!$L$14:$L$21,
        Calculate_cap_emi!$X$14:$X$21, "Not found", 0),"HPl",_xlfn.XLOOKUP(E65&amp;"|"&amp;B65,
        Calculate_cap_emi!$I$14:$I$21&amp;"|"&amp;Calculate_cap_emi!$L$14:$L$21,
        Calculate_cap_emi!$AA$14:$AA$21, "Not found", 0),)</f>
        <v>12.5</v>
      </c>
      <c r="I65" s="5"/>
      <c r="J65" s="5"/>
      <c r="K65" s="5"/>
      <c r="L65" s="5" cm="1">
        <f t="array" ref="L65">_xlfn.SWITCH(F65,"R",_xlfn.XLOOKUP(E65&amp;"|"&amp;B65,
        Calculate_cap_emi!$I$14:$I$21&amp;"|"&amp;Calculate_cap_emi!$L$14:$L$21,
        Calculate_cap_emi!$AC$14:$AC$21, "Not found", 0),"Rb",_xlfn.XLOOKUP(E65&amp;"|"&amp;B65,
        Calculate_cap_emi!$I$14:$I$21&amp;"|"&amp;Calculate_cap_emi!$L$14:$L$21,
        Calculate_cap_emi!$AE$14:$AE$21, "Not found", 0),"Rl",_xlfn.XLOOKUP(E65&amp;"|"&amp;B65,
        Calculate_cap_emi!$I$14:$I$21&amp;"|"&amp;Calculate_cap_emi!$L$14:$L$21,
        Calculate_cap_emi!$AF$14:$AF$21, "Not found", 0),"HP",_xlfn.XLOOKUP(E65&amp;"|"&amp;B65,
        Calculate_cap_emi!$I$14:$I$21&amp;"|"&amp;Calculate_cap_emi!$L$14:$L$21,
        Calculate_cap_emi!$AD$14:$AD$21, "Not found", 0),"HPl",_xlfn.XLOOKUP(E65&amp;"|"&amp;B65,
        Calculate_cap_emi!$I$14:$I$21&amp;"|"&amp;Calculate_cap_emi!$L$14:$L$21,
        Calculate_cap_emi!$AG$14:$AG$21, "Not found", 0),"Missing")</f>
        <v>1836.3662526176472</v>
      </c>
      <c r="M65" s="5"/>
      <c r="N65" s="5"/>
      <c r="O65" s="5"/>
      <c r="P65" s="5"/>
      <c r="Q65" s="5" cm="1">
        <f t="array" ref="Q65">_xlfn.SWITCH(F65,"R",_xlfn.XLOOKUP(E65&amp;"|"&amp;B65,
        Calculate_cap_emi!$I$14:$I$21&amp;"|"&amp;Calculate_cap_emi!$L$14:$L$21,
        Calculate_cap_emi!$AJ$14:$AJ$21, "Not found", 0),"Rb",_xlfn.XLOOKUP(E65&amp;"|"&amp;B65,
        Calculate_cap_emi!$I$14:$I$21&amp;"|"&amp;Calculate_cap_emi!$L$14:$L$21,
        Calculate_cap_emi!$AL$14:$AL$21, "Not found", 0),"Rl",_xlfn.XLOOKUP(E65&amp;"|"&amp;B65,
        Calculate_cap_emi!$I$14:$I$21&amp;"|"&amp;Calculate_cap_emi!$L$14:$L$21,
        Calculate_cap_emi!$AM$14:$AM$21, "Not found", 0),"HP",_xlfn.XLOOKUP(E65&amp;"|"&amp;B65,
        Calculate_cap_emi!$I$14:$I$21&amp;"|"&amp;Calculate_cap_emi!$L$14:$L$21,
        Calculate_cap_emi!$AK$14:$AK$21, "Not found", 0),"HPl",_xlfn.XLOOKUP(E65&amp;"|"&amp;B65,
        Calculate_cap_emi!$I$14:$I$21&amp;"|"&amp;Calculate_cap_emi!$L$14:$L$21,
        Calculate_cap_emi!$AN$14:$AN$21, "Not found", 0),"Missing")</f>
        <v>43.21056854141689</v>
      </c>
      <c r="R65" s="5" cm="1">
        <f t="array" ref="R65">_xlfn.SWITCH(F65,"R",_xlfn.XLOOKUP(E65&amp;"|"&amp;B65,
        Calculate_cap_emi!$I$14:$I$21&amp;"|"&amp;Calculate_cap_emi!$L$14:$L$21,
        Calculate_cap_emi!$AQ$14:$AQ$21, "Not found", 0),"Rb",_xlfn.XLOOKUP(E65&amp;"|"&amp;B65,
        Calculate_cap_emi!$I$14:$I$21&amp;"|"&amp;Calculate_cap_emi!$L$14:$L$21,
        Calculate_cap_emi!$AS$14:$AS$21, "Not found", 0),"Rl",_xlfn.XLOOKUP(E65&amp;"|"&amp;B65,
        Calculate_cap_emi!$I$14:$I$21&amp;"|"&amp;Calculate_cap_emi!$L$14:$L$21,
        Calculate_cap_emi!$AT$14:$AT$21, "Not found", 0),"HP",_xlfn.XLOOKUP(E65&amp;"|"&amp;B65,
        Calculate_cap_emi!$I$14:$I$21&amp;"|"&amp;Calculate_cap_emi!$L$14:$L$21,
        Calculate_cap_emi!$AR$14:$AR$21, "Not found", 0),"HPl",_xlfn.XLOOKUP(E65&amp;"|"&amp;B65,
        Calculate_cap_emi!$I$14:$I$21&amp;"|"&amp;Calculate_cap_emi!$L$14:$L$21,
        Calculate_cap_emi!$AU$14:$AU$21, "Not found", 0),"Missing")</f>
        <v>136.73250316764705</v>
      </c>
      <c r="S65" s="5" cm="1">
        <f t="array" ref="S65">_xlfn.SWITCH(F65,"R",_xlfn.XLOOKUP(E65&amp;"|"&amp;B65,
        Calculate_cap_emi!$I$14:$I$21&amp;"|"&amp;Calculate_cap_emi!$L$14:$L$21,
        Calculate_cap_emi!$AX$14:$AX$21, "Not found", 0),"Rb",_xlfn.XLOOKUP(E65&amp;"|"&amp;B65,
        Calculate_cap_emi!$I$14:$I$21&amp;"|"&amp;Calculate_cap_emi!$L$14:$L$21,
        Calculate_cap_emi!$AZ$14:$AZ$21, "Not found", 0),"Rl",_xlfn.XLOOKUP(E65&amp;"|"&amp;B65,
        Calculate_cap_emi!$I$14:$I$21&amp;"|"&amp;Calculate_cap_emi!$L$14:$L$21,
        Calculate_cap_emi!$BA$14:$BA$21, "Not found", 0),"HP",_xlfn.XLOOKUP(E65&amp;"|"&amp;B65,
        Calculate_cap_emi!$I$14:$I$21&amp;"|"&amp;Calculate_cap_emi!$L$14:$L$21,
        Calculate_cap_emi!$AY$14:$AY$21, "Not found", 0),"HPl",_xlfn.XLOOKUP(E65&amp;"|"&amp;B65,
        Calculate_cap_emi!$I$14:$I$21&amp;"|"&amp;Calculate_cap_emi!$L$14:$L$21,
        Calculate_cap_emi!$BB$14:$BB$21, "Not found", 0),"Missing")</f>
        <v>366.18396669411766</v>
      </c>
      <c r="T65" s="5" cm="1">
        <f t="array" ref="T65">_xlfn.SWITCH(F65,"R",_xlfn.XLOOKUP(E65&amp;"|"&amp;B65,
        Calculate_cap_emi!$I$14:$I$21&amp;"|"&amp;Calculate_cap_emi!$L$14:$L$21,
        Calculate_cap_emi!$BE$14:$BE$21, "Not found", 0),"Rb",_xlfn.XLOOKUP(E65&amp;"|"&amp;B65,
        Calculate_cap_emi!$I$14:$I$21&amp;"|"&amp;Calculate_cap_emi!$L$14:$L$21,
        Calculate_cap_emi!$BG$14:$BG$21, "Not found", 0),"Rl",_xlfn.XLOOKUP(E65&amp;"|"&amp;B65,
        Calculate_cap_emi!$I$14:$I$21&amp;"|"&amp;Calculate_cap_emi!$L$14:$L$21,
        Calculate_cap_emi!$BH$14:$BH$21, "Not found", 0),"HP",_xlfn.XLOOKUP(E65&amp;"|"&amp;B65,
        Calculate_cap_emi!$I$14:$I$21&amp;"|"&amp;Calculate_cap_emi!$L$14:$L$21,
        Calculate_cap_emi!$BF$14:$BF$21, "Not found", 0),"HPl",_xlfn.XLOOKUP(E65&amp;"|"&amp;B65,
        Calculate_cap_emi!$I$14:$I$21&amp;"|"&amp;Calculate_cap_emi!$L$14:$L$21,
        Calculate_cap_emi!$BI$14:$BI$21, "Not found", 0),"Missing")</f>
        <v>1981.9740634235295</v>
      </c>
      <c r="U65" s="5" cm="1">
        <f t="array" ref="U65">_xlfn.SWITCH(F65,"R",_xlfn.XLOOKUP(E65&amp;"|"&amp;B65,
        Calculate_cap_emi_sens!$I$14:$I$21&amp;"|"&amp;Calculate_cap_emi_sens!$L$14:$L$21,
        Calculate_cap_emi_sens!$AX$14:$AX$21, "Not found", 0),"Rb",_xlfn.XLOOKUP(E65&amp;"|"&amp;B65,
        Calculate_cap_emi_sens!$I$14:$I$21&amp;"|"&amp;Calculate_cap_emi_sens!$L$14:$L$21,
        Calculate_cap_emi_sens!$AZ$14:$AZ$21, "Not found", 0),"Rl",_xlfn.XLOOKUP(E65&amp;"|"&amp;B65,
        Calculate_cap_emi_sens!$I$14:$I$21&amp;"|"&amp;Calculate_cap_emi_sens!$L$14:$L$21,
        Calculate_cap_emi_sens!$BA$14:$BA$21, "Not found", 0),"HP",_xlfn.XLOOKUP(E65&amp;"|"&amp;B65,
        Calculate_cap_emi_sens!$I$14:$I$21&amp;"|"&amp;Calculate_cap_emi_sens!$L$14:$L$21,
        Calculate_cap_emi_sens!$AY$14:$AY$21, "Not found", 0),"HPl",_xlfn.XLOOKUP(E65&amp;"|"&amp;B65,
        Calculate_cap_emi_sens!$I$14:$I$21&amp;"|"&amp;Calculate_cap_emi_sens!$L$14:$L$21,
        Calculate_cap_emi_sens!$BB$14:$BB$21, "Not found", 0),"Missing")</f>
        <v>114.00823807353137</v>
      </c>
      <c r="V65" s="5" cm="1">
        <f t="array" ref="V65">_xlfn.SWITCH(F65,"R",_xlfn.XLOOKUP(E65&amp;"|"&amp;B65,
        Calculate_cap_emi_sens!$I$14:$I$21&amp;"|"&amp;Calculate_cap_emi_sens!$L$14:$L$21,
        Calculate_cap_emi_sens!$BE$14:$BE$21, "Not found", 0),"Rb",_xlfn.XLOOKUP(E65&amp;"|"&amp;B65,
        Calculate_cap_emi_sens!$I$14:$I$21&amp;"|"&amp;Calculate_cap_emi_sens!$L$14:$L$21,
        Calculate_cap_emi_sens!$BG$14:$BG$21, "Not found", 0),"Rl",_xlfn.XLOOKUP(E65&amp;"|"&amp;B65,
        Calculate_cap_emi_sens!$I$14:$I$21&amp;"|"&amp;Calculate_cap_emi_sens!$L$14:$L$21,
        Calculate_cap_emi_sens!$BH$14:$BH$21, "Not found", 0),"HP",_xlfn.XLOOKUP(E65&amp;"|"&amp;B65,
        Calculate_cap_emi_sens!$I$14:$I$21&amp;"|"&amp;Calculate_cap_emi_sens!$L$14:$L$21,
        Calculate_cap_emi_sens!$BF$14:$BF$21, "Not found", 0),"HPl",_xlfn.XLOOKUP(E65&amp;"|"&amp;B65,
        Calculate_cap_emi_sens!$I$14:$I$21&amp;"|"&amp;Calculate_cap_emi_sens!$L$14:$L$21,
        Calculate_cap_emi_sens!$BI$14:$BI$21, "Not found", 0),"Missing")</f>
        <v>656.74145299935549</v>
      </c>
      <c r="W65" s="5">
        <f>Results_proc_ener!L65</f>
        <v>52195.761585882356</v>
      </c>
      <c r="X65" s="5">
        <f>Results_proc_ener!M65</f>
        <v>0</v>
      </c>
      <c r="Y65" s="5">
        <f>Results_proc_ener!N65</f>
        <v>0</v>
      </c>
      <c r="Z65" s="5">
        <f>Results_proc_ener!O65</f>
        <v>0</v>
      </c>
      <c r="AA65" s="5">
        <f>Results_proc_ener!P65</f>
        <v>0</v>
      </c>
      <c r="AB65" s="5">
        <f>Results_proc_ener!Q65</f>
        <v>915.14124598374747</v>
      </c>
      <c r="AC65" s="5">
        <f>Results_proc_ener!R65</f>
        <v>2361.7388716764708</v>
      </c>
      <c r="AD65" s="5">
        <f>Results_proc_ener!S65</f>
        <v>12962.337690117647</v>
      </c>
      <c r="AE65" s="5">
        <f>Results_proc_ener!T65</f>
        <v>12317.96599200226</v>
      </c>
    </row>
    <row r="66" spans="1:31" x14ac:dyDescent="0.25">
      <c r="A66" s="5" t="s">
        <v>4</v>
      </c>
      <c r="B66" s="5" t="str">
        <f t="shared" si="0"/>
        <v>Mass-Nom</v>
      </c>
      <c r="C66" s="5" t="str">
        <f t="shared" si="1"/>
        <v>Mass</v>
      </c>
      <c r="D66" s="5" t="str">
        <f t="shared" si="2"/>
        <v>Nom</v>
      </c>
      <c r="E66" s="5" t="s">
        <v>3</v>
      </c>
      <c r="F66" s="5" t="s">
        <v>17</v>
      </c>
      <c r="G66" s="5"/>
      <c r="H66" s="5" cm="1">
        <f t="array" ref="H66">_xlfn.SWITCH(F66,"HP",_xlfn.XLOOKUP(E66&amp;"|"&amp;B66,
        Calculate_cap_emi!$I$14:$I$21&amp;"|"&amp;Calculate_cap_emi!$L$14:$L$21,
        Calculate_cap_emi!$X$14:$X$21, "Not found", 0),"HPl",_xlfn.XLOOKUP(E66&amp;"|"&amp;B66,
        Calculate_cap_emi!$I$14:$I$21&amp;"|"&amp;Calculate_cap_emi!$L$14:$L$21,
        Calculate_cap_emi!$AA$14:$AA$21, "Not found", 0),)</f>
        <v>7</v>
      </c>
      <c r="I66" s="5"/>
      <c r="J66" s="5"/>
      <c r="K66" s="5"/>
      <c r="L66" s="5" cm="1">
        <f t="array" ref="L66">_xlfn.SWITCH(F66,"R",_xlfn.XLOOKUP(E66&amp;"|"&amp;B66,
        Calculate_cap_emi!$I$14:$I$21&amp;"|"&amp;Calculate_cap_emi!$L$14:$L$21,
        Calculate_cap_emi!$AC$14:$AC$21, "Not found", 0),"Rb",_xlfn.XLOOKUP(E66&amp;"|"&amp;B66,
        Calculate_cap_emi!$I$14:$I$21&amp;"|"&amp;Calculate_cap_emi!$L$14:$L$21,
        Calculate_cap_emi!$AE$14:$AE$21, "Not found", 0),"Rl",_xlfn.XLOOKUP(E66&amp;"|"&amp;B66,
        Calculate_cap_emi!$I$14:$I$21&amp;"|"&amp;Calculate_cap_emi!$L$14:$L$21,
        Calculate_cap_emi!$AF$14:$AF$21, "Not found", 0),"HP",_xlfn.XLOOKUP(E66&amp;"|"&amp;B66,
        Calculate_cap_emi!$I$14:$I$21&amp;"|"&amp;Calculate_cap_emi!$L$14:$L$21,
        Calculate_cap_emi!$AD$14:$AD$21, "Not found", 0),"HPl",_xlfn.XLOOKUP(E66&amp;"|"&amp;B66,
        Calculate_cap_emi!$I$14:$I$21&amp;"|"&amp;Calculate_cap_emi!$L$14:$L$21,
        Calculate_cap_emi!$AG$14:$AG$21, "Not found", 0),"Missing")</f>
        <v>959.72589201176459</v>
      </c>
      <c r="M66" s="5"/>
      <c r="N66" s="5"/>
      <c r="O66" s="5"/>
      <c r="P66" s="5"/>
      <c r="Q66" s="5" cm="1">
        <f t="array" ref="Q66">_xlfn.SWITCH(F66,"R",_xlfn.XLOOKUP(E66&amp;"|"&amp;B66,
        Calculate_cap_emi!$I$14:$I$21&amp;"|"&amp;Calculate_cap_emi!$L$14:$L$21,
        Calculate_cap_emi!$AJ$14:$AJ$21, "Not found", 0),"Rb",_xlfn.XLOOKUP(E66&amp;"|"&amp;B66,
        Calculate_cap_emi!$I$14:$I$21&amp;"|"&amp;Calculate_cap_emi!$L$14:$L$21,
        Calculate_cap_emi!$AL$14:$AL$21, "Not found", 0),"Rl",_xlfn.XLOOKUP(E66&amp;"|"&amp;B66,
        Calculate_cap_emi!$I$14:$I$21&amp;"|"&amp;Calculate_cap_emi!$L$14:$L$21,
        Calculate_cap_emi!$AM$14:$AM$21, "Not found", 0),"HP",_xlfn.XLOOKUP(E66&amp;"|"&amp;B66,
        Calculate_cap_emi!$I$14:$I$21&amp;"|"&amp;Calculate_cap_emi!$L$14:$L$21,
        Calculate_cap_emi!$AK$14:$AK$21, "Not found", 0),"HPl",_xlfn.XLOOKUP(E66&amp;"|"&amp;B66,
        Calculate_cap_emi!$I$14:$I$21&amp;"|"&amp;Calculate_cap_emi!$L$14:$L$21,
        Calculate_cap_emi!$AN$14:$AN$21, "Not found", 0),"Missing")</f>
        <v>20.862810413897904</v>
      </c>
      <c r="R66" s="5" cm="1">
        <f t="array" ref="R66">_xlfn.SWITCH(F66,"R",_xlfn.XLOOKUP(E66&amp;"|"&amp;B66,
        Calculate_cap_emi!$I$14:$I$21&amp;"|"&amp;Calculate_cap_emi!$L$14:$L$21,
        Calculate_cap_emi!$AQ$14:$AQ$21, "Not found", 0),"Rb",_xlfn.XLOOKUP(E66&amp;"|"&amp;B66,
        Calculate_cap_emi!$I$14:$I$21&amp;"|"&amp;Calculate_cap_emi!$L$14:$L$21,
        Calculate_cap_emi!$AS$14:$AS$21, "Not found", 0),"Rl",_xlfn.XLOOKUP(E66&amp;"|"&amp;B66,
        Calculate_cap_emi!$I$14:$I$21&amp;"|"&amp;Calculate_cap_emi!$L$14:$L$21,
        Calculate_cap_emi!$AT$14:$AT$21, "Not found", 0),"HP",_xlfn.XLOOKUP(E66&amp;"|"&amp;B66,
        Calculate_cap_emi!$I$14:$I$21&amp;"|"&amp;Calculate_cap_emi!$L$14:$L$21,
        Calculate_cap_emi!$AR$14:$AR$21, "Not found", 0),"HPl",_xlfn.XLOOKUP(E66&amp;"|"&amp;B66,
        Calculate_cap_emi!$I$14:$I$21&amp;"|"&amp;Calculate_cap_emi!$L$14:$L$21,
        Calculate_cap_emi!$AU$14:$AU$21, "Not found", 0),"Missing")</f>
        <v>68.562420817058822</v>
      </c>
      <c r="S66" s="5" cm="1">
        <f t="array" ref="S66">_xlfn.SWITCH(F66,"R",_xlfn.XLOOKUP(E66&amp;"|"&amp;B66,
        Calculate_cap_emi!$I$14:$I$21&amp;"|"&amp;Calculate_cap_emi!$L$14:$L$21,
        Calculate_cap_emi!$AX$14:$AX$21, "Not found", 0),"Rb",_xlfn.XLOOKUP(E66&amp;"|"&amp;B66,
        Calculate_cap_emi!$I$14:$I$21&amp;"|"&amp;Calculate_cap_emi!$L$14:$L$21,
        Calculate_cap_emi!$AZ$14:$AZ$21, "Not found", 0),"Rl",_xlfn.XLOOKUP(E66&amp;"|"&amp;B66,
        Calculate_cap_emi!$I$14:$I$21&amp;"|"&amp;Calculate_cap_emi!$L$14:$L$21,
        Calculate_cap_emi!$BA$14:$BA$21, "Not found", 0),"HP",_xlfn.XLOOKUP(E66&amp;"|"&amp;B66,
        Calculate_cap_emi!$I$14:$I$21&amp;"|"&amp;Calculate_cap_emi!$L$14:$L$21,
        Calculate_cap_emi!$AY$14:$AY$21, "Not found", 0),"HPl",_xlfn.XLOOKUP(E66&amp;"|"&amp;B66,
        Calculate_cap_emi!$I$14:$I$21&amp;"|"&amp;Calculate_cap_emi!$L$14:$L$21,
        Calculate_cap_emi!$BB$14:$BB$21, "Not found", 0),"Missing")</f>
        <v>173.13346129999999</v>
      </c>
      <c r="T66" s="5" cm="1">
        <f t="array" ref="T66">_xlfn.SWITCH(F66,"R",_xlfn.XLOOKUP(E66&amp;"|"&amp;B66,
        Calculate_cap_emi!$I$14:$I$21&amp;"|"&amp;Calculate_cap_emi!$L$14:$L$21,
        Calculate_cap_emi!$BE$14:$BE$21, "Not found", 0),"Rb",_xlfn.XLOOKUP(E66&amp;"|"&amp;B66,
        Calculate_cap_emi!$I$14:$I$21&amp;"|"&amp;Calculate_cap_emi!$L$14:$L$21,
        Calculate_cap_emi!$BG$14:$BG$21, "Not found", 0),"Rl",_xlfn.XLOOKUP(E66&amp;"|"&amp;B66,
        Calculate_cap_emi!$I$14:$I$21&amp;"|"&amp;Calculate_cap_emi!$L$14:$L$21,
        Calculate_cap_emi!$BH$14:$BH$21, "Not found", 0),"HP",_xlfn.XLOOKUP(E66&amp;"|"&amp;B66,
        Calculate_cap_emi!$I$14:$I$21&amp;"|"&amp;Calculate_cap_emi!$L$14:$L$21,
        Calculate_cap_emi!$BF$14:$BF$21, "Not found", 0),"HPl",_xlfn.XLOOKUP(E66&amp;"|"&amp;B66,
        Calculate_cap_emi!$I$14:$I$21&amp;"|"&amp;Calculate_cap_emi!$L$14:$L$21,
        Calculate_cap_emi!$BI$14:$BI$21, "Not found", 0),"Missing")</f>
        <v>673.37014549411765</v>
      </c>
      <c r="U66" s="5" cm="1">
        <f t="array" ref="U66">_xlfn.SWITCH(F66,"R",_xlfn.XLOOKUP(E66&amp;"|"&amp;B66,
        Calculate_cap_emi_sens!$I$14:$I$21&amp;"|"&amp;Calculate_cap_emi_sens!$L$14:$L$21,
        Calculate_cap_emi_sens!$AX$14:$AX$21, "Not found", 0),"Rb",_xlfn.XLOOKUP(E66&amp;"|"&amp;B66,
        Calculate_cap_emi_sens!$I$14:$I$21&amp;"|"&amp;Calculate_cap_emi_sens!$L$14:$L$21,
        Calculate_cap_emi_sens!$AZ$14:$AZ$21, "Not found", 0),"Rl",_xlfn.XLOOKUP(E66&amp;"|"&amp;B66,
        Calculate_cap_emi_sens!$I$14:$I$21&amp;"|"&amp;Calculate_cap_emi_sens!$L$14:$L$21,
        Calculate_cap_emi_sens!$BA$14:$BA$21, "Not found", 0),"HP",_xlfn.XLOOKUP(E66&amp;"|"&amp;B66,
        Calculate_cap_emi_sens!$I$14:$I$21&amp;"|"&amp;Calculate_cap_emi_sens!$L$14:$L$21,
        Calculate_cap_emi_sens!$AY$14:$AY$21, "Not found", 0),"HPl",_xlfn.XLOOKUP(E66&amp;"|"&amp;B66,
        Calculate_cap_emi_sens!$I$14:$I$21&amp;"|"&amp;Calculate_cap_emi_sens!$L$14:$L$21,
        Calculate_cap_emi_sens!$BB$14:$BB$21, "Not found", 0),"Missing")</f>
        <v>70.42832091470784</v>
      </c>
      <c r="V66" s="5" cm="1">
        <f t="array" ref="V66">_xlfn.SWITCH(F66,"R",_xlfn.XLOOKUP(E66&amp;"|"&amp;B66,
        Calculate_cap_emi_sens!$I$14:$I$21&amp;"|"&amp;Calculate_cap_emi_sens!$L$14:$L$21,
        Calculate_cap_emi_sens!$BE$14:$BE$21, "Not found", 0),"Rb",_xlfn.XLOOKUP(E66&amp;"|"&amp;B66,
        Calculate_cap_emi_sens!$I$14:$I$21&amp;"|"&amp;Calculate_cap_emi_sens!$L$14:$L$21,
        Calculate_cap_emi_sens!$BG$14:$BG$21, "Not found", 0),"Rl",_xlfn.XLOOKUP(E66&amp;"|"&amp;B66,
        Calculate_cap_emi_sens!$I$14:$I$21&amp;"|"&amp;Calculate_cap_emi_sens!$L$14:$L$21,
        Calculate_cap_emi_sens!$BH$14:$BH$21, "Not found", 0),"HP",_xlfn.XLOOKUP(E66&amp;"|"&amp;B66,
        Calculate_cap_emi_sens!$I$14:$I$21&amp;"|"&amp;Calculate_cap_emi_sens!$L$14:$L$21,
        Calculate_cap_emi_sens!$BF$14:$BF$21, "Not found", 0),"HPl",_xlfn.XLOOKUP(E66&amp;"|"&amp;B66,
        Calculate_cap_emi_sens!$I$14:$I$21&amp;"|"&amp;Calculate_cap_emi_sens!$L$14:$L$21,
        Calculate_cap_emi_sens!$BI$14:$BI$21, "Not found", 0),"Missing")</f>
        <v>264.43291420996576</v>
      </c>
      <c r="W66" s="5">
        <f>Results_proc_ener!L66</f>
        <v>22484.269252941176</v>
      </c>
      <c r="X66" s="5">
        <f>Results_proc_ener!M66</f>
        <v>0</v>
      </c>
      <c r="Y66" s="5">
        <f>Results_proc_ener!N66</f>
        <v>0</v>
      </c>
      <c r="Z66" s="5">
        <f>Results_proc_ener!O66</f>
        <v>0</v>
      </c>
      <c r="AA66" s="5">
        <f>Results_proc_ener!P66</f>
        <v>0</v>
      </c>
      <c r="AB66" s="5">
        <f>Results_proc_ener!Q66</f>
        <v>441.8460335368498</v>
      </c>
      <c r="AC66" s="5">
        <f>Results_proc_ener!R66</f>
        <v>1079.291473482353</v>
      </c>
      <c r="AD66" s="5">
        <f>Results_proc_ener!S66</f>
        <v>4310.2787639999997</v>
      </c>
      <c r="AE66" s="5">
        <f>Results_proc_ener!T66</f>
        <v>4318.761676764706</v>
      </c>
    </row>
    <row r="67" spans="1:31" x14ac:dyDescent="0.25">
      <c r="A67" s="5" t="s">
        <v>2</v>
      </c>
      <c r="B67" s="5" t="str">
        <f t="shared" ref="B67:B81" si="3">_xlfn.TEXTBEFORE(A67, "-", 2)</f>
        <v>Mass-Nom</v>
      </c>
      <c r="C67" s="5" t="str">
        <f t="shared" ref="C67:C81" si="4">_xlfn.TEXTBEFORE(A67, "-", 1)</f>
        <v>Mass</v>
      </c>
      <c r="D67" s="5" t="str">
        <f t="shared" ref="D67:D144" si="5">_xlfn.TEXTAFTER(B67, "-", 1)</f>
        <v>Nom</v>
      </c>
      <c r="E67" s="5" t="s">
        <v>3</v>
      </c>
      <c r="F67" s="5" t="s">
        <v>17</v>
      </c>
      <c r="G67" s="5"/>
      <c r="H67" s="5" cm="1">
        <f t="array" ref="H67">_xlfn.SWITCH(F67,"HP",_xlfn.XLOOKUP(E67&amp;"|"&amp;B67,
        Calculate_cap_emi!$I$14:$I$21&amp;"|"&amp;Calculate_cap_emi!$L$14:$L$21,
        Calculate_cap_emi!$X$14:$X$21, "Not found", 0),"HPl",_xlfn.XLOOKUP(E67&amp;"|"&amp;B67,
        Calculate_cap_emi!$I$14:$I$21&amp;"|"&amp;Calculate_cap_emi!$L$14:$L$21,
        Calculate_cap_emi!$AA$14:$AA$21, "Not found", 0),)</f>
        <v>7</v>
      </c>
      <c r="I67" s="5"/>
      <c r="J67" s="5"/>
      <c r="K67" s="5"/>
      <c r="L67" s="5" cm="1">
        <f t="array" ref="L67">_xlfn.SWITCH(F67,"R",_xlfn.XLOOKUP(E67&amp;"|"&amp;B67,
        Calculate_cap_emi!$I$14:$I$21&amp;"|"&amp;Calculate_cap_emi!$L$14:$L$21,
        Calculate_cap_emi!$AC$14:$AC$21, "Not found", 0),"Rb",_xlfn.XLOOKUP(E67&amp;"|"&amp;B67,
        Calculate_cap_emi!$I$14:$I$21&amp;"|"&amp;Calculate_cap_emi!$L$14:$L$21,
        Calculate_cap_emi!$AE$14:$AE$21, "Not found", 0),"Rl",_xlfn.XLOOKUP(E67&amp;"|"&amp;B67,
        Calculate_cap_emi!$I$14:$I$21&amp;"|"&amp;Calculate_cap_emi!$L$14:$L$21,
        Calculate_cap_emi!$AF$14:$AF$21, "Not found", 0),"HP",_xlfn.XLOOKUP(E67&amp;"|"&amp;B67,
        Calculate_cap_emi!$I$14:$I$21&amp;"|"&amp;Calculate_cap_emi!$L$14:$L$21,
        Calculate_cap_emi!$AD$14:$AD$21, "Not found", 0),"HPl",_xlfn.XLOOKUP(E67&amp;"|"&amp;B67,
        Calculate_cap_emi!$I$14:$I$21&amp;"|"&amp;Calculate_cap_emi!$L$14:$L$21,
        Calculate_cap_emi!$AG$14:$AG$21, "Not found", 0),"Missing")</f>
        <v>959.72589201176459</v>
      </c>
      <c r="M67" s="5"/>
      <c r="N67" s="5"/>
      <c r="O67" s="5"/>
      <c r="P67" s="5"/>
      <c r="Q67" s="5" cm="1">
        <f t="array" ref="Q67">_xlfn.SWITCH(F67,"R",_xlfn.XLOOKUP(E67&amp;"|"&amp;B67,
        Calculate_cap_emi!$I$14:$I$21&amp;"|"&amp;Calculate_cap_emi!$L$14:$L$21,
        Calculate_cap_emi!$AJ$14:$AJ$21, "Not found", 0),"Rb",_xlfn.XLOOKUP(E67&amp;"|"&amp;B67,
        Calculate_cap_emi!$I$14:$I$21&amp;"|"&amp;Calculate_cap_emi!$L$14:$L$21,
        Calculate_cap_emi!$AL$14:$AL$21, "Not found", 0),"Rl",_xlfn.XLOOKUP(E67&amp;"|"&amp;B67,
        Calculate_cap_emi!$I$14:$I$21&amp;"|"&amp;Calculate_cap_emi!$L$14:$L$21,
        Calculate_cap_emi!$AM$14:$AM$21, "Not found", 0),"HP",_xlfn.XLOOKUP(E67&amp;"|"&amp;B67,
        Calculate_cap_emi!$I$14:$I$21&amp;"|"&amp;Calculate_cap_emi!$L$14:$L$21,
        Calculate_cap_emi!$AK$14:$AK$21, "Not found", 0),"HPl",_xlfn.XLOOKUP(E67&amp;"|"&amp;B67,
        Calculate_cap_emi!$I$14:$I$21&amp;"|"&amp;Calculate_cap_emi!$L$14:$L$21,
        Calculate_cap_emi!$AN$14:$AN$21, "Not found", 0),"Missing")</f>
        <v>20.862810413897904</v>
      </c>
      <c r="R67" s="5" cm="1">
        <f t="array" ref="R67">_xlfn.SWITCH(F67,"R",_xlfn.XLOOKUP(E67&amp;"|"&amp;B67,
        Calculate_cap_emi!$I$14:$I$21&amp;"|"&amp;Calculate_cap_emi!$L$14:$L$21,
        Calculate_cap_emi!$AQ$14:$AQ$21, "Not found", 0),"Rb",_xlfn.XLOOKUP(E67&amp;"|"&amp;B67,
        Calculate_cap_emi!$I$14:$I$21&amp;"|"&amp;Calculate_cap_emi!$L$14:$L$21,
        Calculate_cap_emi!$AS$14:$AS$21, "Not found", 0),"Rl",_xlfn.XLOOKUP(E67&amp;"|"&amp;B67,
        Calculate_cap_emi!$I$14:$I$21&amp;"|"&amp;Calculate_cap_emi!$L$14:$L$21,
        Calculate_cap_emi!$AT$14:$AT$21, "Not found", 0),"HP",_xlfn.XLOOKUP(E67&amp;"|"&amp;B67,
        Calculate_cap_emi!$I$14:$I$21&amp;"|"&amp;Calculate_cap_emi!$L$14:$L$21,
        Calculate_cap_emi!$AR$14:$AR$21, "Not found", 0),"HPl",_xlfn.XLOOKUP(E67&amp;"|"&amp;B67,
        Calculate_cap_emi!$I$14:$I$21&amp;"|"&amp;Calculate_cap_emi!$L$14:$L$21,
        Calculate_cap_emi!$AU$14:$AU$21, "Not found", 0),"Missing")</f>
        <v>68.562420817058822</v>
      </c>
      <c r="S67" s="5" cm="1">
        <f t="array" ref="S67">_xlfn.SWITCH(F67,"R",_xlfn.XLOOKUP(E67&amp;"|"&amp;B67,
        Calculate_cap_emi!$I$14:$I$21&amp;"|"&amp;Calculate_cap_emi!$L$14:$L$21,
        Calculate_cap_emi!$AX$14:$AX$21, "Not found", 0),"Rb",_xlfn.XLOOKUP(E67&amp;"|"&amp;B67,
        Calculate_cap_emi!$I$14:$I$21&amp;"|"&amp;Calculate_cap_emi!$L$14:$L$21,
        Calculate_cap_emi!$AZ$14:$AZ$21, "Not found", 0),"Rl",_xlfn.XLOOKUP(E67&amp;"|"&amp;B67,
        Calculate_cap_emi!$I$14:$I$21&amp;"|"&amp;Calculate_cap_emi!$L$14:$L$21,
        Calculate_cap_emi!$BA$14:$BA$21, "Not found", 0),"HP",_xlfn.XLOOKUP(E67&amp;"|"&amp;B67,
        Calculate_cap_emi!$I$14:$I$21&amp;"|"&amp;Calculate_cap_emi!$L$14:$L$21,
        Calculate_cap_emi!$AY$14:$AY$21, "Not found", 0),"HPl",_xlfn.XLOOKUP(E67&amp;"|"&amp;B67,
        Calculate_cap_emi!$I$14:$I$21&amp;"|"&amp;Calculate_cap_emi!$L$14:$L$21,
        Calculate_cap_emi!$BB$14:$BB$21, "Not found", 0),"Missing")</f>
        <v>173.13346129999999</v>
      </c>
      <c r="T67" s="5" cm="1">
        <f t="array" ref="T67">_xlfn.SWITCH(F67,"R",_xlfn.XLOOKUP(E67&amp;"|"&amp;B67,
        Calculate_cap_emi!$I$14:$I$21&amp;"|"&amp;Calculate_cap_emi!$L$14:$L$21,
        Calculate_cap_emi!$BE$14:$BE$21, "Not found", 0),"Rb",_xlfn.XLOOKUP(E67&amp;"|"&amp;B67,
        Calculate_cap_emi!$I$14:$I$21&amp;"|"&amp;Calculate_cap_emi!$L$14:$L$21,
        Calculate_cap_emi!$BG$14:$BG$21, "Not found", 0),"Rl",_xlfn.XLOOKUP(E67&amp;"|"&amp;B67,
        Calculate_cap_emi!$I$14:$I$21&amp;"|"&amp;Calculate_cap_emi!$L$14:$L$21,
        Calculate_cap_emi!$BH$14:$BH$21, "Not found", 0),"HP",_xlfn.XLOOKUP(E67&amp;"|"&amp;B67,
        Calculate_cap_emi!$I$14:$I$21&amp;"|"&amp;Calculate_cap_emi!$L$14:$L$21,
        Calculate_cap_emi!$BF$14:$BF$21, "Not found", 0),"HPl",_xlfn.XLOOKUP(E67&amp;"|"&amp;B67,
        Calculate_cap_emi!$I$14:$I$21&amp;"|"&amp;Calculate_cap_emi!$L$14:$L$21,
        Calculate_cap_emi!$BI$14:$BI$21, "Not found", 0),"Missing")</f>
        <v>673.37014549411765</v>
      </c>
      <c r="U67" s="5" cm="1">
        <f t="array" ref="U67">_xlfn.SWITCH(F67,"R",_xlfn.XLOOKUP(E67&amp;"|"&amp;B67,
        Calculate_cap_emi_sens!$I$14:$I$21&amp;"|"&amp;Calculate_cap_emi_sens!$L$14:$L$21,
        Calculate_cap_emi_sens!$AX$14:$AX$21, "Not found", 0),"Rb",_xlfn.XLOOKUP(E67&amp;"|"&amp;B67,
        Calculate_cap_emi_sens!$I$14:$I$21&amp;"|"&amp;Calculate_cap_emi_sens!$L$14:$L$21,
        Calculate_cap_emi_sens!$AZ$14:$AZ$21, "Not found", 0),"Rl",_xlfn.XLOOKUP(E67&amp;"|"&amp;B67,
        Calculate_cap_emi_sens!$I$14:$I$21&amp;"|"&amp;Calculate_cap_emi_sens!$L$14:$L$21,
        Calculate_cap_emi_sens!$BA$14:$BA$21, "Not found", 0),"HP",_xlfn.XLOOKUP(E67&amp;"|"&amp;B67,
        Calculate_cap_emi_sens!$I$14:$I$21&amp;"|"&amp;Calculate_cap_emi_sens!$L$14:$L$21,
        Calculate_cap_emi_sens!$AY$14:$AY$21, "Not found", 0),"HPl",_xlfn.XLOOKUP(E67&amp;"|"&amp;B67,
        Calculate_cap_emi_sens!$I$14:$I$21&amp;"|"&amp;Calculate_cap_emi_sens!$L$14:$L$21,
        Calculate_cap_emi_sens!$BB$14:$BB$21, "Not found", 0),"Missing")</f>
        <v>70.42832091470784</v>
      </c>
      <c r="V67" s="5" cm="1">
        <f t="array" ref="V67">_xlfn.SWITCH(F67,"R",_xlfn.XLOOKUP(E67&amp;"|"&amp;B67,
        Calculate_cap_emi_sens!$I$14:$I$21&amp;"|"&amp;Calculate_cap_emi_sens!$L$14:$L$21,
        Calculate_cap_emi_sens!$BE$14:$BE$21, "Not found", 0),"Rb",_xlfn.XLOOKUP(E67&amp;"|"&amp;B67,
        Calculate_cap_emi_sens!$I$14:$I$21&amp;"|"&amp;Calculate_cap_emi_sens!$L$14:$L$21,
        Calculate_cap_emi_sens!$BG$14:$BG$21, "Not found", 0),"Rl",_xlfn.XLOOKUP(E67&amp;"|"&amp;B67,
        Calculate_cap_emi_sens!$I$14:$I$21&amp;"|"&amp;Calculate_cap_emi_sens!$L$14:$L$21,
        Calculate_cap_emi_sens!$BH$14:$BH$21, "Not found", 0),"HP",_xlfn.XLOOKUP(E67&amp;"|"&amp;B67,
        Calculate_cap_emi_sens!$I$14:$I$21&amp;"|"&amp;Calculate_cap_emi_sens!$L$14:$L$21,
        Calculate_cap_emi_sens!$BF$14:$BF$21, "Not found", 0),"HPl",_xlfn.XLOOKUP(E67&amp;"|"&amp;B67,
        Calculate_cap_emi_sens!$I$14:$I$21&amp;"|"&amp;Calculate_cap_emi_sens!$L$14:$L$21,
        Calculate_cap_emi_sens!$BI$14:$BI$21, "Not found", 0),"Missing")</f>
        <v>264.43291420996576</v>
      </c>
      <c r="W67" s="5">
        <f>Results_proc_ener!L67</f>
        <v>22484.269252941176</v>
      </c>
      <c r="X67" s="5">
        <f>Results_proc_ener!M67</f>
        <v>0</v>
      </c>
      <c r="Y67" s="5">
        <f>Results_proc_ener!N67</f>
        <v>0</v>
      </c>
      <c r="Z67" s="5">
        <f>Results_proc_ener!O67</f>
        <v>0</v>
      </c>
      <c r="AA67" s="5">
        <f>Results_proc_ener!P67</f>
        <v>0</v>
      </c>
      <c r="AB67" s="5">
        <f>Results_proc_ener!Q67</f>
        <v>441.8460335368498</v>
      </c>
      <c r="AC67" s="5">
        <f>Results_proc_ener!R67</f>
        <v>1079.291473482353</v>
      </c>
      <c r="AD67" s="5">
        <f>Results_proc_ener!S67</f>
        <v>4310.2787639999997</v>
      </c>
      <c r="AE67" s="5">
        <f>Results_proc_ener!T67</f>
        <v>4318.761676764706</v>
      </c>
    </row>
    <row r="68" spans="1:31" x14ac:dyDescent="0.25">
      <c r="A68" s="5" t="s">
        <v>5</v>
      </c>
      <c r="B68" s="5" t="str">
        <f t="shared" si="3"/>
        <v>Mass-H1</v>
      </c>
      <c r="C68" s="5" t="str">
        <f t="shared" si="4"/>
        <v>Mass</v>
      </c>
      <c r="D68" s="5" t="str">
        <f t="shared" si="5"/>
        <v>H1</v>
      </c>
      <c r="E68" s="5" t="s">
        <v>3</v>
      </c>
      <c r="F68" s="5" t="s">
        <v>17</v>
      </c>
      <c r="G68" s="5"/>
      <c r="H68" s="5" cm="1">
        <f t="array" ref="H68">_xlfn.SWITCH(F68,"HP",_xlfn.XLOOKUP(E68&amp;"|"&amp;B68,
        Calculate_cap_emi!$I$14:$I$21&amp;"|"&amp;Calculate_cap_emi!$L$14:$L$21,
        Calculate_cap_emi!$X$14:$X$21, "Not found", 0),"HPl",_xlfn.XLOOKUP(E68&amp;"|"&amp;B68,
        Calculate_cap_emi!$I$14:$I$21&amp;"|"&amp;Calculate_cap_emi!$L$14:$L$21,
        Calculate_cap_emi!$AA$14:$AA$21, "Not found", 0),)</f>
        <v>4.5</v>
      </c>
      <c r="I68" s="5"/>
      <c r="J68" s="5"/>
      <c r="K68" s="5"/>
      <c r="L68" s="5" cm="1">
        <f t="array" ref="L68">_xlfn.SWITCH(F68,"R",_xlfn.XLOOKUP(E68&amp;"|"&amp;B68,
        Calculate_cap_emi!$I$14:$I$21&amp;"|"&amp;Calculate_cap_emi!$L$14:$L$21,
        Calculate_cap_emi!$AC$14:$AC$21, "Not found", 0),"Rb",_xlfn.XLOOKUP(E68&amp;"|"&amp;B68,
        Calculate_cap_emi!$I$14:$I$21&amp;"|"&amp;Calculate_cap_emi!$L$14:$L$21,
        Calculate_cap_emi!$AE$14:$AE$21, "Not found", 0),"Rl",_xlfn.XLOOKUP(E68&amp;"|"&amp;B68,
        Calculate_cap_emi!$I$14:$I$21&amp;"|"&amp;Calculate_cap_emi!$L$14:$L$21,
        Calculate_cap_emi!$AF$14:$AF$21, "Not found", 0),"HP",_xlfn.XLOOKUP(E68&amp;"|"&amp;B68,
        Calculate_cap_emi!$I$14:$I$21&amp;"|"&amp;Calculate_cap_emi!$L$14:$L$21,
        Calculate_cap_emi!$AD$14:$AD$21, "Not found", 0),"HPl",_xlfn.XLOOKUP(E68&amp;"|"&amp;B68,
        Calculate_cap_emi!$I$14:$I$21&amp;"|"&amp;Calculate_cap_emi!$L$14:$L$21,
        Calculate_cap_emi!$AG$14:$AG$21, "Not found", 0),"Missing")</f>
        <v>793.81820662941152</v>
      </c>
      <c r="M68" s="5"/>
      <c r="N68" s="5"/>
      <c r="O68" s="5"/>
      <c r="P68" s="5"/>
      <c r="Q68" s="5" cm="1">
        <f t="array" ref="Q68">_xlfn.SWITCH(F68,"R",_xlfn.XLOOKUP(E68&amp;"|"&amp;B68,
        Calculate_cap_emi!$I$14:$I$21&amp;"|"&amp;Calculate_cap_emi!$L$14:$L$21,
        Calculate_cap_emi!$AJ$14:$AJ$21, "Not found", 0),"Rb",_xlfn.XLOOKUP(E68&amp;"|"&amp;B68,
        Calculate_cap_emi!$I$14:$I$21&amp;"|"&amp;Calculate_cap_emi!$L$14:$L$21,
        Calculate_cap_emi!$AL$14:$AL$21, "Not found", 0),"Rl",_xlfn.XLOOKUP(E68&amp;"|"&amp;B68,
        Calculate_cap_emi!$I$14:$I$21&amp;"|"&amp;Calculate_cap_emi!$L$14:$L$21,
        Calculate_cap_emi!$AM$14:$AM$21, "Not found", 0),"HP",_xlfn.XLOOKUP(E68&amp;"|"&amp;B68,
        Calculate_cap_emi!$I$14:$I$21&amp;"|"&amp;Calculate_cap_emi!$L$14:$L$21,
        Calculate_cap_emi!$AK$14:$AK$21, "Not found", 0),"HPl",_xlfn.XLOOKUP(E68&amp;"|"&amp;B68,
        Calculate_cap_emi!$I$14:$I$21&amp;"|"&amp;Calculate_cap_emi!$L$14:$L$21,
        Calculate_cap_emi!$AN$14:$AN$21, "Not found", 0),"Missing")</f>
        <v>16.691702123097468</v>
      </c>
      <c r="R68" s="5" cm="1">
        <f t="array" ref="R68">_xlfn.SWITCH(F68,"R",_xlfn.XLOOKUP(E68&amp;"|"&amp;B68,
        Calculate_cap_emi!$I$14:$I$21&amp;"|"&amp;Calculate_cap_emi!$L$14:$L$21,
        Calculate_cap_emi!$AQ$14:$AQ$21, "Not found", 0),"Rb",_xlfn.XLOOKUP(E68&amp;"|"&amp;B68,
        Calculate_cap_emi!$I$14:$I$21&amp;"|"&amp;Calculate_cap_emi!$L$14:$L$21,
        Calculate_cap_emi!$AS$14:$AS$21, "Not found", 0),"Rl",_xlfn.XLOOKUP(E68&amp;"|"&amp;B68,
        Calculate_cap_emi!$I$14:$I$21&amp;"|"&amp;Calculate_cap_emi!$L$14:$L$21,
        Calculate_cap_emi!$AT$14:$AT$21, "Not found", 0),"HP",_xlfn.XLOOKUP(E68&amp;"|"&amp;B68,
        Calculate_cap_emi!$I$14:$I$21&amp;"|"&amp;Calculate_cap_emi!$L$14:$L$21,
        Calculate_cap_emi!$AR$14:$AR$21, "Not found", 0),"HPl",_xlfn.XLOOKUP(E68&amp;"|"&amp;B68,
        Calculate_cap_emi!$I$14:$I$21&amp;"|"&amp;Calculate_cap_emi!$L$14:$L$21,
        Calculate_cap_emi!$AU$14:$AU$21, "Not found", 0),"Missing")</f>
        <v>44.564950203529413</v>
      </c>
      <c r="S68" s="5" cm="1">
        <f t="array" ref="S68">_xlfn.SWITCH(F68,"R",_xlfn.XLOOKUP(E68&amp;"|"&amp;B68,
        Calculate_cap_emi!$I$14:$I$21&amp;"|"&amp;Calculate_cap_emi!$L$14:$L$21,
        Calculate_cap_emi!$AX$14:$AX$21, "Not found", 0),"Rb",_xlfn.XLOOKUP(E68&amp;"|"&amp;B68,
        Calculate_cap_emi!$I$14:$I$21&amp;"|"&amp;Calculate_cap_emi!$L$14:$L$21,
        Calculate_cap_emi!$AZ$14:$AZ$21, "Not found", 0),"Rl",_xlfn.XLOOKUP(E68&amp;"|"&amp;B68,
        Calculate_cap_emi!$I$14:$I$21&amp;"|"&amp;Calculate_cap_emi!$L$14:$L$21,
        Calculate_cap_emi!$BA$14:$BA$21, "Not found", 0),"HP",_xlfn.XLOOKUP(E68&amp;"|"&amp;B68,
        Calculate_cap_emi!$I$14:$I$21&amp;"|"&amp;Calculate_cap_emi!$L$14:$L$21,
        Calculate_cap_emi!$AY$14:$AY$21, "Not found", 0),"HPl",_xlfn.XLOOKUP(E68&amp;"|"&amp;B68,
        Calculate_cap_emi!$I$14:$I$21&amp;"|"&amp;Calculate_cap_emi!$L$14:$L$21,
        Calculate_cap_emi!$BB$14:$BB$21, "Not found", 0),"Missing")</f>
        <v>147.32211100000001</v>
      </c>
      <c r="T68" s="5" cm="1">
        <f t="array" ref="T68">_xlfn.SWITCH(F68,"R",_xlfn.XLOOKUP(E68&amp;"|"&amp;B68,
        Calculate_cap_emi!$I$14:$I$21&amp;"|"&amp;Calculate_cap_emi!$L$14:$L$21,
        Calculate_cap_emi!$BE$14:$BE$21, "Not found", 0),"Rb",_xlfn.XLOOKUP(E68&amp;"|"&amp;B68,
        Calculate_cap_emi!$I$14:$I$21&amp;"|"&amp;Calculate_cap_emi!$L$14:$L$21,
        Calculate_cap_emi!$BG$14:$BG$21, "Not found", 0),"Rl",_xlfn.XLOOKUP(E68&amp;"|"&amp;B68,
        Calculate_cap_emi!$I$14:$I$21&amp;"|"&amp;Calculate_cap_emi!$L$14:$L$21,
        Calculate_cap_emi!$BH$14:$BH$21, "Not found", 0),"HP",_xlfn.XLOOKUP(E68&amp;"|"&amp;B68,
        Calculate_cap_emi!$I$14:$I$21&amp;"|"&amp;Calculate_cap_emi!$L$14:$L$21,
        Calculate_cap_emi!$BF$14:$BF$21, "Not found", 0),"HPl",_xlfn.XLOOKUP(E68&amp;"|"&amp;B68,
        Calculate_cap_emi!$I$14:$I$21&amp;"|"&amp;Calculate_cap_emi!$L$14:$L$21,
        Calculate_cap_emi!$BI$14:$BI$21, "Not found", 0),"Missing")</f>
        <v>615.64467337058818</v>
      </c>
      <c r="U68" s="5" cm="1">
        <f t="array" ref="U68">_xlfn.SWITCH(F68,"R",_xlfn.XLOOKUP(E68&amp;"|"&amp;B68,
        Calculate_cap_emi_sens!$I$14:$I$21&amp;"|"&amp;Calculate_cap_emi_sens!$L$14:$L$21,
        Calculate_cap_emi_sens!$AX$14:$AX$21, "Not found", 0),"Rb",_xlfn.XLOOKUP(E68&amp;"|"&amp;B68,
        Calculate_cap_emi_sens!$I$14:$I$21&amp;"|"&amp;Calculate_cap_emi_sens!$L$14:$L$21,
        Calculate_cap_emi_sens!$AZ$14:$AZ$21, "Not found", 0),"Rl",_xlfn.XLOOKUP(E68&amp;"|"&amp;B68,
        Calculate_cap_emi_sens!$I$14:$I$21&amp;"|"&amp;Calculate_cap_emi_sens!$L$14:$L$21,
        Calculate_cap_emi_sens!$BA$14:$BA$21, "Not found", 0),"HP",_xlfn.XLOOKUP(E68&amp;"|"&amp;B68,
        Calculate_cap_emi_sens!$I$14:$I$21&amp;"|"&amp;Calculate_cap_emi_sens!$L$14:$L$21,
        Calculate_cap_emi_sens!$AY$14:$AY$21, "Not found", 0),"HPl",_xlfn.XLOOKUP(E68&amp;"|"&amp;B68,
        Calculate_cap_emi_sens!$I$14:$I$21&amp;"|"&amp;Calculate_cap_emi_sens!$L$14:$L$21,
        Calculate_cap_emi_sens!$BB$14:$BB$21, "Not found", 0),"Missing")</f>
        <v>65.829972519009615</v>
      </c>
      <c r="V68" s="5" cm="1">
        <f t="array" ref="V68">_xlfn.SWITCH(F68,"R",_xlfn.XLOOKUP(E68&amp;"|"&amp;B68,
        Calculate_cap_emi_sens!$I$14:$I$21&amp;"|"&amp;Calculate_cap_emi_sens!$L$14:$L$21,
        Calculate_cap_emi_sens!$BE$14:$BE$21, "Not found", 0),"Rb",_xlfn.XLOOKUP(E68&amp;"|"&amp;B68,
        Calculate_cap_emi_sens!$I$14:$I$21&amp;"|"&amp;Calculate_cap_emi_sens!$L$14:$L$21,
        Calculate_cap_emi_sens!$BG$14:$BG$21, "Not found", 0),"Rl",_xlfn.XLOOKUP(E68&amp;"|"&amp;B68,
        Calculate_cap_emi_sens!$I$14:$I$21&amp;"|"&amp;Calculate_cap_emi_sens!$L$14:$L$21,
        Calculate_cap_emi_sens!$BH$14:$BH$21, "Not found", 0),"HP",_xlfn.XLOOKUP(E68&amp;"|"&amp;B68,
        Calculate_cap_emi_sens!$I$14:$I$21&amp;"|"&amp;Calculate_cap_emi_sens!$L$14:$L$21,
        Calculate_cap_emi_sens!$BF$14:$BF$21, "Not found", 0),"HPl",_xlfn.XLOOKUP(E68&amp;"|"&amp;B68,
        Calculate_cap_emi_sens!$I$14:$I$21&amp;"|"&amp;Calculate_cap_emi_sens!$L$14:$L$21,
        Calculate_cap_emi_sens!$BI$14:$BI$21, "Not found", 0),"Missing")</f>
        <v>283.94064666704156</v>
      </c>
      <c r="W68" s="5">
        <f>Results_proc_ener!L68</f>
        <v>17752.101681176471</v>
      </c>
      <c r="X68" s="5">
        <f>Results_proc_ener!M68</f>
        <v>0</v>
      </c>
      <c r="Y68" s="5">
        <f>Results_proc_ener!N68</f>
        <v>0</v>
      </c>
      <c r="Z68" s="5">
        <f>Results_proc_ener!O68</f>
        <v>0</v>
      </c>
      <c r="AA68" s="5">
        <f>Results_proc_ener!P68</f>
        <v>0</v>
      </c>
      <c r="AB68" s="5">
        <f>Results_proc_ener!Q68</f>
        <v>353.50761617218234</v>
      </c>
      <c r="AC68" s="5">
        <f>Results_proc_ener!R68</f>
        <v>775.58389415294107</v>
      </c>
      <c r="AD68" s="5">
        <f>Results_proc_ener!S68</f>
        <v>2636.160605</v>
      </c>
      <c r="AE68" s="5">
        <f>Results_proc_ener!T68</f>
        <v>3421.411993588235</v>
      </c>
    </row>
    <row r="69" spans="1:31" x14ac:dyDescent="0.25">
      <c r="A69" s="5" t="s">
        <v>6</v>
      </c>
      <c r="B69" s="5" t="str">
        <f t="shared" si="3"/>
        <v>Mass-H1</v>
      </c>
      <c r="C69" s="5" t="str">
        <f t="shared" si="4"/>
        <v>Mass</v>
      </c>
      <c r="D69" s="5" t="str">
        <f t="shared" si="5"/>
        <v>H1</v>
      </c>
      <c r="E69" s="5" t="s">
        <v>3</v>
      </c>
      <c r="F69" s="5" t="s">
        <v>17</v>
      </c>
      <c r="G69" s="5"/>
      <c r="H69" s="5" cm="1">
        <f t="array" ref="H69">_xlfn.SWITCH(F69,"HP",_xlfn.XLOOKUP(E69&amp;"|"&amp;B69,
        Calculate_cap_emi!$I$14:$I$21&amp;"|"&amp;Calculate_cap_emi!$L$14:$L$21,
        Calculate_cap_emi!$X$14:$X$21, "Not found", 0),"HPl",_xlfn.XLOOKUP(E69&amp;"|"&amp;B69,
        Calculate_cap_emi!$I$14:$I$21&amp;"|"&amp;Calculate_cap_emi!$L$14:$L$21,
        Calculate_cap_emi!$AA$14:$AA$21, "Not found", 0),)</f>
        <v>4.5</v>
      </c>
      <c r="I69" s="5"/>
      <c r="J69" s="5"/>
      <c r="K69" s="5"/>
      <c r="L69" s="5" cm="1">
        <f t="array" ref="L69">_xlfn.SWITCH(F69,"R",_xlfn.XLOOKUP(E69&amp;"|"&amp;B69,
        Calculate_cap_emi!$I$14:$I$21&amp;"|"&amp;Calculate_cap_emi!$L$14:$L$21,
        Calculate_cap_emi!$AC$14:$AC$21, "Not found", 0),"Rb",_xlfn.XLOOKUP(E69&amp;"|"&amp;B69,
        Calculate_cap_emi!$I$14:$I$21&amp;"|"&amp;Calculate_cap_emi!$L$14:$L$21,
        Calculate_cap_emi!$AE$14:$AE$21, "Not found", 0),"Rl",_xlfn.XLOOKUP(E69&amp;"|"&amp;B69,
        Calculate_cap_emi!$I$14:$I$21&amp;"|"&amp;Calculate_cap_emi!$L$14:$L$21,
        Calculate_cap_emi!$AF$14:$AF$21, "Not found", 0),"HP",_xlfn.XLOOKUP(E69&amp;"|"&amp;B69,
        Calculate_cap_emi!$I$14:$I$21&amp;"|"&amp;Calculate_cap_emi!$L$14:$L$21,
        Calculate_cap_emi!$AD$14:$AD$21, "Not found", 0),"HPl",_xlfn.XLOOKUP(E69&amp;"|"&amp;B69,
        Calculate_cap_emi!$I$14:$I$21&amp;"|"&amp;Calculate_cap_emi!$L$14:$L$21,
        Calculate_cap_emi!$AG$14:$AG$21, "Not found", 0),"Missing")</f>
        <v>793.81820662941152</v>
      </c>
      <c r="M69" s="5"/>
      <c r="N69" s="5"/>
      <c r="O69" s="5"/>
      <c r="P69" s="5"/>
      <c r="Q69" s="5" cm="1">
        <f t="array" ref="Q69">_xlfn.SWITCH(F69,"R",_xlfn.XLOOKUP(E69&amp;"|"&amp;B69,
        Calculate_cap_emi!$I$14:$I$21&amp;"|"&amp;Calculate_cap_emi!$L$14:$L$21,
        Calculate_cap_emi!$AJ$14:$AJ$21, "Not found", 0),"Rb",_xlfn.XLOOKUP(E69&amp;"|"&amp;B69,
        Calculate_cap_emi!$I$14:$I$21&amp;"|"&amp;Calculate_cap_emi!$L$14:$L$21,
        Calculate_cap_emi!$AL$14:$AL$21, "Not found", 0),"Rl",_xlfn.XLOOKUP(E69&amp;"|"&amp;B69,
        Calculate_cap_emi!$I$14:$I$21&amp;"|"&amp;Calculate_cap_emi!$L$14:$L$21,
        Calculate_cap_emi!$AM$14:$AM$21, "Not found", 0),"HP",_xlfn.XLOOKUP(E69&amp;"|"&amp;B69,
        Calculate_cap_emi!$I$14:$I$21&amp;"|"&amp;Calculate_cap_emi!$L$14:$L$21,
        Calculate_cap_emi!$AK$14:$AK$21, "Not found", 0),"HPl",_xlfn.XLOOKUP(E69&amp;"|"&amp;B69,
        Calculate_cap_emi!$I$14:$I$21&amp;"|"&amp;Calculate_cap_emi!$L$14:$L$21,
        Calculate_cap_emi!$AN$14:$AN$21, "Not found", 0),"Missing")</f>
        <v>16.691702123097468</v>
      </c>
      <c r="R69" s="5" cm="1">
        <f t="array" ref="R69">_xlfn.SWITCH(F69,"R",_xlfn.XLOOKUP(E69&amp;"|"&amp;B69,
        Calculate_cap_emi!$I$14:$I$21&amp;"|"&amp;Calculate_cap_emi!$L$14:$L$21,
        Calculate_cap_emi!$AQ$14:$AQ$21, "Not found", 0),"Rb",_xlfn.XLOOKUP(E69&amp;"|"&amp;B69,
        Calculate_cap_emi!$I$14:$I$21&amp;"|"&amp;Calculate_cap_emi!$L$14:$L$21,
        Calculate_cap_emi!$AS$14:$AS$21, "Not found", 0),"Rl",_xlfn.XLOOKUP(E69&amp;"|"&amp;B69,
        Calculate_cap_emi!$I$14:$I$21&amp;"|"&amp;Calculate_cap_emi!$L$14:$L$21,
        Calculate_cap_emi!$AT$14:$AT$21, "Not found", 0),"HP",_xlfn.XLOOKUP(E69&amp;"|"&amp;B69,
        Calculate_cap_emi!$I$14:$I$21&amp;"|"&amp;Calculate_cap_emi!$L$14:$L$21,
        Calculate_cap_emi!$AR$14:$AR$21, "Not found", 0),"HPl",_xlfn.XLOOKUP(E69&amp;"|"&amp;B69,
        Calculate_cap_emi!$I$14:$I$21&amp;"|"&amp;Calculate_cap_emi!$L$14:$L$21,
        Calculate_cap_emi!$AU$14:$AU$21, "Not found", 0),"Missing")</f>
        <v>44.564950203529413</v>
      </c>
      <c r="S69" s="5" cm="1">
        <f t="array" ref="S69">_xlfn.SWITCH(F69,"R",_xlfn.XLOOKUP(E69&amp;"|"&amp;B69,
        Calculate_cap_emi!$I$14:$I$21&amp;"|"&amp;Calculate_cap_emi!$L$14:$L$21,
        Calculate_cap_emi!$AX$14:$AX$21, "Not found", 0),"Rb",_xlfn.XLOOKUP(E69&amp;"|"&amp;B69,
        Calculate_cap_emi!$I$14:$I$21&amp;"|"&amp;Calculate_cap_emi!$L$14:$L$21,
        Calculate_cap_emi!$AZ$14:$AZ$21, "Not found", 0),"Rl",_xlfn.XLOOKUP(E69&amp;"|"&amp;B69,
        Calculate_cap_emi!$I$14:$I$21&amp;"|"&amp;Calculate_cap_emi!$L$14:$L$21,
        Calculate_cap_emi!$BA$14:$BA$21, "Not found", 0),"HP",_xlfn.XLOOKUP(E69&amp;"|"&amp;B69,
        Calculate_cap_emi!$I$14:$I$21&amp;"|"&amp;Calculate_cap_emi!$L$14:$L$21,
        Calculate_cap_emi!$AY$14:$AY$21, "Not found", 0),"HPl",_xlfn.XLOOKUP(E69&amp;"|"&amp;B69,
        Calculate_cap_emi!$I$14:$I$21&amp;"|"&amp;Calculate_cap_emi!$L$14:$L$21,
        Calculate_cap_emi!$BB$14:$BB$21, "Not found", 0),"Missing")</f>
        <v>147.32211100000001</v>
      </c>
      <c r="T69" s="5" cm="1">
        <f t="array" ref="T69">_xlfn.SWITCH(F69,"R",_xlfn.XLOOKUP(E69&amp;"|"&amp;B69,
        Calculate_cap_emi!$I$14:$I$21&amp;"|"&amp;Calculate_cap_emi!$L$14:$L$21,
        Calculate_cap_emi!$BE$14:$BE$21, "Not found", 0),"Rb",_xlfn.XLOOKUP(E69&amp;"|"&amp;B69,
        Calculate_cap_emi!$I$14:$I$21&amp;"|"&amp;Calculate_cap_emi!$L$14:$L$21,
        Calculate_cap_emi!$BG$14:$BG$21, "Not found", 0),"Rl",_xlfn.XLOOKUP(E69&amp;"|"&amp;B69,
        Calculate_cap_emi!$I$14:$I$21&amp;"|"&amp;Calculate_cap_emi!$L$14:$L$21,
        Calculate_cap_emi!$BH$14:$BH$21, "Not found", 0),"HP",_xlfn.XLOOKUP(E69&amp;"|"&amp;B69,
        Calculate_cap_emi!$I$14:$I$21&amp;"|"&amp;Calculate_cap_emi!$L$14:$L$21,
        Calculate_cap_emi!$BF$14:$BF$21, "Not found", 0),"HPl",_xlfn.XLOOKUP(E69&amp;"|"&amp;B69,
        Calculate_cap_emi!$I$14:$I$21&amp;"|"&amp;Calculate_cap_emi!$L$14:$L$21,
        Calculate_cap_emi!$BI$14:$BI$21, "Not found", 0),"Missing")</f>
        <v>615.64467337058818</v>
      </c>
      <c r="U69" s="5" cm="1">
        <f t="array" ref="U69">_xlfn.SWITCH(F69,"R",_xlfn.XLOOKUP(E69&amp;"|"&amp;B69,
        Calculate_cap_emi_sens!$I$14:$I$21&amp;"|"&amp;Calculate_cap_emi_sens!$L$14:$L$21,
        Calculate_cap_emi_sens!$AX$14:$AX$21, "Not found", 0),"Rb",_xlfn.XLOOKUP(E69&amp;"|"&amp;B69,
        Calculate_cap_emi_sens!$I$14:$I$21&amp;"|"&amp;Calculate_cap_emi_sens!$L$14:$L$21,
        Calculate_cap_emi_sens!$AZ$14:$AZ$21, "Not found", 0),"Rl",_xlfn.XLOOKUP(E69&amp;"|"&amp;B69,
        Calculate_cap_emi_sens!$I$14:$I$21&amp;"|"&amp;Calculate_cap_emi_sens!$L$14:$L$21,
        Calculate_cap_emi_sens!$BA$14:$BA$21, "Not found", 0),"HP",_xlfn.XLOOKUP(E69&amp;"|"&amp;B69,
        Calculate_cap_emi_sens!$I$14:$I$21&amp;"|"&amp;Calculate_cap_emi_sens!$L$14:$L$21,
        Calculate_cap_emi_sens!$AY$14:$AY$21, "Not found", 0),"HPl",_xlfn.XLOOKUP(E69&amp;"|"&amp;B69,
        Calculate_cap_emi_sens!$I$14:$I$21&amp;"|"&amp;Calculate_cap_emi_sens!$L$14:$L$21,
        Calculate_cap_emi_sens!$BB$14:$BB$21, "Not found", 0),"Missing")</f>
        <v>65.829972519009615</v>
      </c>
      <c r="V69" s="5" cm="1">
        <f t="array" ref="V69">_xlfn.SWITCH(F69,"R",_xlfn.XLOOKUP(E69&amp;"|"&amp;B69,
        Calculate_cap_emi_sens!$I$14:$I$21&amp;"|"&amp;Calculate_cap_emi_sens!$L$14:$L$21,
        Calculate_cap_emi_sens!$BE$14:$BE$21, "Not found", 0),"Rb",_xlfn.XLOOKUP(E69&amp;"|"&amp;B69,
        Calculate_cap_emi_sens!$I$14:$I$21&amp;"|"&amp;Calculate_cap_emi_sens!$L$14:$L$21,
        Calculate_cap_emi_sens!$BG$14:$BG$21, "Not found", 0),"Rl",_xlfn.XLOOKUP(E69&amp;"|"&amp;B69,
        Calculate_cap_emi_sens!$I$14:$I$21&amp;"|"&amp;Calculate_cap_emi_sens!$L$14:$L$21,
        Calculate_cap_emi_sens!$BH$14:$BH$21, "Not found", 0),"HP",_xlfn.XLOOKUP(E69&amp;"|"&amp;B69,
        Calculate_cap_emi_sens!$I$14:$I$21&amp;"|"&amp;Calculate_cap_emi_sens!$L$14:$L$21,
        Calculate_cap_emi_sens!$BF$14:$BF$21, "Not found", 0),"HPl",_xlfn.XLOOKUP(E69&amp;"|"&amp;B69,
        Calculate_cap_emi_sens!$I$14:$I$21&amp;"|"&amp;Calculate_cap_emi_sens!$L$14:$L$21,
        Calculate_cap_emi_sens!$BI$14:$BI$21, "Not found", 0),"Missing")</f>
        <v>283.94064666704156</v>
      </c>
      <c r="W69" s="5">
        <f>Results_proc_ener!L69</f>
        <v>17752.101681176471</v>
      </c>
      <c r="X69" s="5">
        <f>Results_proc_ener!M69</f>
        <v>0</v>
      </c>
      <c r="Y69" s="5">
        <f>Results_proc_ener!N69</f>
        <v>0</v>
      </c>
      <c r="Z69" s="5">
        <f>Results_proc_ener!O69</f>
        <v>0</v>
      </c>
      <c r="AA69" s="5">
        <f>Results_proc_ener!P69</f>
        <v>0</v>
      </c>
      <c r="AB69" s="5">
        <f>Results_proc_ener!Q69</f>
        <v>353.50761617218234</v>
      </c>
      <c r="AC69" s="5">
        <f>Results_proc_ener!R69</f>
        <v>775.58389415294107</v>
      </c>
      <c r="AD69" s="5">
        <f>Results_proc_ener!S69</f>
        <v>2636.160605</v>
      </c>
      <c r="AE69" s="5">
        <f>Results_proc_ener!T69</f>
        <v>3421.411993588235</v>
      </c>
    </row>
    <row r="70" spans="1:31" x14ac:dyDescent="0.25">
      <c r="A70" s="5" t="s">
        <v>7</v>
      </c>
      <c r="B70" s="5" t="str">
        <f t="shared" si="3"/>
        <v>Mod-Nom</v>
      </c>
      <c r="C70" s="5" t="str">
        <f t="shared" si="4"/>
        <v>Mod</v>
      </c>
      <c r="D70" s="5" t="str">
        <f t="shared" si="5"/>
        <v>Nom</v>
      </c>
      <c r="E70" s="5" t="s">
        <v>3</v>
      </c>
      <c r="F70" s="5" t="s">
        <v>17</v>
      </c>
      <c r="G70" s="5"/>
      <c r="H70" s="5" cm="1">
        <f t="array" ref="H70">_xlfn.SWITCH(F70,"HP",_xlfn.XLOOKUP(E70&amp;"|"&amp;B70,
        Calculate_cap_emi!$I$14:$I$21&amp;"|"&amp;Calculate_cap_emi!$L$14:$L$21,
        Calculate_cap_emi!$X$14:$X$21, "Not found", 0),"HPl",_xlfn.XLOOKUP(E70&amp;"|"&amp;B70,
        Calculate_cap_emi!$I$14:$I$21&amp;"|"&amp;Calculate_cap_emi!$L$14:$L$21,
        Calculate_cap_emi!$AA$14:$AA$21, "Not found", 0),)</f>
        <v>8</v>
      </c>
      <c r="I70" s="5"/>
      <c r="J70" s="5"/>
      <c r="K70" s="5"/>
      <c r="L70" s="5" cm="1">
        <f t="array" ref="L70">_xlfn.SWITCH(F70,"R",_xlfn.XLOOKUP(E70&amp;"|"&amp;B70,
        Calculate_cap_emi!$I$14:$I$21&amp;"|"&amp;Calculate_cap_emi!$L$14:$L$21,
        Calculate_cap_emi!$AC$14:$AC$21, "Not found", 0),"Rb",_xlfn.XLOOKUP(E70&amp;"|"&amp;B70,
        Calculate_cap_emi!$I$14:$I$21&amp;"|"&amp;Calculate_cap_emi!$L$14:$L$21,
        Calculate_cap_emi!$AE$14:$AE$21, "Not found", 0),"Rl",_xlfn.XLOOKUP(E70&amp;"|"&amp;B70,
        Calculate_cap_emi!$I$14:$I$21&amp;"|"&amp;Calculate_cap_emi!$L$14:$L$21,
        Calculate_cap_emi!$AF$14:$AF$21, "Not found", 0),"HP",_xlfn.XLOOKUP(E70&amp;"|"&amp;B70,
        Calculate_cap_emi!$I$14:$I$21&amp;"|"&amp;Calculate_cap_emi!$L$14:$L$21,
        Calculate_cap_emi!$AD$14:$AD$21, "Not found", 0),"HPl",_xlfn.XLOOKUP(E70&amp;"|"&amp;B70,
        Calculate_cap_emi!$I$14:$I$21&amp;"|"&amp;Calculate_cap_emi!$L$14:$L$21,
        Calculate_cap_emi!$AG$14:$AG$21, "Not found", 0),"Missing")</f>
        <v>1026.0889661647059</v>
      </c>
      <c r="M70" s="5"/>
      <c r="N70" s="5"/>
      <c r="O70" s="5"/>
      <c r="P70" s="5"/>
      <c r="Q70" s="5" cm="1">
        <f t="array" ref="Q70">_xlfn.SWITCH(F70,"R",_xlfn.XLOOKUP(E70&amp;"|"&amp;B70,
        Calculate_cap_emi!$I$14:$I$21&amp;"|"&amp;Calculate_cap_emi!$L$14:$L$21,
        Calculate_cap_emi!$AJ$14:$AJ$21, "Not found", 0),"Rb",_xlfn.XLOOKUP(E70&amp;"|"&amp;B70,
        Calculate_cap_emi!$I$14:$I$21&amp;"|"&amp;Calculate_cap_emi!$L$14:$L$21,
        Calculate_cap_emi!$AL$14:$AL$21, "Not found", 0),"Rl",_xlfn.XLOOKUP(E70&amp;"|"&amp;B70,
        Calculate_cap_emi!$I$14:$I$21&amp;"|"&amp;Calculate_cap_emi!$L$14:$L$21,
        Calculate_cap_emi!$AM$14:$AM$21, "Not found", 0),"HP",_xlfn.XLOOKUP(E70&amp;"|"&amp;B70,
        Calculate_cap_emi!$I$14:$I$21&amp;"|"&amp;Calculate_cap_emi!$L$14:$L$21,
        Calculate_cap_emi!$AK$14:$AK$21, "Not found", 0),"HPl",_xlfn.XLOOKUP(E70&amp;"|"&amp;B70,
        Calculate_cap_emi!$I$14:$I$21&amp;"|"&amp;Calculate_cap_emi!$L$14:$L$21,
        Calculate_cap_emi!$AN$14:$AN$21, "Not found", 0),"Missing")</f>
        <v>22.531253727759392</v>
      </c>
      <c r="R70" s="5" cm="1">
        <f t="array" ref="R70">_xlfn.SWITCH(F70,"R",_xlfn.XLOOKUP(E70&amp;"|"&amp;B70,
        Calculate_cap_emi!$I$14:$I$21&amp;"|"&amp;Calculate_cap_emi!$L$14:$L$21,
        Calculate_cap_emi!$AQ$14:$AQ$21, "Not found", 0),"Rb",_xlfn.XLOOKUP(E70&amp;"|"&amp;B70,
        Calculate_cap_emi!$I$14:$I$21&amp;"|"&amp;Calculate_cap_emi!$L$14:$L$21,
        Calculate_cap_emi!$AS$14:$AS$21, "Not found", 0),"Rl",_xlfn.XLOOKUP(E70&amp;"|"&amp;B70,
        Calculate_cap_emi!$I$14:$I$21&amp;"|"&amp;Calculate_cap_emi!$L$14:$L$21,
        Calculate_cap_emi!$AT$14:$AT$21, "Not found", 0),"HP",_xlfn.XLOOKUP(E70&amp;"|"&amp;B70,
        Calculate_cap_emi!$I$14:$I$21&amp;"|"&amp;Calculate_cap_emi!$L$14:$L$21,
        Calculate_cap_emi!$AR$14:$AR$21, "Not found", 0),"HPl",_xlfn.XLOOKUP(E70&amp;"|"&amp;B70,
        Calculate_cap_emi!$I$14:$I$21&amp;"|"&amp;Calculate_cap_emi!$L$14:$L$21,
        Calculate_cap_emi!$AU$14:$AU$21, "Not found", 0),"Missing")</f>
        <v>78.161409059999983</v>
      </c>
      <c r="S70" s="5" cm="1">
        <f t="array" ref="S70">_xlfn.SWITCH(F70,"R",_xlfn.XLOOKUP(E70&amp;"|"&amp;B70,
        Calculate_cap_emi!$I$14:$I$21&amp;"|"&amp;Calculate_cap_emi!$L$14:$L$21,
        Calculate_cap_emi!$AX$14:$AX$21, "Not found", 0),"Rb",_xlfn.XLOOKUP(E70&amp;"|"&amp;B70,
        Calculate_cap_emi!$I$14:$I$21&amp;"|"&amp;Calculate_cap_emi!$L$14:$L$21,
        Calculate_cap_emi!$AZ$14:$AZ$21, "Not found", 0),"Rl",_xlfn.XLOOKUP(E70&amp;"|"&amp;B70,
        Calculate_cap_emi!$I$14:$I$21&amp;"|"&amp;Calculate_cap_emi!$L$14:$L$21,
        Calculate_cap_emi!$BA$14:$BA$21, "Not found", 0),"HP",_xlfn.XLOOKUP(E70&amp;"|"&amp;B70,
        Calculate_cap_emi!$I$14:$I$21&amp;"|"&amp;Calculate_cap_emi!$L$14:$L$21,
        Calculate_cap_emi!$AY$14:$AY$21, "Not found", 0),"HPl",_xlfn.XLOOKUP(E70&amp;"|"&amp;B70,
        Calculate_cap_emi!$I$14:$I$21&amp;"|"&amp;Calculate_cap_emi!$L$14:$L$21,
        Calculate_cap_emi!$BB$14:$BB$21, "Not found", 0),"Missing")</f>
        <v>183.4580014</v>
      </c>
      <c r="T70" s="5" cm="1">
        <f t="array" ref="T70">_xlfn.SWITCH(F70,"R",_xlfn.XLOOKUP(E70&amp;"|"&amp;B70,
        Calculate_cap_emi!$I$14:$I$21&amp;"|"&amp;Calculate_cap_emi!$L$14:$L$21,
        Calculate_cap_emi!$BE$14:$BE$21, "Not found", 0),"Rb",_xlfn.XLOOKUP(E70&amp;"|"&amp;B70,
        Calculate_cap_emi!$I$14:$I$21&amp;"|"&amp;Calculate_cap_emi!$L$14:$L$21,
        Calculate_cap_emi!$BG$14:$BG$21, "Not found", 0),"Rl",_xlfn.XLOOKUP(E70&amp;"|"&amp;B70,
        Calculate_cap_emi!$I$14:$I$21&amp;"|"&amp;Calculate_cap_emi!$L$14:$L$21,
        Calculate_cap_emi!$BH$14:$BH$21, "Not found", 0),"HP",_xlfn.XLOOKUP(E70&amp;"|"&amp;B70,
        Calculate_cap_emi!$I$14:$I$21&amp;"|"&amp;Calculate_cap_emi!$L$14:$L$21,
        Calculate_cap_emi!$BF$14:$BF$21, "Not found", 0),"HPl",_xlfn.XLOOKUP(E70&amp;"|"&amp;B70,
        Calculate_cap_emi!$I$14:$I$21&amp;"|"&amp;Calculate_cap_emi!$L$14:$L$21,
        Calculate_cap_emi!$BI$14:$BI$21, "Not found", 0),"Missing")</f>
        <v>696.46033429411773</v>
      </c>
      <c r="U70" s="5" cm="1">
        <f t="array" ref="U70">_xlfn.SWITCH(F70,"R",_xlfn.XLOOKUP(E70&amp;"|"&amp;B70,
        Calculate_cap_emi_sens!$I$14:$I$21&amp;"|"&amp;Calculate_cap_emi_sens!$L$14:$L$21,
        Calculate_cap_emi_sens!$AX$14:$AX$21, "Not found", 0),"Rb",_xlfn.XLOOKUP(E70&amp;"|"&amp;B70,
        Calculate_cap_emi_sens!$I$14:$I$21&amp;"|"&amp;Calculate_cap_emi_sens!$L$14:$L$21,
        Calculate_cap_emi_sens!$AZ$14:$AZ$21, "Not found", 0),"Rl",_xlfn.XLOOKUP(E70&amp;"|"&amp;B70,
        Calculate_cap_emi_sens!$I$14:$I$21&amp;"|"&amp;Calculate_cap_emi_sens!$L$14:$L$21,
        Calculate_cap_emi_sens!$BA$14:$BA$21, "Not found", 0),"HP",_xlfn.XLOOKUP(E70&amp;"|"&amp;B70,
        Calculate_cap_emi_sens!$I$14:$I$21&amp;"|"&amp;Calculate_cap_emi_sens!$L$14:$L$21,
        Calculate_cap_emi_sens!$AY$14:$AY$21, "Not found", 0),"HPl",_xlfn.XLOOKUP(E70&amp;"|"&amp;B70,
        Calculate_cap_emi_sens!$I$14:$I$21&amp;"|"&amp;Calculate_cap_emi_sens!$L$14:$L$21,
        Calculate_cap_emi_sens!$BB$14:$BB$21, "Not found", 0),"Missing")</f>
        <v>80.752861014707847</v>
      </c>
      <c r="V70" s="5" cm="1">
        <f t="array" ref="V70">_xlfn.SWITCH(F70,"R",_xlfn.XLOOKUP(E70&amp;"|"&amp;B70,
        Calculate_cap_emi_sens!$I$14:$I$21&amp;"|"&amp;Calculate_cap_emi_sens!$L$14:$L$21,
        Calculate_cap_emi_sens!$BE$14:$BE$21, "Not found", 0),"Rb",_xlfn.XLOOKUP(E70&amp;"|"&amp;B70,
        Calculate_cap_emi_sens!$I$14:$I$21&amp;"|"&amp;Calculate_cap_emi_sens!$L$14:$L$21,
        Calculate_cap_emi_sens!$BG$14:$BG$21, "Not found", 0),"Rl",_xlfn.XLOOKUP(E70&amp;"|"&amp;B70,
        Calculate_cap_emi_sens!$I$14:$I$21&amp;"|"&amp;Calculate_cap_emi_sens!$L$14:$L$21,
        Calculate_cap_emi_sens!$BH$14:$BH$21, "Not found", 0),"HP",_xlfn.XLOOKUP(E70&amp;"|"&amp;B70,
        Calculate_cap_emi_sens!$I$14:$I$21&amp;"|"&amp;Calculate_cap_emi_sens!$L$14:$L$21,
        Calculate_cap_emi_sens!$BF$14:$BF$21, "Not found", 0),"HPl",_xlfn.XLOOKUP(E70&amp;"|"&amp;B70,
        Calculate_cap_emi_sens!$I$14:$I$21&amp;"|"&amp;Calculate_cap_emi_sens!$L$14:$L$21,
        Calculate_cap_emi_sens!$BI$14:$BI$21, "Not found", 0),"Missing")</f>
        <v>264.18156186955321</v>
      </c>
      <c r="W70" s="5">
        <f>Results_proc_ener!L70</f>
        <v>24377.136271764706</v>
      </c>
      <c r="X70" s="5">
        <f>Results_proc_ener!M70</f>
        <v>0</v>
      </c>
      <c r="Y70" s="5">
        <f>Results_proc_ener!N70</f>
        <v>0</v>
      </c>
      <c r="Z70" s="5">
        <f>Results_proc_ener!O70</f>
        <v>0</v>
      </c>
      <c r="AA70" s="5">
        <f>Results_proc_ener!P70</f>
        <v>0</v>
      </c>
      <c r="AB70" s="5">
        <f>Results_proc_ener!Q70</f>
        <v>477.18140043064511</v>
      </c>
      <c r="AC70" s="5">
        <f>Results_proc_ener!R70</f>
        <v>1200.7745051647057</v>
      </c>
      <c r="AD70" s="5">
        <f>Results_proc_ener!S70</f>
        <v>4979.9260279999999</v>
      </c>
      <c r="AE70" s="5">
        <f>Results_proc_ener!T70</f>
        <v>4677.7015492941182</v>
      </c>
    </row>
    <row r="71" spans="1:31" x14ac:dyDescent="0.25">
      <c r="A71" s="5" t="s">
        <v>8</v>
      </c>
      <c r="B71" s="5" t="str">
        <f t="shared" si="3"/>
        <v>Mod-Nom</v>
      </c>
      <c r="C71" s="5" t="str">
        <f t="shared" si="4"/>
        <v>Mod</v>
      </c>
      <c r="D71" s="5" t="str">
        <f t="shared" si="5"/>
        <v>Nom</v>
      </c>
      <c r="E71" s="5" t="s">
        <v>3</v>
      </c>
      <c r="F71" s="5" t="s">
        <v>17</v>
      </c>
      <c r="G71" s="5"/>
      <c r="H71" s="5" cm="1">
        <f t="array" ref="H71">_xlfn.SWITCH(F71,"HP",_xlfn.XLOOKUP(E71&amp;"|"&amp;B71,
        Calculate_cap_emi!$I$14:$I$21&amp;"|"&amp;Calculate_cap_emi!$L$14:$L$21,
        Calculate_cap_emi!$X$14:$X$21, "Not found", 0),"HPl",_xlfn.XLOOKUP(E71&amp;"|"&amp;B71,
        Calculate_cap_emi!$I$14:$I$21&amp;"|"&amp;Calculate_cap_emi!$L$14:$L$21,
        Calculate_cap_emi!$AA$14:$AA$21, "Not found", 0),)</f>
        <v>8</v>
      </c>
      <c r="I71" s="5"/>
      <c r="J71" s="5"/>
      <c r="K71" s="5"/>
      <c r="L71" s="5" cm="1">
        <f t="array" ref="L71">_xlfn.SWITCH(F71,"R",_xlfn.XLOOKUP(E71&amp;"|"&amp;B71,
        Calculate_cap_emi!$I$14:$I$21&amp;"|"&amp;Calculate_cap_emi!$L$14:$L$21,
        Calculate_cap_emi!$AC$14:$AC$21, "Not found", 0),"Rb",_xlfn.XLOOKUP(E71&amp;"|"&amp;B71,
        Calculate_cap_emi!$I$14:$I$21&amp;"|"&amp;Calculate_cap_emi!$L$14:$L$21,
        Calculate_cap_emi!$AE$14:$AE$21, "Not found", 0),"Rl",_xlfn.XLOOKUP(E71&amp;"|"&amp;B71,
        Calculate_cap_emi!$I$14:$I$21&amp;"|"&amp;Calculate_cap_emi!$L$14:$L$21,
        Calculate_cap_emi!$AF$14:$AF$21, "Not found", 0),"HP",_xlfn.XLOOKUP(E71&amp;"|"&amp;B71,
        Calculate_cap_emi!$I$14:$I$21&amp;"|"&amp;Calculate_cap_emi!$L$14:$L$21,
        Calculate_cap_emi!$AD$14:$AD$21, "Not found", 0),"HPl",_xlfn.XLOOKUP(E71&amp;"|"&amp;B71,
        Calculate_cap_emi!$I$14:$I$21&amp;"|"&amp;Calculate_cap_emi!$L$14:$L$21,
        Calculate_cap_emi!$AG$14:$AG$21, "Not found", 0),"Missing")</f>
        <v>1026.0889661647059</v>
      </c>
      <c r="M71" s="5"/>
      <c r="N71" s="5"/>
      <c r="O71" s="5"/>
      <c r="P71" s="5"/>
      <c r="Q71" s="5" cm="1">
        <f t="array" ref="Q71">_xlfn.SWITCH(F71,"R",_xlfn.XLOOKUP(E71&amp;"|"&amp;B71,
        Calculate_cap_emi!$I$14:$I$21&amp;"|"&amp;Calculate_cap_emi!$L$14:$L$21,
        Calculate_cap_emi!$AJ$14:$AJ$21, "Not found", 0),"Rb",_xlfn.XLOOKUP(E71&amp;"|"&amp;B71,
        Calculate_cap_emi!$I$14:$I$21&amp;"|"&amp;Calculate_cap_emi!$L$14:$L$21,
        Calculate_cap_emi!$AL$14:$AL$21, "Not found", 0),"Rl",_xlfn.XLOOKUP(E71&amp;"|"&amp;B71,
        Calculate_cap_emi!$I$14:$I$21&amp;"|"&amp;Calculate_cap_emi!$L$14:$L$21,
        Calculate_cap_emi!$AM$14:$AM$21, "Not found", 0),"HP",_xlfn.XLOOKUP(E71&amp;"|"&amp;B71,
        Calculate_cap_emi!$I$14:$I$21&amp;"|"&amp;Calculate_cap_emi!$L$14:$L$21,
        Calculate_cap_emi!$AK$14:$AK$21, "Not found", 0),"HPl",_xlfn.XLOOKUP(E71&amp;"|"&amp;B71,
        Calculate_cap_emi!$I$14:$I$21&amp;"|"&amp;Calculate_cap_emi!$L$14:$L$21,
        Calculate_cap_emi!$AN$14:$AN$21, "Not found", 0),"Missing")</f>
        <v>22.531253727759392</v>
      </c>
      <c r="R71" s="5" cm="1">
        <f t="array" ref="R71">_xlfn.SWITCH(F71,"R",_xlfn.XLOOKUP(E71&amp;"|"&amp;B71,
        Calculate_cap_emi!$I$14:$I$21&amp;"|"&amp;Calculate_cap_emi!$L$14:$L$21,
        Calculate_cap_emi!$AQ$14:$AQ$21, "Not found", 0),"Rb",_xlfn.XLOOKUP(E71&amp;"|"&amp;B71,
        Calculate_cap_emi!$I$14:$I$21&amp;"|"&amp;Calculate_cap_emi!$L$14:$L$21,
        Calculate_cap_emi!$AS$14:$AS$21, "Not found", 0),"Rl",_xlfn.XLOOKUP(E71&amp;"|"&amp;B71,
        Calculate_cap_emi!$I$14:$I$21&amp;"|"&amp;Calculate_cap_emi!$L$14:$L$21,
        Calculate_cap_emi!$AT$14:$AT$21, "Not found", 0),"HP",_xlfn.XLOOKUP(E71&amp;"|"&amp;B71,
        Calculate_cap_emi!$I$14:$I$21&amp;"|"&amp;Calculate_cap_emi!$L$14:$L$21,
        Calculate_cap_emi!$AR$14:$AR$21, "Not found", 0),"HPl",_xlfn.XLOOKUP(E71&amp;"|"&amp;B71,
        Calculate_cap_emi!$I$14:$I$21&amp;"|"&amp;Calculate_cap_emi!$L$14:$L$21,
        Calculate_cap_emi!$AU$14:$AU$21, "Not found", 0),"Missing")</f>
        <v>78.161409059999983</v>
      </c>
      <c r="S71" s="5" cm="1">
        <f t="array" ref="S71">_xlfn.SWITCH(F71,"R",_xlfn.XLOOKUP(E71&amp;"|"&amp;B71,
        Calculate_cap_emi!$I$14:$I$21&amp;"|"&amp;Calculate_cap_emi!$L$14:$L$21,
        Calculate_cap_emi!$AX$14:$AX$21, "Not found", 0),"Rb",_xlfn.XLOOKUP(E71&amp;"|"&amp;B71,
        Calculate_cap_emi!$I$14:$I$21&amp;"|"&amp;Calculate_cap_emi!$L$14:$L$21,
        Calculate_cap_emi!$AZ$14:$AZ$21, "Not found", 0),"Rl",_xlfn.XLOOKUP(E71&amp;"|"&amp;B71,
        Calculate_cap_emi!$I$14:$I$21&amp;"|"&amp;Calculate_cap_emi!$L$14:$L$21,
        Calculate_cap_emi!$BA$14:$BA$21, "Not found", 0),"HP",_xlfn.XLOOKUP(E71&amp;"|"&amp;B71,
        Calculate_cap_emi!$I$14:$I$21&amp;"|"&amp;Calculate_cap_emi!$L$14:$L$21,
        Calculate_cap_emi!$AY$14:$AY$21, "Not found", 0),"HPl",_xlfn.XLOOKUP(E71&amp;"|"&amp;B71,
        Calculate_cap_emi!$I$14:$I$21&amp;"|"&amp;Calculate_cap_emi!$L$14:$L$21,
        Calculate_cap_emi!$BB$14:$BB$21, "Not found", 0),"Missing")</f>
        <v>183.4580014</v>
      </c>
      <c r="T71" s="5" cm="1">
        <f t="array" ref="T71">_xlfn.SWITCH(F71,"R",_xlfn.XLOOKUP(E71&amp;"|"&amp;B71,
        Calculate_cap_emi!$I$14:$I$21&amp;"|"&amp;Calculate_cap_emi!$L$14:$L$21,
        Calculate_cap_emi!$BE$14:$BE$21, "Not found", 0),"Rb",_xlfn.XLOOKUP(E71&amp;"|"&amp;B71,
        Calculate_cap_emi!$I$14:$I$21&amp;"|"&amp;Calculate_cap_emi!$L$14:$L$21,
        Calculate_cap_emi!$BG$14:$BG$21, "Not found", 0),"Rl",_xlfn.XLOOKUP(E71&amp;"|"&amp;B71,
        Calculate_cap_emi!$I$14:$I$21&amp;"|"&amp;Calculate_cap_emi!$L$14:$L$21,
        Calculate_cap_emi!$BH$14:$BH$21, "Not found", 0),"HP",_xlfn.XLOOKUP(E71&amp;"|"&amp;B71,
        Calculate_cap_emi!$I$14:$I$21&amp;"|"&amp;Calculate_cap_emi!$L$14:$L$21,
        Calculate_cap_emi!$BF$14:$BF$21, "Not found", 0),"HPl",_xlfn.XLOOKUP(E71&amp;"|"&amp;B71,
        Calculate_cap_emi!$I$14:$I$21&amp;"|"&amp;Calculate_cap_emi!$L$14:$L$21,
        Calculate_cap_emi!$BI$14:$BI$21, "Not found", 0),"Missing")</f>
        <v>696.46033429411773</v>
      </c>
      <c r="U71" s="5" cm="1">
        <f t="array" ref="U71">_xlfn.SWITCH(F71,"R",_xlfn.XLOOKUP(E71&amp;"|"&amp;B71,
        Calculate_cap_emi_sens!$I$14:$I$21&amp;"|"&amp;Calculate_cap_emi_sens!$L$14:$L$21,
        Calculate_cap_emi_sens!$AX$14:$AX$21, "Not found", 0),"Rb",_xlfn.XLOOKUP(E71&amp;"|"&amp;B71,
        Calculate_cap_emi_sens!$I$14:$I$21&amp;"|"&amp;Calculate_cap_emi_sens!$L$14:$L$21,
        Calculate_cap_emi_sens!$AZ$14:$AZ$21, "Not found", 0),"Rl",_xlfn.XLOOKUP(E71&amp;"|"&amp;B71,
        Calculate_cap_emi_sens!$I$14:$I$21&amp;"|"&amp;Calculate_cap_emi_sens!$L$14:$L$21,
        Calculate_cap_emi_sens!$BA$14:$BA$21, "Not found", 0),"HP",_xlfn.XLOOKUP(E71&amp;"|"&amp;B71,
        Calculate_cap_emi_sens!$I$14:$I$21&amp;"|"&amp;Calculate_cap_emi_sens!$L$14:$L$21,
        Calculate_cap_emi_sens!$AY$14:$AY$21, "Not found", 0),"HPl",_xlfn.XLOOKUP(E71&amp;"|"&amp;B71,
        Calculate_cap_emi_sens!$I$14:$I$21&amp;"|"&amp;Calculate_cap_emi_sens!$L$14:$L$21,
        Calculate_cap_emi_sens!$BB$14:$BB$21, "Not found", 0),"Missing")</f>
        <v>80.752861014707847</v>
      </c>
      <c r="V71" s="5" cm="1">
        <f t="array" ref="V71">_xlfn.SWITCH(F71,"R",_xlfn.XLOOKUP(E71&amp;"|"&amp;B71,
        Calculate_cap_emi_sens!$I$14:$I$21&amp;"|"&amp;Calculate_cap_emi_sens!$L$14:$L$21,
        Calculate_cap_emi_sens!$BE$14:$BE$21, "Not found", 0),"Rb",_xlfn.XLOOKUP(E71&amp;"|"&amp;B71,
        Calculate_cap_emi_sens!$I$14:$I$21&amp;"|"&amp;Calculate_cap_emi_sens!$L$14:$L$21,
        Calculate_cap_emi_sens!$BG$14:$BG$21, "Not found", 0),"Rl",_xlfn.XLOOKUP(E71&amp;"|"&amp;B71,
        Calculate_cap_emi_sens!$I$14:$I$21&amp;"|"&amp;Calculate_cap_emi_sens!$L$14:$L$21,
        Calculate_cap_emi_sens!$BH$14:$BH$21, "Not found", 0),"HP",_xlfn.XLOOKUP(E71&amp;"|"&amp;B71,
        Calculate_cap_emi_sens!$I$14:$I$21&amp;"|"&amp;Calculate_cap_emi_sens!$L$14:$L$21,
        Calculate_cap_emi_sens!$BF$14:$BF$21, "Not found", 0),"HPl",_xlfn.XLOOKUP(E71&amp;"|"&amp;B71,
        Calculate_cap_emi_sens!$I$14:$I$21&amp;"|"&amp;Calculate_cap_emi_sens!$L$14:$L$21,
        Calculate_cap_emi_sens!$BI$14:$BI$21, "Not found", 0),"Missing")</f>
        <v>264.18156186955321</v>
      </c>
      <c r="W71" s="5">
        <f>Results_proc_ener!L71</f>
        <v>24377.136271764706</v>
      </c>
      <c r="X71" s="5">
        <f>Results_proc_ener!M71</f>
        <v>0</v>
      </c>
      <c r="Y71" s="5">
        <f>Results_proc_ener!N71</f>
        <v>0</v>
      </c>
      <c r="Z71" s="5">
        <f>Results_proc_ener!O71</f>
        <v>0</v>
      </c>
      <c r="AA71" s="5">
        <f>Results_proc_ener!P71</f>
        <v>0</v>
      </c>
      <c r="AB71" s="5">
        <f>Results_proc_ener!Q71</f>
        <v>477.18140043064511</v>
      </c>
      <c r="AC71" s="5">
        <f>Results_proc_ener!R71</f>
        <v>1200.7745051647057</v>
      </c>
      <c r="AD71" s="5">
        <f>Results_proc_ener!S71</f>
        <v>4979.9260279999999</v>
      </c>
      <c r="AE71" s="5">
        <f>Results_proc_ener!T71</f>
        <v>4677.7015492941182</v>
      </c>
    </row>
    <row r="72" spans="1:31" x14ac:dyDescent="0.25">
      <c r="A72" s="5" t="s">
        <v>9</v>
      </c>
      <c r="B72" s="5" t="str">
        <f t="shared" si="3"/>
        <v>Mod-H1</v>
      </c>
      <c r="C72" s="5" t="str">
        <f t="shared" si="4"/>
        <v>Mod</v>
      </c>
      <c r="D72" s="5" t="str">
        <f t="shared" si="5"/>
        <v>H1</v>
      </c>
      <c r="E72" s="5" t="s">
        <v>3</v>
      </c>
      <c r="F72" s="5" t="s">
        <v>17</v>
      </c>
      <c r="G72" s="5"/>
      <c r="H72" s="5" cm="1">
        <f t="array" ref="H72">_xlfn.SWITCH(F72,"HP",_xlfn.XLOOKUP(E72&amp;"|"&amp;B72,
        Calculate_cap_emi!$I$14:$I$21&amp;"|"&amp;Calculate_cap_emi!$L$14:$L$21,
        Calculate_cap_emi!$X$14:$X$21, "Not found", 0),"HPl",_xlfn.XLOOKUP(E72&amp;"|"&amp;B72,
        Calculate_cap_emi!$I$14:$I$21&amp;"|"&amp;Calculate_cap_emi!$L$14:$L$21,
        Calculate_cap_emi!$AA$14:$AA$21, "Not found", 0),)</f>
        <v>4.5</v>
      </c>
      <c r="I72" s="5"/>
      <c r="J72" s="5"/>
      <c r="K72" s="5"/>
      <c r="L72" s="5" cm="1">
        <f t="array" ref="L72">_xlfn.SWITCH(F72,"R",_xlfn.XLOOKUP(E72&amp;"|"&amp;B72,
        Calculate_cap_emi!$I$14:$I$21&amp;"|"&amp;Calculate_cap_emi!$L$14:$L$21,
        Calculate_cap_emi!$AC$14:$AC$21, "Not found", 0),"Rb",_xlfn.XLOOKUP(E72&amp;"|"&amp;B72,
        Calculate_cap_emi!$I$14:$I$21&amp;"|"&amp;Calculate_cap_emi!$L$14:$L$21,
        Calculate_cap_emi!$AE$14:$AE$21, "Not found", 0),"Rl",_xlfn.XLOOKUP(E72&amp;"|"&amp;B72,
        Calculate_cap_emi!$I$14:$I$21&amp;"|"&amp;Calculate_cap_emi!$L$14:$L$21,
        Calculate_cap_emi!$AF$14:$AF$21, "Not found", 0),"HP",_xlfn.XLOOKUP(E72&amp;"|"&amp;B72,
        Calculate_cap_emi!$I$14:$I$21&amp;"|"&amp;Calculate_cap_emi!$L$14:$L$21,
        Calculate_cap_emi!$AD$14:$AD$21, "Not found", 0),"HPl",_xlfn.XLOOKUP(E72&amp;"|"&amp;B72,
        Calculate_cap_emi!$I$14:$I$21&amp;"|"&amp;Calculate_cap_emi!$L$14:$L$21,
        Calculate_cap_emi!$AG$14:$AG$21, "Not found", 0),"Missing")</f>
        <v>793.81820662941152</v>
      </c>
      <c r="M72" s="5"/>
      <c r="N72" s="5"/>
      <c r="O72" s="5"/>
      <c r="P72" s="5"/>
      <c r="Q72" s="5" cm="1">
        <f t="array" ref="Q72">_xlfn.SWITCH(F72,"R",_xlfn.XLOOKUP(E72&amp;"|"&amp;B72,
        Calculate_cap_emi!$I$14:$I$21&amp;"|"&amp;Calculate_cap_emi!$L$14:$L$21,
        Calculate_cap_emi!$AJ$14:$AJ$21, "Not found", 0),"Rb",_xlfn.XLOOKUP(E72&amp;"|"&amp;B72,
        Calculate_cap_emi!$I$14:$I$21&amp;"|"&amp;Calculate_cap_emi!$L$14:$L$21,
        Calculate_cap_emi!$AL$14:$AL$21, "Not found", 0),"Rl",_xlfn.XLOOKUP(E72&amp;"|"&amp;B72,
        Calculate_cap_emi!$I$14:$I$21&amp;"|"&amp;Calculate_cap_emi!$L$14:$L$21,
        Calculate_cap_emi!$AM$14:$AM$21, "Not found", 0),"HP",_xlfn.XLOOKUP(E72&amp;"|"&amp;B72,
        Calculate_cap_emi!$I$14:$I$21&amp;"|"&amp;Calculate_cap_emi!$L$14:$L$21,
        Calculate_cap_emi!$AK$14:$AK$21, "Not found", 0),"HPl",_xlfn.XLOOKUP(E72&amp;"|"&amp;B72,
        Calculate_cap_emi!$I$14:$I$21&amp;"|"&amp;Calculate_cap_emi!$L$14:$L$21,
        Calculate_cap_emi!$AN$14:$AN$21, "Not found", 0),"Missing")</f>
        <v>16.691702123097468</v>
      </c>
      <c r="R72" s="5" cm="1">
        <f t="array" ref="R72">_xlfn.SWITCH(F72,"R",_xlfn.XLOOKUP(E72&amp;"|"&amp;B72,
        Calculate_cap_emi!$I$14:$I$21&amp;"|"&amp;Calculate_cap_emi!$L$14:$L$21,
        Calculate_cap_emi!$AQ$14:$AQ$21, "Not found", 0),"Rb",_xlfn.XLOOKUP(E72&amp;"|"&amp;B72,
        Calculate_cap_emi!$I$14:$I$21&amp;"|"&amp;Calculate_cap_emi!$L$14:$L$21,
        Calculate_cap_emi!$AS$14:$AS$21, "Not found", 0),"Rl",_xlfn.XLOOKUP(E72&amp;"|"&amp;B72,
        Calculate_cap_emi!$I$14:$I$21&amp;"|"&amp;Calculate_cap_emi!$L$14:$L$21,
        Calculate_cap_emi!$AT$14:$AT$21, "Not found", 0),"HP",_xlfn.XLOOKUP(E72&amp;"|"&amp;B72,
        Calculate_cap_emi!$I$14:$I$21&amp;"|"&amp;Calculate_cap_emi!$L$14:$L$21,
        Calculate_cap_emi!$AR$14:$AR$21, "Not found", 0),"HPl",_xlfn.XLOOKUP(E72&amp;"|"&amp;B72,
        Calculate_cap_emi!$I$14:$I$21&amp;"|"&amp;Calculate_cap_emi!$L$14:$L$21,
        Calculate_cap_emi!$AU$14:$AU$21, "Not found", 0),"Missing")</f>
        <v>44.564950203529413</v>
      </c>
      <c r="S72" s="5" cm="1">
        <f t="array" ref="S72">_xlfn.SWITCH(F72,"R",_xlfn.XLOOKUP(E72&amp;"|"&amp;B72,
        Calculate_cap_emi!$I$14:$I$21&amp;"|"&amp;Calculate_cap_emi!$L$14:$L$21,
        Calculate_cap_emi!$AX$14:$AX$21, "Not found", 0),"Rb",_xlfn.XLOOKUP(E72&amp;"|"&amp;B72,
        Calculate_cap_emi!$I$14:$I$21&amp;"|"&amp;Calculate_cap_emi!$L$14:$L$21,
        Calculate_cap_emi!$AZ$14:$AZ$21, "Not found", 0),"Rl",_xlfn.XLOOKUP(E72&amp;"|"&amp;B72,
        Calculate_cap_emi!$I$14:$I$21&amp;"|"&amp;Calculate_cap_emi!$L$14:$L$21,
        Calculate_cap_emi!$BA$14:$BA$21, "Not found", 0),"HP",_xlfn.XLOOKUP(E72&amp;"|"&amp;B72,
        Calculate_cap_emi!$I$14:$I$21&amp;"|"&amp;Calculate_cap_emi!$L$14:$L$21,
        Calculate_cap_emi!$AY$14:$AY$21, "Not found", 0),"HPl",_xlfn.XLOOKUP(E72&amp;"|"&amp;B72,
        Calculate_cap_emi!$I$14:$I$21&amp;"|"&amp;Calculate_cap_emi!$L$14:$L$21,
        Calculate_cap_emi!$BB$14:$BB$21, "Not found", 0),"Missing")</f>
        <v>147.32211100000001</v>
      </c>
      <c r="T72" s="5" cm="1">
        <f t="array" ref="T72">_xlfn.SWITCH(F72,"R",_xlfn.XLOOKUP(E72&amp;"|"&amp;B72,
        Calculate_cap_emi!$I$14:$I$21&amp;"|"&amp;Calculate_cap_emi!$L$14:$L$21,
        Calculate_cap_emi!$BE$14:$BE$21, "Not found", 0),"Rb",_xlfn.XLOOKUP(E72&amp;"|"&amp;B72,
        Calculate_cap_emi!$I$14:$I$21&amp;"|"&amp;Calculate_cap_emi!$L$14:$L$21,
        Calculate_cap_emi!$BG$14:$BG$21, "Not found", 0),"Rl",_xlfn.XLOOKUP(E72&amp;"|"&amp;B72,
        Calculate_cap_emi!$I$14:$I$21&amp;"|"&amp;Calculate_cap_emi!$L$14:$L$21,
        Calculate_cap_emi!$BH$14:$BH$21, "Not found", 0),"HP",_xlfn.XLOOKUP(E72&amp;"|"&amp;B72,
        Calculate_cap_emi!$I$14:$I$21&amp;"|"&amp;Calculate_cap_emi!$L$14:$L$21,
        Calculate_cap_emi!$BF$14:$BF$21, "Not found", 0),"HPl",_xlfn.XLOOKUP(E72&amp;"|"&amp;B72,
        Calculate_cap_emi!$I$14:$I$21&amp;"|"&amp;Calculate_cap_emi!$L$14:$L$21,
        Calculate_cap_emi!$BI$14:$BI$21, "Not found", 0),"Missing")</f>
        <v>615.64467337058818</v>
      </c>
      <c r="U72" s="5" cm="1">
        <f t="array" ref="U72">_xlfn.SWITCH(F72,"R",_xlfn.XLOOKUP(E72&amp;"|"&amp;B72,
        Calculate_cap_emi_sens!$I$14:$I$21&amp;"|"&amp;Calculate_cap_emi_sens!$L$14:$L$21,
        Calculate_cap_emi_sens!$AX$14:$AX$21, "Not found", 0),"Rb",_xlfn.XLOOKUP(E72&amp;"|"&amp;B72,
        Calculate_cap_emi_sens!$I$14:$I$21&amp;"|"&amp;Calculate_cap_emi_sens!$L$14:$L$21,
        Calculate_cap_emi_sens!$AZ$14:$AZ$21, "Not found", 0),"Rl",_xlfn.XLOOKUP(E72&amp;"|"&amp;B72,
        Calculate_cap_emi_sens!$I$14:$I$21&amp;"|"&amp;Calculate_cap_emi_sens!$L$14:$L$21,
        Calculate_cap_emi_sens!$BA$14:$BA$21, "Not found", 0),"HP",_xlfn.XLOOKUP(E72&amp;"|"&amp;B72,
        Calculate_cap_emi_sens!$I$14:$I$21&amp;"|"&amp;Calculate_cap_emi_sens!$L$14:$L$21,
        Calculate_cap_emi_sens!$AY$14:$AY$21, "Not found", 0),"HPl",_xlfn.XLOOKUP(E72&amp;"|"&amp;B72,
        Calculate_cap_emi_sens!$I$14:$I$21&amp;"|"&amp;Calculate_cap_emi_sens!$L$14:$L$21,
        Calculate_cap_emi_sens!$BB$14:$BB$21, "Not found", 0),"Missing")</f>
        <v>65.829972519009615</v>
      </c>
      <c r="V72" s="5" cm="1">
        <f t="array" ref="V72">_xlfn.SWITCH(F72,"R",_xlfn.XLOOKUP(E72&amp;"|"&amp;B72,
        Calculate_cap_emi_sens!$I$14:$I$21&amp;"|"&amp;Calculate_cap_emi_sens!$L$14:$L$21,
        Calculate_cap_emi_sens!$BE$14:$BE$21, "Not found", 0),"Rb",_xlfn.XLOOKUP(E72&amp;"|"&amp;B72,
        Calculate_cap_emi_sens!$I$14:$I$21&amp;"|"&amp;Calculate_cap_emi_sens!$L$14:$L$21,
        Calculate_cap_emi_sens!$BG$14:$BG$21, "Not found", 0),"Rl",_xlfn.XLOOKUP(E72&amp;"|"&amp;B72,
        Calculate_cap_emi_sens!$I$14:$I$21&amp;"|"&amp;Calculate_cap_emi_sens!$L$14:$L$21,
        Calculate_cap_emi_sens!$BH$14:$BH$21, "Not found", 0),"HP",_xlfn.XLOOKUP(E72&amp;"|"&amp;B72,
        Calculate_cap_emi_sens!$I$14:$I$21&amp;"|"&amp;Calculate_cap_emi_sens!$L$14:$L$21,
        Calculate_cap_emi_sens!$BF$14:$BF$21, "Not found", 0),"HPl",_xlfn.XLOOKUP(E72&amp;"|"&amp;B72,
        Calculate_cap_emi_sens!$I$14:$I$21&amp;"|"&amp;Calculate_cap_emi_sens!$L$14:$L$21,
        Calculate_cap_emi_sens!$BI$14:$BI$21, "Not found", 0),"Missing")</f>
        <v>283.94064666704156</v>
      </c>
      <c r="W72" s="5">
        <f>Results_proc_ener!L72</f>
        <v>17752.101681176471</v>
      </c>
      <c r="X72" s="5">
        <f>Results_proc_ener!M72</f>
        <v>0</v>
      </c>
      <c r="Y72" s="5">
        <f>Results_proc_ener!N72</f>
        <v>0</v>
      </c>
      <c r="Z72" s="5">
        <f>Results_proc_ener!O72</f>
        <v>0</v>
      </c>
      <c r="AA72" s="5">
        <f>Results_proc_ener!P72</f>
        <v>0</v>
      </c>
      <c r="AB72" s="5">
        <f>Results_proc_ener!Q72</f>
        <v>353.50761617218234</v>
      </c>
      <c r="AC72" s="5">
        <f>Results_proc_ener!R72</f>
        <v>775.58389415294107</v>
      </c>
      <c r="AD72" s="5">
        <f>Results_proc_ener!S72</f>
        <v>2636.160605</v>
      </c>
      <c r="AE72" s="5">
        <f>Results_proc_ener!T72</f>
        <v>3421.411993588235</v>
      </c>
    </row>
    <row r="73" spans="1:31" x14ac:dyDescent="0.25">
      <c r="A73" s="5" t="s">
        <v>10</v>
      </c>
      <c r="B73" s="5" t="str">
        <f t="shared" si="3"/>
        <v>Mod-H1</v>
      </c>
      <c r="C73" s="5" t="str">
        <f t="shared" si="4"/>
        <v>Mod</v>
      </c>
      <c r="D73" s="5" t="str">
        <f t="shared" si="5"/>
        <v>H1</v>
      </c>
      <c r="E73" s="5" t="s">
        <v>3</v>
      </c>
      <c r="F73" s="5" t="s">
        <v>17</v>
      </c>
      <c r="G73" s="5"/>
      <c r="H73" s="5" cm="1">
        <f t="array" ref="H73">_xlfn.SWITCH(F73,"HP",_xlfn.XLOOKUP(E73&amp;"|"&amp;B73,
        Calculate_cap_emi!$I$14:$I$21&amp;"|"&amp;Calculate_cap_emi!$L$14:$L$21,
        Calculate_cap_emi!$X$14:$X$21, "Not found", 0),"HPl",_xlfn.XLOOKUP(E73&amp;"|"&amp;B73,
        Calculate_cap_emi!$I$14:$I$21&amp;"|"&amp;Calculate_cap_emi!$L$14:$L$21,
        Calculate_cap_emi!$AA$14:$AA$21, "Not found", 0),)</f>
        <v>4.5</v>
      </c>
      <c r="I73" s="5"/>
      <c r="J73" s="5"/>
      <c r="K73" s="5"/>
      <c r="L73" s="5" cm="1">
        <f t="array" ref="L73">_xlfn.SWITCH(F73,"R",_xlfn.XLOOKUP(E73&amp;"|"&amp;B73,
        Calculate_cap_emi!$I$14:$I$21&amp;"|"&amp;Calculate_cap_emi!$L$14:$L$21,
        Calculate_cap_emi!$AC$14:$AC$21, "Not found", 0),"Rb",_xlfn.XLOOKUP(E73&amp;"|"&amp;B73,
        Calculate_cap_emi!$I$14:$I$21&amp;"|"&amp;Calculate_cap_emi!$L$14:$L$21,
        Calculate_cap_emi!$AE$14:$AE$21, "Not found", 0),"Rl",_xlfn.XLOOKUP(E73&amp;"|"&amp;B73,
        Calculate_cap_emi!$I$14:$I$21&amp;"|"&amp;Calculate_cap_emi!$L$14:$L$21,
        Calculate_cap_emi!$AF$14:$AF$21, "Not found", 0),"HP",_xlfn.XLOOKUP(E73&amp;"|"&amp;B73,
        Calculate_cap_emi!$I$14:$I$21&amp;"|"&amp;Calculate_cap_emi!$L$14:$L$21,
        Calculate_cap_emi!$AD$14:$AD$21, "Not found", 0),"HPl",_xlfn.XLOOKUP(E73&amp;"|"&amp;B73,
        Calculate_cap_emi!$I$14:$I$21&amp;"|"&amp;Calculate_cap_emi!$L$14:$L$21,
        Calculate_cap_emi!$AG$14:$AG$21, "Not found", 0),"Missing")</f>
        <v>793.81820662941152</v>
      </c>
      <c r="M73" s="5"/>
      <c r="N73" s="5"/>
      <c r="O73" s="5"/>
      <c r="P73" s="5"/>
      <c r="Q73" s="5" cm="1">
        <f t="array" ref="Q73">_xlfn.SWITCH(F73,"R",_xlfn.XLOOKUP(E73&amp;"|"&amp;B73,
        Calculate_cap_emi!$I$14:$I$21&amp;"|"&amp;Calculate_cap_emi!$L$14:$L$21,
        Calculate_cap_emi!$AJ$14:$AJ$21, "Not found", 0),"Rb",_xlfn.XLOOKUP(E73&amp;"|"&amp;B73,
        Calculate_cap_emi!$I$14:$I$21&amp;"|"&amp;Calculate_cap_emi!$L$14:$L$21,
        Calculate_cap_emi!$AL$14:$AL$21, "Not found", 0),"Rl",_xlfn.XLOOKUP(E73&amp;"|"&amp;B73,
        Calculate_cap_emi!$I$14:$I$21&amp;"|"&amp;Calculate_cap_emi!$L$14:$L$21,
        Calculate_cap_emi!$AM$14:$AM$21, "Not found", 0),"HP",_xlfn.XLOOKUP(E73&amp;"|"&amp;B73,
        Calculate_cap_emi!$I$14:$I$21&amp;"|"&amp;Calculate_cap_emi!$L$14:$L$21,
        Calculate_cap_emi!$AK$14:$AK$21, "Not found", 0),"HPl",_xlfn.XLOOKUP(E73&amp;"|"&amp;B73,
        Calculate_cap_emi!$I$14:$I$21&amp;"|"&amp;Calculate_cap_emi!$L$14:$L$21,
        Calculate_cap_emi!$AN$14:$AN$21, "Not found", 0),"Missing")</f>
        <v>16.691702123097468</v>
      </c>
      <c r="R73" s="5" cm="1">
        <f t="array" ref="R73">_xlfn.SWITCH(F73,"R",_xlfn.XLOOKUP(E73&amp;"|"&amp;B73,
        Calculate_cap_emi!$I$14:$I$21&amp;"|"&amp;Calculate_cap_emi!$L$14:$L$21,
        Calculate_cap_emi!$AQ$14:$AQ$21, "Not found", 0),"Rb",_xlfn.XLOOKUP(E73&amp;"|"&amp;B73,
        Calculate_cap_emi!$I$14:$I$21&amp;"|"&amp;Calculate_cap_emi!$L$14:$L$21,
        Calculate_cap_emi!$AS$14:$AS$21, "Not found", 0),"Rl",_xlfn.XLOOKUP(E73&amp;"|"&amp;B73,
        Calculate_cap_emi!$I$14:$I$21&amp;"|"&amp;Calculate_cap_emi!$L$14:$L$21,
        Calculate_cap_emi!$AT$14:$AT$21, "Not found", 0),"HP",_xlfn.XLOOKUP(E73&amp;"|"&amp;B73,
        Calculate_cap_emi!$I$14:$I$21&amp;"|"&amp;Calculate_cap_emi!$L$14:$L$21,
        Calculate_cap_emi!$AR$14:$AR$21, "Not found", 0),"HPl",_xlfn.XLOOKUP(E73&amp;"|"&amp;B73,
        Calculate_cap_emi!$I$14:$I$21&amp;"|"&amp;Calculate_cap_emi!$L$14:$L$21,
        Calculate_cap_emi!$AU$14:$AU$21, "Not found", 0),"Missing")</f>
        <v>44.564950203529413</v>
      </c>
      <c r="S73" s="5" cm="1">
        <f t="array" ref="S73">_xlfn.SWITCH(F73,"R",_xlfn.XLOOKUP(E73&amp;"|"&amp;B73,
        Calculate_cap_emi!$I$14:$I$21&amp;"|"&amp;Calculate_cap_emi!$L$14:$L$21,
        Calculate_cap_emi!$AX$14:$AX$21, "Not found", 0),"Rb",_xlfn.XLOOKUP(E73&amp;"|"&amp;B73,
        Calculate_cap_emi!$I$14:$I$21&amp;"|"&amp;Calculate_cap_emi!$L$14:$L$21,
        Calculate_cap_emi!$AZ$14:$AZ$21, "Not found", 0),"Rl",_xlfn.XLOOKUP(E73&amp;"|"&amp;B73,
        Calculate_cap_emi!$I$14:$I$21&amp;"|"&amp;Calculate_cap_emi!$L$14:$L$21,
        Calculate_cap_emi!$BA$14:$BA$21, "Not found", 0),"HP",_xlfn.XLOOKUP(E73&amp;"|"&amp;B73,
        Calculate_cap_emi!$I$14:$I$21&amp;"|"&amp;Calculate_cap_emi!$L$14:$L$21,
        Calculate_cap_emi!$AY$14:$AY$21, "Not found", 0),"HPl",_xlfn.XLOOKUP(E73&amp;"|"&amp;B73,
        Calculate_cap_emi!$I$14:$I$21&amp;"|"&amp;Calculate_cap_emi!$L$14:$L$21,
        Calculate_cap_emi!$BB$14:$BB$21, "Not found", 0),"Missing")</f>
        <v>147.32211100000001</v>
      </c>
      <c r="T73" s="5" cm="1">
        <f t="array" ref="T73">_xlfn.SWITCH(F73,"R",_xlfn.XLOOKUP(E73&amp;"|"&amp;B73,
        Calculate_cap_emi!$I$14:$I$21&amp;"|"&amp;Calculate_cap_emi!$L$14:$L$21,
        Calculate_cap_emi!$BE$14:$BE$21, "Not found", 0),"Rb",_xlfn.XLOOKUP(E73&amp;"|"&amp;B73,
        Calculate_cap_emi!$I$14:$I$21&amp;"|"&amp;Calculate_cap_emi!$L$14:$L$21,
        Calculate_cap_emi!$BG$14:$BG$21, "Not found", 0),"Rl",_xlfn.XLOOKUP(E73&amp;"|"&amp;B73,
        Calculate_cap_emi!$I$14:$I$21&amp;"|"&amp;Calculate_cap_emi!$L$14:$L$21,
        Calculate_cap_emi!$BH$14:$BH$21, "Not found", 0),"HP",_xlfn.XLOOKUP(E73&amp;"|"&amp;B73,
        Calculate_cap_emi!$I$14:$I$21&amp;"|"&amp;Calculate_cap_emi!$L$14:$L$21,
        Calculate_cap_emi!$BF$14:$BF$21, "Not found", 0),"HPl",_xlfn.XLOOKUP(E73&amp;"|"&amp;B73,
        Calculate_cap_emi!$I$14:$I$21&amp;"|"&amp;Calculate_cap_emi!$L$14:$L$21,
        Calculate_cap_emi!$BI$14:$BI$21, "Not found", 0),"Missing")</f>
        <v>615.64467337058818</v>
      </c>
      <c r="U73" s="5" cm="1">
        <f t="array" ref="U73">_xlfn.SWITCH(F73,"R",_xlfn.XLOOKUP(E73&amp;"|"&amp;B73,
        Calculate_cap_emi_sens!$I$14:$I$21&amp;"|"&amp;Calculate_cap_emi_sens!$L$14:$L$21,
        Calculate_cap_emi_sens!$AX$14:$AX$21, "Not found", 0),"Rb",_xlfn.XLOOKUP(E73&amp;"|"&amp;B73,
        Calculate_cap_emi_sens!$I$14:$I$21&amp;"|"&amp;Calculate_cap_emi_sens!$L$14:$L$21,
        Calculate_cap_emi_sens!$AZ$14:$AZ$21, "Not found", 0),"Rl",_xlfn.XLOOKUP(E73&amp;"|"&amp;B73,
        Calculate_cap_emi_sens!$I$14:$I$21&amp;"|"&amp;Calculate_cap_emi_sens!$L$14:$L$21,
        Calculate_cap_emi_sens!$BA$14:$BA$21, "Not found", 0),"HP",_xlfn.XLOOKUP(E73&amp;"|"&amp;B73,
        Calculate_cap_emi_sens!$I$14:$I$21&amp;"|"&amp;Calculate_cap_emi_sens!$L$14:$L$21,
        Calculate_cap_emi_sens!$AY$14:$AY$21, "Not found", 0),"HPl",_xlfn.XLOOKUP(E73&amp;"|"&amp;B73,
        Calculate_cap_emi_sens!$I$14:$I$21&amp;"|"&amp;Calculate_cap_emi_sens!$L$14:$L$21,
        Calculate_cap_emi_sens!$BB$14:$BB$21, "Not found", 0),"Missing")</f>
        <v>65.829972519009615</v>
      </c>
      <c r="V73" s="5" cm="1">
        <f t="array" ref="V73">_xlfn.SWITCH(F73,"R",_xlfn.XLOOKUP(E73&amp;"|"&amp;B73,
        Calculate_cap_emi_sens!$I$14:$I$21&amp;"|"&amp;Calculate_cap_emi_sens!$L$14:$L$21,
        Calculate_cap_emi_sens!$BE$14:$BE$21, "Not found", 0),"Rb",_xlfn.XLOOKUP(E73&amp;"|"&amp;B73,
        Calculate_cap_emi_sens!$I$14:$I$21&amp;"|"&amp;Calculate_cap_emi_sens!$L$14:$L$21,
        Calculate_cap_emi_sens!$BG$14:$BG$21, "Not found", 0),"Rl",_xlfn.XLOOKUP(E73&amp;"|"&amp;B73,
        Calculate_cap_emi_sens!$I$14:$I$21&amp;"|"&amp;Calculate_cap_emi_sens!$L$14:$L$21,
        Calculate_cap_emi_sens!$BH$14:$BH$21, "Not found", 0),"HP",_xlfn.XLOOKUP(E73&amp;"|"&amp;B73,
        Calculate_cap_emi_sens!$I$14:$I$21&amp;"|"&amp;Calculate_cap_emi_sens!$L$14:$L$21,
        Calculate_cap_emi_sens!$BF$14:$BF$21, "Not found", 0),"HPl",_xlfn.XLOOKUP(E73&amp;"|"&amp;B73,
        Calculate_cap_emi_sens!$I$14:$I$21&amp;"|"&amp;Calculate_cap_emi_sens!$L$14:$L$21,
        Calculate_cap_emi_sens!$BI$14:$BI$21, "Not found", 0),"Missing")</f>
        <v>283.94064666704156</v>
      </c>
      <c r="W73" s="5">
        <f>Results_proc_ener!L73</f>
        <v>17752.101681176471</v>
      </c>
      <c r="X73" s="5">
        <f>Results_proc_ener!M73</f>
        <v>0</v>
      </c>
      <c r="Y73" s="5">
        <f>Results_proc_ener!N73</f>
        <v>0</v>
      </c>
      <c r="Z73" s="5">
        <f>Results_proc_ener!O73</f>
        <v>0</v>
      </c>
      <c r="AA73" s="5">
        <f>Results_proc_ener!P73</f>
        <v>0</v>
      </c>
      <c r="AB73" s="5">
        <f>Results_proc_ener!Q73</f>
        <v>353.50761617218234</v>
      </c>
      <c r="AC73" s="5">
        <f>Results_proc_ener!R73</f>
        <v>775.58389415294107</v>
      </c>
      <c r="AD73" s="5">
        <f>Results_proc_ener!S73</f>
        <v>2636.160605</v>
      </c>
      <c r="AE73" s="5">
        <f>Results_proc_ener!T73</f>
        <v>3421.411993588235</v>
      </c>
    </row>
    <row r="74" spans="1:31" x14ac:dyDescent="0.25">
      <c r="A74" s="5" t="s">
        <v>4</v>
      </c>
      <c r="B74" s="5" t="str">
        <f t="shared" si="3"/>
        <v>Mass-Nom</v>
      </c>
      <c r="C74" s="5" t="str">
        <f t="shared" si="4"/>
        <v>Mass</v>
      </c>
      <c r="D74" s="5" t="str">
        <f t="shared" si="5"/>
        <v>Nom</v>
      </c>
      <c r="E74" s="5" t="s">
        <v>11</v>
      </c>
      <c r="F74" s="5" t="s">
        <v>17</v>
      </c>
      <c r="G74" s="5"/>
      <c r="H74" s="5" cm="1">
        <f t="array" ref="H74">_xlfn.SWITCH(F74,"HP",_xlfn.XLOOKUP(E74&amp;"|"&amp;B74,
        Calculate_cap_emi!$I$14:$I$21&amp;"|"&amp;Calculate_cap_emi!$L$14:$L$21,
        Calculate_cap_emi!$X$14:$X$21, "Not found", 0),"HPl",_xlfn.XLOOKUP(E74&amp;"|"&amp;B74,
        Calculate_cap_emi!$I$14:$I$21&amp;"|"&amp;Calculate_cap_emi!$L$14:$L$21,
        Calculate_cap_emi!$AA$14:$AA$21, "Not found", 0),)</f>
        <v>8.5</v>
      </c>
      <c r="I74" s="5"/>
      <c r="J74" s="5"/>
      <c r="K74" s="5"/>
      <c r="L74" s="5" cm="1">
        <f t="array" ref="L74">_xlfn.SWITCH(F74,"R",_xlfn.XLOOKUP(E74&amp;"|"&amp;B74,
        Calculate_cap_emi!$I$14:$I$21&amp;"|"&amp;Calculate_cap_emi!$L$14:$L$21,
        Calculate_cap_emi!$AC$14:$AC$21, "Not found", 0),"Rb",_xlfn.XLOOKUP(E74&amp;"|"&amp;B74,
        Calculate_cap_emi!$I$14:$I$21&amp;"|"&amp;Calculate_cap_emi!$L$14:$L$21,
        Calculate_cap_emi!$AE$14:$AE$21, "Not found", 0),"Rl",_xlfn.XLOOKUP(E74&amp;"|"&amp;B74,
        Calculate_cap_emi!$I$14:$I$21&amp;"|"&amp;Calculate_cap_emi!$L$14:$L$21,
        Calculate_cap_emi!$AF$14:$AF$21, "Not found", 0),"HP",_xlfn.XLOOKUP(E74&amp;"|"&amp;B74,
        Calculate_cap_emi!$I$14:$I$21&amp;"|"&amp;Calculate_cap_emi!$L$14:$L$21,
        Calculate_cap_emi!$AD$14:$AD$21, "Not found", 0),"HPl",_xlfn.XLOOKUP(E74&amp;"|"&amp;B74,
        Calculate_cap_emi!$I$14:$I$21&amp;"|"&amp;Calculate_cap_emi!$L$14:$L$21,
        Calculate_cap_emi!$AG$14:$AG$21, "Not found", 0),"Missing")</f>
        <v>1059.2705032411764</v>
      </c>
      <c r="M74" s="5"/>
      <c r="N74" s="5"/>
      <c r="O74" s="5"/>
      <c r="P74" s="5"/>
      <c r="Q74" s="5" cm="1">
        <f t="array" ref="Q74">_xlfn.SWITCH(F74,"R",_xlfn.XLOOKUP(E74&amp;"|"&amp;B74,
        Calculate_cap_emi!$I$14:$I$21&amp;"|"&amp;Calculate_cap_emi!$L$14:$L$21,
        Calculate_cap_emi!$AJ$14:$AJ$21, "Not found", 0),"Rb",_xlfn.XLOOKUP(E74&amp;"|"&amp;B74,
        Calculate_cap_emi!$I$14:$I$21&amp;"|"&amp;Calculate_cap_emi!$L$14:$L$21,
        Calculate_cap_emi!$AL$14:$AL$21, "Not found", 0),"Rl",_xlfn.XLOOKUP(E74&amp;"|"&amp;B74,
        Calculate_cap_emi!$I$14:$I$21&amp;"|"&amp;Calculate_cap_emi!$L$14:$L$21,
        Calculate_cap_emi!$AM$14:$AM$21, "Not found", 0),"HP",_xlfn.XLOOKUP(E74&amp;"|"&amp;B74,
        Calculate_cap_emi!$I$14:$I$21&amp;"|"&amp;Calculate_cap_emi!$L$14:$L$21,
        Calculate_cap_emi!$AK$14:$AK$21, "Not found", 0),"HPl",_xlfn.XLOOKUP(E74&amp;"|"&amp;B74,
        Calculate_cap_emi!$I$14:$I$21&amp;"|"&amp;Calculate_cap_emi!$L$14:$L$21,
        Calculate_cap_emi!$AN$14:$AN$21, "Not found", 0),"Missing")</f>
        <v>23.365475384690136</v>
      </c>
      <c r="R74" s="5" cm="1">
        <f t="array" ref="R74">_xlfn.SWITCH(F74,"R",_xlfn.XLOOKUP(E74&amp;"|"&amp;B74,
        Calculate_cap_emi!$I$14:$I$21&amp;"|"&amp;Calculate_cap_emi!$L$14:$L$21,
        Calculate_cap_emi!$AQ$14:$AQ$21, "Not found", 0),"Rb",_xlfn.XLOOKUP(E74&amp;"|"&amp;B74,
        Calculate_cap_emi!$I$14:$I$21&amp;"|"&amp;Calculate_cap_emi!$L$14:$L$21,
        Calculate_cap_emi!$AS$14:$AS$21, "Not found", 0),"Rl",_xlfn.XLOOKUP(E74&amp;"|"&amp;B74,
        Calculate_cap_emi!$I$14:$I$21&amp;"|"&amp;Calculate_cap_emi!$L$14:$L$21,
        Calculate_cap_emi!$AT$14:$AT$21, "Not found", 0),"HP",_xlfn.XLOOKUP(E74&amp;"|"&amp;B74,
        Calculate_cap_emi!$I$14:$I$21&amp;"|"&amp;Calculate_cap_emi!$L$14:$L$21,
        Calculate_cap_emi!$AR$14:$AR$21, "Not found", 0),"HPl",_xlfn.XLOOKUP(E74&amp;"|"&amp;B74,
        Calculate_cap_emi!$I$14:$I$21&amp;"|"&amp;Calculate_cap_emi!$L$14:$L$21,
        Calculate_cap_emi!$AU$14:$AU$21, "Not found", 0),"Missing")</f>
        <v>82.960903175294106</v>
      </c>
      <c r="S74" s="5" cm="1">
        <f t="array" ref="S74">_xlfn.SWITCH(F74,"R",_xlfn.XLOOKUP(E74&amp;"|"&amp;B74,
        Calculate_cap_emi!$I$14:$I$21&amp;"|"&amp;Calculate_cap_emi!$L$14:$L$21,
        Calculate_cap_emi!$AX$14:$AX$21, "Not found", 0),"Rb",_xlfn.XLOOKUP(E74&amp;"|"&amp;B74,
        Calculate_cap_emi!$I$14:$I$21&amp;"|"&amp;Calculate_cap_emi!$L$14:$L$21,
        Calculate_cap_emi!$AZ$14:$AZ$21, "Not found", 0),"Rl",_xlfn.XLOOKUP(E74&amp;"|"&amp;B74,
        Calculate_cap_emi!$I$14:$I$21&amp;"|"&amp;Calculate_cap_emi!$L$14:$L$21,
        Calculate_cap_emi!$BA$14:$BA$21, "Not found", 0),"HP",_xlfn.XLOOKUP(E74&amp;"|"&amp;B74,
        Calculate_cap_emi!$I$14:$I$21&amp;"|"&amp;Calculate_cap_emi!$L$14:$L$21,
        Calculate_cap_emi!$AY$14:$AY$21, "Not found", 0),"HPl",_xlfn.XLOOKUP(E74&amp;"|"&amp;B74,
        Calculate_cap_emi!$I$14:$I$21&amp;"|"&amp;Calculate_cap_emi!$L$14:$L$21,
        Calculate_cap_emi!$BB$14:$BB$21, "Not found", 0),"Missing")</f>
        <v>188.6202715</v>
      </c>
      <c r="T74" s="5" cm="1">
        <f t="array" ref="T74">_xlfn.SWITCH(F74,"R",_xlfn.XLOOKUP(E74&amp;"|"&amp;B74,
        Calculate_cap_emi!$I$14:$I$21&amp;"|"&amp;Calculate_cap_emi!$L$14:$L$21,
        Calculate_cap_emi!$BE$14:$BE$21, "Not found", 0),"Rb",_xlfn.XLOOKUP(E74&amp;"|"&amp;B74,
        Calculate_cap_emi!$I$14:$I$21&amp;"|"&amp;Calculate_cap_emi!$L$14:$L$21,
        Calculate_cap_emi!$BG$14:$BG$21, "Not found", 0),"Rl",_xlfn.XLOOKUP(E74&amp;"|"&amp;B74,
        Calculate_cap_emi!$I$14:$I$21&amp;"|"&amp;Calculate_cap_emi!$L$14:$L$21,
        Calculate_cap_emi!$BH$14:$BH$21, "Not found", 0),"HP",_xlfn.XLOOKUP(E74&amp;"|"&amp;B74,
        Calculate_cap_emi!$I$14:$I$21&amp;"|"&amp;Calculate_cap_emi!$L$14:$L$21,
        Calculate_cap_emi!$BF$14:$BF$21, "Not found", 0),"HPl",_xlfn.XLOOKUP(E74&amp;"|"&amp;B74,
        Calculate_cap_emi!$I$14:$I$21&amp;"|"&amp;Calculate_cap_emi!$L$14:$L$21,
        Calculate_cap_emi!$BI$14:$BI$21, "Not found", 0),"Missing")</f>
        <v>708.00542869411777</v>
      </c>
      <c r="U74" s="5" cm="1">
        <f t="array" ref="U74">_xlfn.SWITCH(F74,"R",_xlfn.XLOOKUP(E74&amp;"|"&amp;B74,
        Calculate_cap_emi_sens!$I$14:$I$21&amp;"|"&amp;Calculate_cap_emi_sens!$L$14:$L$21,
        Calculate_cap_emi_sens!$AX$14:$AX$21, "Not found", 0),"Rb",_xlfn.XLOOKUP(E74&amp;"|"&amp;B74,
        Calculate_cap_emi_sens!$I$14:$I$21&amp;"|"&amp;Calculate_cap_emi_sens!$L$14:$L$21,
        Calculate_cap_emi_sens!$AZ$14:$AZ$21, "Not found", 0),"Rl",_xlfn.XLOOKUP(E74&amp;"|"&amp;B74,
        Calculate_cap_emi_sens!$I$14:$I$21&amp;"|"&amp;Calculate_cap_emi_sens!$L$14:$L$21,
        Calculate_cap_emi_sens!$BA$14:$BA$21, "Not found", 0),"HP",_xlfn.XLOOKUP(E74&amp;"|"&amp;B74,
        Calculate_cap_emi_sens!$I$14:$I$21&amp;"|"&amp;Calculate_cap_emi_sens!$L$14:$L$21,
        Calculate_cap_emi_sens!$AY$14:$AY$21, "Not found", 0),"HPl",_xlfn.XLOOKUP(E74&amp;"|"&amp;B74,
        Calculate_cap_emi_sens!$I$14:$I$21&amp;"|"&amp;Calculate_cap_emi_sens!$L$14:$L$21,
        Calculate_cap_emi_sens!$BB$14:$BB$21, "Not found", 0),"Missing")</f>
        <v>85.915131114707847</v>
      </c>
      <c r="V74" s="5" cm="1">
        <f t="array" ref="V74">_xlfn.SWITCH(F74,"R",_xlfn.XLOOKUP(E74&amp;"|"&amp;B74,
        Calculate_cap_emi_sens!$I$14:$I$21&amp;"|"&amp;Calculate_cap_emi_sens!$L$14:$L$21,
        Calculate_cap_emi_sens!$BE$14:$BE$21, "Not found", 0),"Rb",_xlfn.XLOOKUP(E74&amp;"|"&amp;B74,
        Calculate_cap_emi_sens!$I$14:$I$21&amp;"|"&amp;Calculate_cap_emi_sens!$L$14:$L$21,
        Calculate_cap_emi_sens!$BG$14:$BG$21, "Not found", 0),"Rl",_xlfn.XLOOKUP(E74&amp;"|"&amp;B74,
        Calculate_cap_emi_sens!$I$14:$I$21&amp;"|"&amp;Calculate_cap_emi_sens!$L$14:$L$21,
        Calculate_cap_emi_sens!$BH$14:$BH$21, "Not found", 0),"HP",_xlfn.XLOOKUP(E74&amp;"|"&amp;B74,
        Calculate_cap_emi_sens!$I$14:$I$21&amp;"|"&amp;Calculate_cap_emi_sens!$L$14:$L$21,
        Calculate_cap_emi_sens!$BF$14:$BF$21, "Not found", 0),"HPl",_xlfn.XLOOKUP(E74&amp;"|"&amp;B74,
        Calculate_cap_emi_sens!$I$14:$I$21&amp;"|"&amp;Calculate_cap_emi_sens!$L$14:$L$21,
        Calculate_cap_emi_sens!$BI$14:$BI$21, "Not found", 0),"Missing")</f>
        <v>265.12935718925883</v>
      </c>
      <c r="W74" s="5">
        <f>Results_proc_ener!L74</f>
        <v>25323.569781176473</v>
      </c>
      <c r="X74" s="5">
        <f>Results_proc_ener!M74</f>
        <v>0</v>
      </c>
      <c r="Y74" s="5">
        <f>Results_proc_ener!N74</f>
        <v>0</v>
      </c>
      <c r="Z74" s="5">
        <f>Results_proc_ener!O74</f>
        <v>0</v>
      </c>
      <c r="AA74" s="5">
        <f>Results_proc_ener!P74</f>
        <v>0</v>
      </c>
      <c r="AB74" s="5">
        <f>Results_proc_ener!Q74</f>
        <v>494.84908387754268</v>
      </c>
      <c r="AC74" s="5">
        <f>Results_proc_ener!R74</f>
        <v>1261.5160208823529</v>
      </c>
      <c r="AD74" s="5">
        <f>Results_proc_ener!S74</f>
        <v>5314.7496590000001</v>
      </c>
      <c r="AE74" s="5">
        <f>Results_proc_ener!T74</f>
        <v>4857.1714861764704</v>
      </c>
    </row>
    <row r="75" spans="1:31" x14ac:dyDescent="0.25">
      <c r="A75" s="5" t="s">
        <v>2</v>
      </c>
      <c r="B75" s="5" t="str">
        <f t="shared" si="3"/>
        <v>Mass-Nom</v>
      </c>
      <c r="C75" s="5" t="str">
        <f t="shared" si="4"/>
        <v>Mass</v>
      </c>
      <c r="D75" s="5" t="str">
        <f t="shared" si="5"/>
        <v>Nom</v>
      </c>
      <c r="E75" s="5" t="s">
        <v>11</v>
      </c>
      <c r="F75" s="5" t="s">
        <v>17</v>
      </c>
      <c r="G75" s="5"/>
      <c r="H75" s="5" cm="1">
        <f t="array" ref="H75">_xlfn.SWITCH(F75,"HP",_xlfn.XLOOKUP(E75&amp;"|"&amp;B75,
        Calculate_cap_emi!$I$14:$I$21&amp;"|"&amp;Calculate_cap_emi!$L$14:$L$21,
        Calculate_cap_emi!$X$14:$X$21, "Not found", 0),"HPl",_xlfn.XLOOKUP(E75&amp;"|"&amp;B75,
        Calculate_cap_emi!$I$14:$I$21&amp;"|"&amp;Calculate_cap_emi!$L$14:$L$21,
        Calculate_cap_emi!$AA$14:$AA$21, "Not found", 0),)</f>
        <v>8.5</v>
      </c>
      <c r="I75" s="5"/>
      <c r="J75" s="5"/>
      <c r="K75" s="5"/>
      <c r="L75" s="5" cm="1">
        <f t="array" ref="L75">_xlfn.SWITCH(F75,"R",_xlfn.XLOOKUP(E75&amp;"|"&amp;B75,
        Calculate_cap_emi!$I$14:$I$21&amp;"|"&amp;Calculate_cap_emi!$L$14:$L$21,
        Calculate_cap_emi!$AC$14:$AC$21, "Not found", 0),"Rb",_xlfn.XLOOKUP(E75&amp;"|"&amp;B75,
        Calculate_cap_emi!$I$14:$I$21&amp;"|"&amp;Calculate_cap_emi!$L$14:$L$21,
        Calculate_cap_emi!$AE$14:$AE$21, "Not found", 0),"Rl",_xlfn.XLOOKUP(E75&amp;"|"&amp;B75,
        Calculate_cap_emi!$I$14:$I$21&amp;"|"&amp;Calculate_cap_emi!$L$14:$L$21,
        Calculate_cap_emi!$AF$14:$AF$21, "Not found", 0),"HP",_xlfn.XLOOKUP(E75&amp;"|"&amp;B75,
        Calculate_cap_emi!$I$14:$I$21&amp;"|"&amp;Calculate_cap_emi!$L$14:$L$21,
        Calculate_cap_emi!$AD$14:$AD$21, "Not found", 0),"HPl",_xlfn.XLOOKUP(E75&amp;"|"&amp;B75,
        Calculate_cap_emi!$I$14:$I$21&amp;"|"&amp;Calculate_cap_emi!$L$14:$L$21,
        Calculate_cap_emi!$AG$14:$AG$21, "Not found", 0),"Missing")</f>
        <v>1059.2705032411764</v>
      </c>
      <c r="M75" s="5"/>
      <c r="N75" s="5"/>
      <c r="O75" s="5"/>
      <c r="P75" s="5"/>
      <c r="Q75" s="5" cm="1">
        <f t="array" ref="Q75">_xlfn.SWITCH(F75,"R",_xlfn.XLOOKUP(E75&amp;"|"&amp;B75,
        Calculate_cap_emi!$I$14:$I$21&amp;"|"&amp;Calculate_cap_emi!$L$14:$L$21,
        Calculate_cap_emi!$AJ$14:$AJ$21, "Not found", 0),"Rb",_xlfn.XLOOKUP(E75&amp;"|"&amp;B75,
        Calculate_cap_emi!$I$14:$I$21&amp;"|"&amp;Calculate_cap_emi!$L$14:$L$21,
        Calculate_cap_emi!$AL$14:$AL$21, "Not found", 0),"Rl",_xlfn.XLOOKUP(E75&amp;"|"&amp;B75,
        Calculate_cap_emi!$I$14:$I$21&amp;"|"&amp;Calculate_cap_emi!$L$14:$L$21,
        Calculate_cap_emi!$AM$14:$AM$21, "Not found", 0),"HP",_xlfn.XLOOKUP(E75&amp;"|"&amp;B75,
        Calculate_cap_emi!$I$14:$I$21&amp;"|"&amp;Calculate_cap_emi!$L$14:$L$21,
        Calculate_cap_emi!$AK$14:$AK$21, "Not found", 0),"HPl",_xlfn.XLOOKUP(E75&amp;"|"&amp;B75,
        Calculate_cap_emi!$I$14:$I$21&amp;"|"&amp;Calculate_cap_emi!$L$14:$L$21,
        Calculate_cap_emi!$AN$14:$AN$21, "Not found", 0),"Missing")</f>
        <v>23.365475384690136</v>
      </c>
      <c r="R75" s="5" cm="1">
        <f t="array" ref="R75">_xlfn.SWITCH(F75,"R",_xlfn.XLOOKUP(E75&amp;"|"&amp;B75,
        Calculate_cap_emi!$I$14:$I$21&amp;"|"&amp;Calculate_cap_emi!$L$14:$L$21,
        Calculate_cap_emi!$AQ$14:$AQ$21, "Not found", 0),"Rb",_xlfn.XLOOKUP(E75&amp;"|"&amp;B75,
        Calculate_cap_emi!$I$14:$I$21&amp;"|"&amp;Calculate_cap_emi!$L$14:$L$21,
        Calculate_cap_emi!$AS$14:$AS$21, "Not found", 0),"Rl",_xlfn.XLOOKUP(E75&amp;"|"&amp;B75,
        Calculate_cap_emi!$I$14:$I$21&amp;"|"&amp;Calculate_cap_emi!$L$14:$L$21,
        Calculate_cap_emi!$AT$14:$AT$21, "Not found", 0),"HP",_xlfn.XLOOKUP(E75&amp;"|"&amp;B75,
        Calculate_cap_emi!$I$14:$I$21&amp;"|"&amp;Calculate_cap_emi!$L$14:$L$21,
        Calculate_cap_emi!$AR$14:$AR$21, "Not found", 0),"HPl",_xlfn.XLOOKUP(E75&amp;"|"&amp;B75,
        Calculate_cap_emi!$I$14:$I$21&amp;"|"&amp;Calculate_cap_emi!$L$14:$L$21,
        Calculate_cap_emi!$AU$14:$AU$21, "Not found", 0),"Missing")</f>
        <v>82.960903175294106</v>
      </c>
      <c r="S75" s="5" cm="1">
        <f t="array" ref="S75">_xlfn.SWITCH(F75,"R",_xlfn.XLOOKUP(E75&amp;"|"&amp;B75,
        Calculate_cap_emi!$I$14:$I$21&amp;"|"&amp;Calculate_cap_emi!$L$14:$L$21,
        Calculate_cap_emi!$AX$14:$AX$21, "Not found", 0),"Rb",_xlfn.XLOOKUP(E75&amp;"|"&amp;B75,
        Calculate_cap_emi!$I$14:$I$21&amp;"|"&amp;Calculate_cap_emi!$L$14:$L$21,
        Calculate_cap_emi!$AZ$14:$AZ$21, "Not found", 0),"Rl",_xlfn.XLOOKUP(E75&amp;"|"&amp;B75,
        Calculate_cap_emi!$I$14:$I$21&amp;"|"&amp;Calculate_cap_emi!$L$14:$L$21,
        Calculate_cap_emi!$BA$14:$BA$21, "Not found", 0),"HP",_xlfn.XLOOKUP(E75&amp;"|"&amp;B75,
        Calculate_cap_emi!$I$14:$I$21&amp;"|"&amp;Calculate_cap_emi!$L$14:$L$21,
        Calculate_cap_emi!$AY$14:$AY$21, "Not found", 0),"HPl",_xlfn.XLOOKUP(E75&amp;"|"&amp;B75,
        Calculate_cap_emi!$I$14:$I$21&amp;"|"&amp;Calculate_cap_emi!$L$14:$L$21,
        Calculate_cap_emi!$BB$14:$BB$21, "Not found", 0),"Missing")</f>
        <v>188.6202715</v>
      </c>
      <c r="T75" s="5" cm="1">
        <f t="array" ref="T75">_xlfn.SWITCH(F75,"R",_xlfn.XLOOKUP(E75&amp;"|"&amp;B75,
        Calculate_cap_emi!$I$14:$I$21&amp;"|"&amp;Calculate_cap_emi!$L$14:$L$21,
        Calculate_cap_emi!$BE$14:$BE$21, "Not found", 0),"Rb",_xlfn.XLOOKUP(E75&amp;"|"&amp;B75,
        Calculate_cap_emi!$I$14:$I$21&amp;"|"&amp;Calculate_cap_emi!$L$14:$L$21,
        Calculate_cap_emi!$BG$14:$BG$21, "Not found", 0),"Rl",_xlfn.XLOOKUP(E75&amp;"|"&amp;B75,
        Calculate_cap_emi!$I$14:$I$21&amp;"|"&amp;Calculate_cap_emi!$L$14:$L$21,
        Calculate_cap_emi!$BH$14:$BH$21, "Not found", 0),"HP",_xlfn.XLOOKUP(E75&amp;"|"&amp;B75,
        Calculate_cap_emi!$I$14:$I$21&amp;"|"&amp;Calculate_cap_emi!$L$14:$L$21,
        Calculate_cap_emi!$BF$14:$BF$21, "Not found", 0),"HPl",_xlfn.XLOOKUP(E75&amp;"|"&amp;B75,
        Calculate_cap_emi!$I$14:$I$21&amp;"|"&amp;Calculate_cap_emi!$L$14:$L$21,
        Calculate_cap_emi!$BI$14:$BI$21, "Not found", 0),"Missing")</f>
        <v>708.00542869411777</v>
      </c>
      <c r="U75" s="5" cm="1">
        <f t="array" ref="U75">_xlfn.SWITCH(F75,"R",_xlfn.XLOOKUP(E75&amp;"|"&amp;B75,
        Calculate_cap_emi_sens!$I$14:$I$21&amp;"|"&amp;Calculate_cap_emi_sens!$L$14:$L$21,
        Calculate_cap_emi_sens!$AX$14:$AX$21, "Not found", 0),"Rb",_xlfn.XLOOKUP(E75&amp;"|"&amp;B75,
        Calculate_cap_emi_sens!$I$14:$I$21&amp;"|"&amp;Calculate_cap_emi_sens!$L$14:$L$21,
        Calculate_cap_emi_sens!$AZ$14:$AZ$21, "Not found", 0),"Rl",_xlfn.XLOOKUP(E75&amp;"|"&amp;B75,
        Calculate_cap_emi_sens!$I$14:$I$21&amp;"|"&amp;Calculate_cap_emi_sens!$L$14:$L$21,
        Calculate_cap_emi_sens!$BA$14:$BA$21, "Not found", 0),"HP",_xlfn.XLOOKUP(E75&amp;"|"&amp;B75,
        Calculate_cap_emi_sens!$I$14:$I$21&amp;"|"&amp;Calculate_cap_emi_sens!$L$14:$L$21,
        Calculate_cap_emi_sens!$AY$14:$AY$21, "Not found", 0),"HPl",_xlfn.XLOOKUP(E75&amp;"|"&amp;B75,
        Calculate_cap_emi_sens!$I$14:$I$21&amp;"|"&amp;Calculate_cap_emi_sens!$L$14:$L$21,
        Calculate_cap_emi_sens!$BB$14:$BB$21, "Not found", 0),"Missing")</f>
        <v>85.915131114707847</v>
      </c>
      <c r="V75" s="5" cm="1">
        <f t="array" ref="V75">_xlfn.SWITCH(F75,"R",_xlfn.XLOOKUP(E75&amp;"|"&amp;B75,
        Calculate_cap_emi_sens!$I$14:$I$21&amp;"|"&amp;Calculate_cap_emi_sens!$L$14:$L$21,
        Calculate_cap_emi_sens!$BE$14:$BE$21, "Not found", 0),"Rb",_xlfn.XLOOKUP(E75&amp;"|"&amp;B75,
        Calculate_cap_emi_sens!$I$14:$I$21&amp;"|"&amp;Calculate_cap_emi_sens!$L$14:$L$21,
        Calculate_cap_emi_sens!$BG$14:$BG$21, "Not found", 0),"Rl",_xlfn.XLOOKUP(E75&amp;"|"&amp;B75,
        Calculate_cap_emi_sens!$I$14:$I$21&amp;"|"&amp;Calculate_cap_emi_sens!$L$14:$L$21,
        Calculate_cap_emi_sens!$BH$14:$BH$21, "Not found", 0),"HP",_xlfn.XLOOKUP(E75&amp;"|"&amp;B75,
        Calculate_cap_emi_sens!$I$14:$I$21&amp;"|"&amp;Calculate_cap_emi_sens!$L$14:$L$21,
        Calculate_cap_emi_sens!$BF$14:$BF$21, "Not found", 0),"HPl",_xlfn.XLOOKUP(E75&amp;"|"&amp;B75,
        Calculate_cap_emi_sens!$I$14:$I$21&amp;"|"&amp;Calculate_cap_emi_sens!$L$14:$L$21,
        Calculate_cap_emi_sens!$BI$14:$BI$21, "Not found", 0),"Missing")</f>
        <v>265.12935718925883</v>
      </c>
      <c r="W75" s="5">
        <f>Results_proc_ener!L75</f>
        <v>25323.569781176473</v>
      </c>
      <c r="X75" s="5">
        <f>Results_proc_ener!M75</f>
        <v>0</v>
      </c>
      <c r="Y75" s="5">
        <f>Results_proc_ener!N75</f>
        <v>0</v>
      </c>
      <c r="Z75" s="5">
        <f>Results_proc_ener!O75</f>
        <v>0</v>
      </c>
      <c r="AA75" s="5">
        <f>Results_proc_ener!P75</f>
        <v>0</v>
      </c>
      <c r="AB75" s="5">
        <f>Results_proc_ener!Q75</f>
        <v>494.84908387754268</v>
      </c>
      <c r="AC75" s="5">
        <f>Results_proc_ener!R75</f>
        <v>1261.5160208823529</v>
      </c>
      <c r="AD75" s="5">
        <f>Results_proc_ener!S75</f>
        <v>5314.7496590000001</v>
      </c>
      <c r="AE75" s="5">
        <f>Results_proc_ener!T75</f>
        <v>4857.1714861764704</v>
      </c>
    </row>
    <row r="76" spans="1:31" x14ac:dyDescent="0.25">
      <c r="A76" s="5" t="s">
        <v>5</v>
      </c>
      <c r="B76" s="5" t="str">
        <f t="shared" si="3"/>
        <v>Mass-H1</v>
      </c>
      <c r="C76" s="5" t="str">
        <f t="shared" si="4"/>
        <v>Mass</v>
      </c>
      <c r="D76" s="5" t="str">
        <f t="shared" si="5"/>
        <v>H1</v>
      </c>
      <c r="E76" s="5" t="s">
        <v>11</v>
      </c>
      <c r="F76" s="5" t="s">
        <v>17</v>
      </c>
      <c r="G76" s="5"/>
      <c r="H76" s="5" cm="1">
        <f t="array" ref="H76">_xlfn.SWITCH(F76,"HP",_xlfn.XLOOKUP(E76&amp;"|"&amp;B76,
        Calculate_cap_emi!$I$14:$I$21&amp;"|"&amp;Calculate_cap_emi!$L$14:$L$21,
        Calculate_cap_emi!$X$14:$X$21, "Not found", 0),"HPl",_xlfn.XLOOKUP(E76&amp;"|"&amp;B76,
        Calculate_cap_emi!$I$14:$I$21&amp;"|"&amp;Calculate_cap_emi!$L$14:$L$21,
        Calculate_cap_emi!$AA$14:$AA$21, "Not found", 0),)</f>
        <v>5</v>
      </c>
      <c r="I76" s="5"/>
      <c r="J76" s="5"/>
      <c r="K76" s="5"/>
      <c r="L76" s="5" cm="1">
        <f t="array" ref="L76">_xlfn.SWITCH(F76,"R",_xlfn.XLOOKUP(E76&amp;"|"&amp;B76,
        Calculate_cap_emi!$I$14:$I$21&amp;"|"&amp;Calculate_cap_emi!$L$14:$L$21,
        Calculate_cap_emi!$AC$14:$AC$21, "Not found", 0),"Rb",_xlfn.XLOOKUP(E76&amp;"|"&amp;B76,
        Calculate_cap_emi!$I$14:$I$21&amp;"|"&amp;Calculate_cap_emi!$L$14:$L$21,
        Calculate_cap_emi!$AE$14:$AE$21, "Not found", 0),"Rl",_xlfn.XLOOKUP(E76&amp;"|"&amp;B76,
        Calculate_cap_emi!$I$14:$I$21&amp;"|"&amp;Calculate_cap_emi!$L$14:$L$21,
        Calculate_cap_emi!$AF$14:$AF$21, "Not found", 0),"HP",_xlfn.XLOOKUP(E76&amp;"|"&amp;B76,
        Calculate_cap_emi!$I$14:$I$21&amp;"|"&amp;Calculate_cap_emi!$L$14:$L$21,
        Calculate_cap_emi!$AD$14:$AD$21, "Not found", 0),"HPl",_xlfn.XLOOKUP(E76&amp;"|"&amp;B76,
        Calculate_cap_emi!$I$14:$I$21&amp;"|"&amp;Calculate_cap_emi!$L$14:$L$21,
        Calculate_cap_emi!$AG$14:$AG$21, "Not found", 0),"Missing")</f>
        <v>826.99974370588211</v>
      </c>
      <c r="M76" s="5"/>
      <c r="N76" s="5"/>
      <c r="O76" s="5"/>
      <c r="P76" s="5"/>
      <c r="Q76" s="5" cm="1">
        <f t="array" ref="Q76">_xlfn.SWITCH(F76,"R",_xlfn.XLOOKUP(E76&amp;"|"&amp;B76,
        Calculate_cap_emi!$I$14:$I$21&amp;"|"&amp;Calculate_cap_emi!$L$14:$L$21,
        Calculate_cap_emi!$AJ$14:$AJ$21, "Not found", 0),"Rb",_xlfn.XLOOKUP(E76&amp;"|"&amp;B76,
        Calculate_cap_emi!$I$14:$I$21&amp;"|"&amp;Calculate_cap_emi!$L$14:$L$21,
        Calculate_cap_emi!$AL$14:$AL$21, "Not found", 0),"Rl",_xlfn.XLOOKUP(E76&amp;"|"&amp;B76,
        Calculate_cap_emi!$I$14:$I$21&amp;"|"&amp;Calculate_cap_emi!$L$14:$L$21,
        Calculate_cap_emi!$AM$14:$AM$21, "Not found", 0),"HP",_xlfn.XLOOKUP(E76&amp;"|"&amp;B76,
        Calculate_cap_emi!$I$14:$I$21&amp;"|"&amp;Calculate_cap_emi!$L$14:$L$21,
        Calculate_cap_emi!$AK$14:$AK$21, "Not found", 0),"HPl",_xlfn.XLOOKUP(E76&amp;"|"&amp;B76,
        Calculate_cap_emi!$I$14:$I$21&amp;"|"&amp;Calculate_cap_emi!$L$14:$L$21,
        Calculate_cap_emi!$AN$14:$AN$21, "Not found", 0),"Missing")</f>
        <v>17.525923783101572</v>
      </c>
      <c r="R76" s="5" cm="1">
        <f t="array" ref="R76">_xlfn.SWITCH(F76,"R",_xlfn.XLOOKUP(E76&amp;"|"&amp;B76,
        Calculate_cap_emi!$I$14:$I$21&amp;"|"&amp;Calculate_cap_emi!$L$14:$L$21,
        Calculate_cap_emi!$AQ$14:$AQ$21, "Not found", 0),"Rb",_xlfn.XLOOKUP(E76&amp;"|"&amp;B76,
        Calculate_cap_emi!$I$14:$I$21&amp;"|"&amp;Calculate_cap_emi!$L$14:$L$21,
        Calculate_cap_emi!$AS$14:$AS$21, "Not found", 0),"Rl",_xlfn.XLOOKUP(E76&amp;"|"&amp;B76,
        Calculate_cap_emi!$I$14:$I$21&amp;"|"&amp;Calculate_cap_emi!$L$14:$L$21,
        Calculate_cap_emi!$AT$14:$AT$21, "Not found", 0),"HP",_xlfn.XLOOKUP(E76&amp;"|"&amp;B76,
        Calculate_cap_emi!$I$14:$I$21&amp;"|"&amp;Calculate_cap_emi!$L$14:$L$21,
        Calculate_cap_emi!$AR$14:$AR$21, "Not found", 0),"HPl",_xlfn.XLOOKUP(E76&amp;"|"&amp;B76,
        Calculate_cap_emi!$I$14:$I$21&amp;"|"&amp;Calculate_cap_emi!$L$14:$L$21,
        Calculate_cap_emi!$AU$14:$AU$21, "Not found", 0),"Missing")</f>
        <v>49.364444331176465</v>
      </c>
      <c r="S76" s="5" cm="1">
        <f t="array" ref="S76">_xlfn.SWITCH(F76,"R",_xlfn.XLOOKUP(E76&amp;"|"&amp;B76,
        Calculate_cap_emi!$I$14:$I$21&amp;"|"&amp;Calculate_cap_emi!$L$14:$L$21,
        Calculate_cap_emi!$AX$14:$AX$21, "Not found", 0),"Rb",_xlfn.XLOOKUP(E76&amp;"|"&amp;B76,
        Calculate_cap_emi!$I$14:$I$21&amp;"|"&amp;Calculate_cap_emi!$L$14:$L$21,
        Calculate_cap_emi!$AZ$14:$AZ$21, "Not found", 0),"Rl",_xlfn.XLOOKUP(E76&amp;"|"&amp;B76,
        Calculate_cap_emi!$I$14:$I$21&amp;"|"&amp;Calculate_cap_emi!$L$14:$L$21,
        Calculate_cap_emi!$BA$14:$BA$21, "Not found", 0),"HP",_xlfn.XLOOKUP(E76&amp;"|"&amp;B76,
        Calculate_cap_emi!$I$14:$I$21&amp;"|"&amp;Calculate_cap_emi!$L$14:$L$21,
        Calculate_cap_emi!$AY$14:$AY$21, "Not found", 0),"HPl",_xlfn.XLOOKUP(E76&amp;"|"&amp;B76,
        Calculate_cap_emi!$I$14:$I$21&amp;"|"&amp;Calculate_cap_emi!$L$14:$L$21,
        Calculate_cap_emi!$BB$14:$BB$21, "Not found", 0),"Missing")</f>
        <v>152.48438100000001</v>
      </c>
      <c r="T76" s="5" cm="1">
        <f t="array" ref="T76">_xlfn.SWITCH(F76,"R",_xlfn.XLOOKUP(E76&amp;"|"&amp;B76,
        Calculate_cap_emi!$I$14:$I$21&amp;"|"&amp;Calculate_cap_emi!$L$14:$L$21,
        Calculate_cap_emi!$BE$14:$BE$21, "Not found", 0),"Rb",_xlfn.XLOOKUP(E76&amp;"|"&amp;B76,
        Calculate_cap_emi!$I$14:$I$21&amp;"|"&amp;Calculate_cap_emi!$L$14:$L$21,
        Calculate_cap_emi!$BG$14:$BG$21, "Not found", 0),"Rl",_xlfn.XLOOKUP(E76&amp;"|"&amp;B76,
        Calculate_cap_emi!$I$14:$I$21&amp;"|"&amp;Calculate_cap_emi!$L$14:$L$21,
        Calculate_cap_emi!$BH$14:$BH$21, "Not found", 0),"HP",_xlfn.XLOOKUP(E76&amp;"|"&amp;B76,
        Calculate_cap_emi!$I$14:$I$21&amp;"|"&amp;Calculate_cap_emi!$L$14:$L$21,
        Calculate_cap_emi!$BF$14:$BF$21, "Not found", 0),"HPl",_xlfn.XLOOKUP(E76&amp;"|"&amp;B76,
        Calculate_cap_emi!$I$14:$I$21&amp;"|"&amp;Calculate_cap_emi!$L$14:$L$21,
        Calculate_cap_emi!$BI$14:$BI$21, "Not found", 0),"Missing")</f>
        <v>627.18976789411772</v>
      </c>
      <c r="U76" s="5" cm="1">
        <f t="array" ref="U76">_xlfn.SWITCH(F76,"R",_xlfn.XLOOKUP(E76&amp;"|"&amp;B76,
        Calculate_cap_emi_sens!$I$14:$I$21&amp;"|"&amp;Calculate_cap_emi_sens!$L$14:$L$21,
        Calculate_cap_emi_sens!$AX$14:$AX$21, "Not found", 0),"Rb",_xlfn.XLOOKUP(E76&amp;"|"&amp;B76,
        Calculate_cap_emi_sens!$I$14:$I$21&amp;"|"&amp;Calculate_cap_emi_sens!$L$14:$L$21,
        Calculate_cap_emi_sens!$AZ$14:$AZ$21, "Not found", 0),"Rl",_xlfn.XLOOKUP(E76&amp;"|"&amp;B76,
        Calculate_cap_emi_sens!$I$14:$I$21&amp;"|"&amp;Calculate_cap_emi_sens!$L$14:$L$21,
        Calculate_cap_emi_sens!$BA$14:$BA$21, "Not found", 0),"HP",_xlfn.XLOOKUP(E76&amp;"|"&amp;B76,
        Calculate_cap_emi_sens!$I$14:$I$21&amp;"|"&amp;Calculate_cap_emi_sens!$L$14:$L$21,
        Calculate_cap_emi_sens!$AY$14:$AY$21, "Not found", 0),"HPl",_xlfn.XLOOKUP(E76&amp;"|"&amp;B76,
        Calculate_cap_emi_sens!$I$14:$I$21&amp;"|"&amp;Calculate_cap_emi_sens!$L$14:$L$21,
        Calculate_cap_emi_sens!$BB$14:$BB$21, "Not found", 0),"Missing")</f>
        <v>64.914292540968958</v>
      </c>
      <c r="V76" s="5" cm="1">
        <f t="array" ref="V76">_xlfn.SWITCH(F76,"R",_xlfn.XLOOKUP(E76&amp;"|"&amp;B76,
        Calculate_cap_emi_sens!$I$14:$I$21&amp;"|"&amp;Calculate_cap_emi_sens!$L$14:$L$21,
        Calculate_cap_emi_sens!$BE$14:$BE$21, "Not found", 0),"Rb",_xlfn.XLOOKUP(E76&amp;"|"&amp;B76,
        Calculate_cap_emi_sens!$I$14:$I$21&amp;"|"&amp;Calculate_cap_emi_sens!$L$14:$L$21,
        Calculate_cap_emi_sens!$BG$14:$BG$21, "Not found", 0),"Rl",_xlfn.XLOOKUP(E76&amp;"|"&amp;B76,
        Calculate_cap_emi_sens!$I$14:$I$21&amp;"|"&amp;Calculate_cap_emi_sens!$L$14:$L$21,
        Calculate_cap_emi_sens!$BH$14:$BH$21, "Not found", 0),"HP",_xlfn.XLOOKUP(E76&amp;"|"&amp;B76,
        Calculate_cap_emi_sens!$I$14:$I$21&amp;"|"&amp;Calculate_cap_emi_sens!$L$14:$L$21,
        Calculate_cap_emi_sens!$BF$14:$BF$21, "Not found", 0),"HPl",_xlfn.XLOOKUP(E76&amp;"|"&amp;B76,
        Calculate_cap_emi_sens!$I$14:$I$21&amp;"|"&amp;Calculate_cap_emi_sens!$L$14:$L$21,
        Calculate_cap_emi_sens!$BI$14:$BI$21, "Not found", 0),"Missing")</f>
        <v>277.06852286860322</v>
      </c>
      <c r="W76" s="5">
        <f>Results_proc_ener!L76</f>
        <v>18698.535190588234</v>
      </c>
      <c r="X76" s="5">
        <f>Results_proc_ener!M76</f>
        <v>0</v>
      </c>
      <c r="Y76" s="5">
        <f>Results_proc_ener!N76</f>
        <v>0</v>
      </c>
      <c r="Z76" s="5">
        <f>Results_proc_ener!O76</f>
        <v>0</v>
      </c>
      <c r="AA76" s="5">
        <f>Results_proc_ener!P76</f>
        <v>0</v>
      </c>
      <c r="AB76" s="5">
        <f>Results_proc_ener!Q76</f>
        <v>371.17529968416966</v>
      </c>
      <c r="AC76" s="5">
        <f>Results_proc_ener!R76</f>
        <v>836.32540999411765</v>
      </c>
      <c r="AD76" s="5">
        <f>Results_proc_ener!S76</f>
        <v>2970.9842370000001</v>
      </c>
      <c r="AE76" s="5">
        <f>Results_proc_ener!T76</f>
        <v>3600.8819304705885</v>
      </c>
    </row>
    <row r="77" spans="1:31" x14ac:dyDescent="0.25">
      <c r="A77" s="5" t="s">
        <v>6</v>
      </c>
      <c r="B77" s="5" t="str">
        <f t="shared" si="3"/>
        <v>Mass-H1</v>
      </c>
      <c r="C77" s="5" t="str">
        <f t="shared" si="4"/>
        <v>Mass</v>
      </c>
      <c r="D77" s="5" t="str">
        <f t="shared" si="5"/>
        <v>H1</v>
      </c>
      <c r="E77" s="5" t="s">
        <v>11</v>
      </c>
      <c r="F77" s="5" t="s">
        <v>17</v>
      </c>
      <c r="G77" s="5"/>
      <c r="H77" s="5" cm="1">
        <f t="array" ref="H77">_xlfn.SWITCH(F77,"HP",_xlfn.XLOOKUP(E77&amp;"|"&amp;B77,
        Calculate_cap_emi!$I$14:$I$21&amp;"|"&amp;Calculate_cap_emi!$L$14:$L$21,
        Calculate_cap_emi!$X$14:$X$21, "Not found", 0),"HPl",_xlfn.XLOOKUP(E77&amp;"|"&amp;B77,
        Calculate_cap_emi!$I$14:$I$21&amp;"|"&amp;Calculate_cap_emi!$L$14:$L$21,
        Calculate_cap_emi!$AA$14:$AA$21, "Not found", 0),)</f>
        <v>5</v>
      </c>
      <c r="I77" s="5"/>
      <c r="J77" s="5"/>
      <c r="K77" s="5"/>
      <c r="L77" s="5" cm="1">
        <f t="array" ref="L77">_xlfn.SWITCH(F77,"R",_xlfn.XLOOKUP(E77&amp;"|"&amp;B77,
        Calculate_cap_emi!$I$14:$I$21&amp;"|"&amp;Calculate_cap_emi!$L$14:$L$21,
        Calculate_cap_emi!$AC$14:$AC$21, "Not found", 0),"Rb",_xlfn.XLOOKUP(E77&amp;"|"&amp;B77,
        Calculate_cap_emi!$I$14:$I$21&amp;"|"&amp;Calculate_cap_emi!$L$14:$L$21,
        Calculate_cap_emi!$AE$14:$AE$21, "Not found", 0),"Rl",_xlfn.XLOOKUP(E77&amp;"|"&amp;B77,
        Calculate_cap_emi!$I$14:$I$21&amp;"|"&amp;Calculate_cap_emi!$L$14:$L$21,
        Calculate_cap_emi!$AF$14:$AF$21, "Not found", 0),"HP",_xlfn.XLOOKUP(E77&amp;"|"&amp;B77,
        Calculate_cap_emi!$I$14:$I$21&amp;"|"&amp;Calculate_cap_emi!$L$14:$L$21,
        Calculate_cap_emi!$AD$14:$AD$21, "Not found", 0),"HPl",_xlfn.XLOOKUP(E77&amp;"|"&amp;B77,
        Calculate_cap_emi!$I$14:$I$21&amp;"|"&amp;Calculate_cap_emi!$L$14:$L$21,
        Calculate_cap_emi!$AG$14:$AG$21, "Not found", 0),"Missing")</f>
        <v>826.99974370588211</v>
      </c>
      <c r="M77" s="5"/>
      <c r="N77" s="5"/>
      <c r="O77" s="5"/>
      <c r="P77" s="5"/>
      <c r="Q77" s="5" cm="1">
        <f t="array" ref="Q77">_xlfn.SWITCH(F77,"R",_xlfn.XLOOKUP(E77&amp;"|"&amp;B77,
        Calculate_cap_emi!$I$14:$I$21&amp;"|"&amp;Calculate_cap_emi!$L$14:$L$21,
        Calculate_cap_emi!$AJ$14:$AJ$21, "Not found", 0),"Rb",_xlfn.XLOOKUP(E77&amp;"|"&amp;B77,
        Calculate_cap_emi!$I$14:$I$21&amp;"|"&amp;Calculate_cap_emi!$L$14:$L$21,
        Calculate_cap_emi!$AL$14:$AL$21, "Not found", 0),"Rl",_xlfn.XLOOKUP(E77&amp;"|"&amp;B77,
        Calculate_cap_emi!$I$14:$I$21&amp;"|"&amp;Calculate_cap_emi!$L$14:$L$21,
        Calculate_cap_emi!$AM$14:$AM$21, "Not found", 0),"HP",_xlfn.XLOOKUP(E77&amp;"|"&amp;B77,
        Calculate_cap_emi!$I$14:$I$21&amp;"|"&amp;Calculate_cap_emi!$L$14:$L$21,
        Calculate_cap_emi!$AK$14:$AK$21, "Not found", 0),"HPl",_xlfn.XLOOKUP(E77&amp;"|"&amp;B77,
        Calculate_cap_emi!$I$14:$I$21&amp;"|"&amp;Calculate_cap_emi!$L$14:$L$21,
        Calculate_cap_emi!$AN$14:$AN$21, "Not found", 0),"Missing")</f>
        <v>17.525923783101572</v>
      </c>
      <c r="R77" s="5" cm="1">
        <f t="array" ref="R77">_xlfn.SWITCH(F77,"R",_xlfn.XLOOKUP(E77&amp;"|"&amp;B77,
        Calculate_cap_emi!$I$14:$I$21&amp;"|"&amp;Calculate_cap_emi!$L$14:$L$21,
        Calculate_cap_emi!$AQ$14:$AQ$21, "Not found", 0),"Rb",_xlfn.XLOOKUP(E77&amp;"|"&amp;B77,
        Calculate_cap_emi!$I$14:$I$21&amp;"|"&amp;Calculate_cap_emi!$L$14:$L$21,
        Calculate_cap_emi!$AS$14:$AS$21, "Not found", 0),"Rl",_xlfn.XLOOKUP(E77&amp;"|"&amp;B77,
        Calculate_cap_emi!$I$14:$I$21&amp;"|"&amp;Calculate_cap_emi!$L$14:$L$21,
        Calculate_cap_emi!$AT$14:$AT$21, "Not found", 0),"HP",_xlfn.XLOOKUP(E77&amp;"|"&amp;B77,
        Calculate_cap_emi!$I$14:$I$21&amp;"|"&amp;Calculate_cap_emi!$L$14:$L$21,
        Calculate_cap_emi!$AR$14:$AR$21, "Not found", 0),"HPl",_xlfn.XLOOKUP(E77&amp;"|"&amp;B77,
        Calculate_cap_emi!$I$14:$I$21&amp;"|"&amp;Calculate_cap_emi!$L$14:$L$21,
        Calculate_cap_emi!$AU$14:$AU$21, "Not found", 0),"Missing")</f>
        <v>49.364444331176465</v>
      </c>
      <c r="S77" s="5" cm="1">
        <f t="array" ref="S77">_xlfn.SWITCH(F77,"R",_xlfn.XLOOKUP(E77&amp;"|"&amp;B77,
        Calculate_cap_emi!$I$14:$I$21&amp;"|"&amp;Calculate_cap_emi!$L$14:$L$21,
        Calculate_cap_emi!$AX$14:$AX$21, "Not found", 0),"Rb",_xlfn.XLOOKUP(E77&amp;"|"&amp;B77,
        Calculate_cap_emi!$I$14:$I$21&amp;"|"&amp;Calculate_cap_emi!$L$14:$L$21,
        Calculate_cap_emi!$AZ$14:$AZ$21, "Not found", 0),"Rl",_xlfn.XLOOKUP(E77&amp;"|"&amp;B77,
        Calculate_cap_emi!$I$14:$I$21&amp;"|"&amp;Calculate_cap_emi!$L$14:$L$21,
        Calculate_cap_emi!$BA$14:$BA$21, "Not found", 0),"HP",_xlfn.XLOOKUP(E77&amp;"|"&amp;B77,
        Calculate_cap_emi!$I$14:$I$21&amp;"|"&amp;Calculate_cap_emi!$L$14:$L$21,
        Calculate_cap_emi!$AY$14:$AY$21, "Not found", 0),"HPl",_xlfn.XLOOKUP(E77&amp;"|"&amp;B77,
        Calculate_cap_emi!$I$14:$I$21&amp;"|"&amp;Calculate_cap_emi!$L$14:$L$21,
        Calculate_cap_emi!$BB$14:$BB$21, "Not found", 0),"Missing")</f>
        <v>152.48438100000001</v>
      </c>
      <c r="T77" s="5" cm="1">
        <f t="array" ref="T77">_xlfn.SWITCH(F77,"R",_xlfn.XLOOKUP(E77&amp;"|"&amp;B77,
        Calculate_cap_emi!$I$14:$I$21&amp;"|"&amp;Calculate_cap_emi!$L$14:$L$21,
        Calculate_cap_emi!$BE$14:$BE$21, "Not found", 0),"Rb",_xlfn.XLOOKUP(E77&amp;"|"&amp;B77,
        Calculate_cap_emi!$I$14:$I$21&amp;"|"&amp;Calculate_cap_emi!$L$14:$L$21,
        Calculate_cap_emi!$BG$14:$BG$21, "Not found", 0),"Rl",_xlfn.XLOOKUP(E77&amp;"|"&amp;B77,
        Calculate_cap_emi!$I$14:$I$21&amp;"|"&amp;Calculate_cap_emi!$L$14:$L$21,
        Calculate_cap_emi!$BH$14:$BH$21, "Not found", 0),"HP",_xlfn.XLOOKUP(E77&amp;"|"&amp;B77,
        Calculate_cap_emi!$I$14:$I$21&amp;"|"&amp;Calculate_cap_emi!$L$14:$L$21,
        Calculate_cap_emi!$BF$14:$BF$21, "Not found", 0),"HPl",_xlfn.XLOOKUP(E77&amp;"|"&amp;B77,
        Calculate_cap_emi!$I$14:$I$21&amp;"|"&amp;Calculate_cap_emi!$L$14:$L$21,
        Calculate_cap_emi!$BI$14:$BI$21, "Not found", 0),"Missing")</f>
        <v>627.18976789411772</v>
      </c>
      <c r="U77" s="5" cm="1">
        <f t="array" ref="U77">_xlfn.SWITCH(F77,"R",_xlfn.XLOOKUP(E77&amp;"|"&amp;B77,
        Calculate_cap_emi_sens!$I$14:$I$21&amp;"|"&amp;Calculate_cap_emi_sens!$L$14:$L$21,
        Calculate_cap_emi_sens!$AX$14:$AX$21, "Not found", 0),"Rb",_xlfn.XLOOKUP(E77&amp;"|"&amp;B77,
        Calculate_cap_emi_sens!$I$14:$I$21&amp;"|"&amp;Calculate_cap_emi_sens!$L$14:$L$21,
        Calculate_cap_emi_sens!$AZ$14:$AZ$21, "Not found", 0),"Rl",_xlfn.XLOOKUP(E77&amp;"|"&amp;B77,
        Calculate_cap_emi_sens!$I$14:$I$21&amp;"|"&amp;Calculate_cap_emi_sens!$L$14:$L$21,
        Calculate_cap_emi_sens!$BA$14:$BA$21, "Not found", 0),"HP",_xlfn.XLOOKUP(E77&amp;"|"&amp;B77,
        Calculate_cap_emi_sens!$I$14:$I$21&amp;"|"&amp;Calculate_cap_emi_sens!$L$14:$L$21,
        Calculate_cap_emi_sens!$AY$14:$AY$21, "Not found", 0),"HPl",_xlfn.XLOOKUP(E77&amp;"|"&amp;B77,
        Calculate_cap_emi_sens!$I$14:$I$21&amp;"|"&amp;Calculate_cap_emi_sens!$L$14:$L$21,
        Calculate_cap_emi_sens!$BB$14:$BB$21, "Not found", 0),"Missing")</f>
        <v>64.914292540968958</v>
      </c>
      <c r="V77" s="5" cm="1">
        <f t="array" ref="V77">_xlfn.SWITCH(F77,"R",_xlfn.XLOOKUP(E77&amp;"|"&amp;B77,
        Calculate_cap_emi_sens!$I$14:$I$21&amp;"|"&amp;Calculate_cap_emi_sens!$L$14:$L$21,
        Calculate_cap_emi_sens!$BE$14:$BE$21, "Not found", 0),"Rb",_xlfn.XLOOKUP(E77&amp;"|"&amp;B77,
        Calculate_cap_emi_sens!$I$14:$I$21&amp;"|"&amp;Calculate_cap_emi_sens!$L$14:$L$21,
        Calculate_cap_emi_sens!$BG$14:$BG$21, "Not found", 0),"Rl",_xlfn.XLOOKUP(E77&amp;"|"&amp;B77,
        Calculate_cap_emi_sens!$I$14:$I$21&amp;"|"&amp;Calculate_cap_emi_sens!$L$14:$L$21,
        Calculate_cap_emi_sens!$BH$14:$BH$21, "Not found", 0),"HP",_xlfn.XLOOKUP(E77&amp;"|"&amp;B77,
        Calculate_cap_emi_sens!$I$14:$I$21&amp;"|"&amp;Calculate_cap_emi_sens!$L$14:$L$21,
        Calculate_cap_emi_sens!$BF$14:$BF$21, "Not found", 0),"HPl",_xlfn.XLOOKUP(E77&amp;"|"&amp;B77,
        Calculate_cap_emi_sens!$I$14:$I$21&amp;"|"&amp;Calculate_cap_emi_sens!$L$14:$L$21,
        Calculate_cap_emi_sens!$BI$14:$BI$21, "Not found", 0),"Missing")</f>
        <v>277.06852286860322</v>
      </c>
      <c r="W77" s="5">
        <f>Results_proc_ener!L77</f>
        <v>18698.535190588234</v>
      </c>
      <c r="X77" s="5">
        <f>Results_proc_ener!M77</f>
        <v>0</v>
      </c>
      <c r="Y77" s="5">
        <f>Results_proc_ener!N77</f>
        <v>0</v>
      </c>
      <c r="Z77" s="5">
        <f>Results_proc_ener!O77</f>
        <v>0</v>
      </c>
      <c r="AA77" s="5">
        <f>Results_proc_ener!P77</f>
        <v>0</v>
      </c>
      <c r="AB77" s="5">
        <f>Results_proc_ener!Q77</f>
        <v>371.17529968416966</v>
      </c>
      <c r="AC77" s="5">
        <f>Results_proc_ener!R77</f>
        <v>836.32540999411765</v>
      </c>
      <c r="AD77" s="5">
        <f>Results_proc_ener!S77</f>
        <v>2970.9842370000001</v>
      </c>
      <c r="AE77" s="5">
        <f>Results_proc_ener!T77</f>
        <v>3600.8819304705885</v>
      </c>
    </row>
    <row r="78" spans="1:31" x14ac:dyDescent="0.25">
      <c r="A78" s="5" t="s">
        <v>7</v>
      </c>
      <c r="B78" s="5" t="str">
        <f t="shared" si="3"/>
        <v>Mod-Nom</v>
      </c>
      <c r="C78" s="5" t="str">
        <f t="shared" si="4"/>
        <v>Mod</v>
      </c>
      <c r="D78" s="5" t="str">
        <f t="shared" si="5"/>
        <v>Nom</v>
      </c>
      <c r="E78" s="5" t="s">
        <v>11</v>
      </c>
      <c r="F78" s="5" t="s">
        <v>17</v>
      </c>
      <c r="G78" s="5"/>
      <c r="H78" s="5" cm="1">
        <f t="array" ref="H78">_xlfn.SWITCH(F78,"HP",_xlfn.XLOOKUP(E78&amp;"|"&amp;B78,
        Calculate_cap_emi!$I$14:$I$21&amp;"|"&amp;Calculate_cap_emi!$L$14:$L$21,
        Calculate_cap_emi!$X$14:$X$21, "Not found", 0),"HPl",_xlfn.XLOOKUP(E78&amp;"|"&amp;B78,
        Calculate_cap_emi!$I$14:$I$21&amp;"|"&amp;Calculate_cap_emi!$L$14:$L$21,
        Calculate_cap_emi!$AA$14:$AA$21, "Not found", 0),)</f>
        <v>9.5</v>
      </c>
      <c r="I78" s="5"/>
      <c r="J78" s="5"/>
      <c r="K78" s="5"/>
      <c r="L78" s="5" cm="1">
        <f t="array" ref="L78">_xlfn.SWITCH(F78,"R",_xlfn.XLOOKUP(E78&amp;"|"&amp;B78,
        Calculate_cap_emi!$I$14:$I$21&amp;"|"&amp;Calculate_cap_emi!$L$14:$L$21,
        Calculate_cap_emi!$AC$14:$AC$21, "Not found", 0),"Rb",_xlfn.XLOOKUP(E78&amp;"|"&amp;B78,
        Calculate_cap_emi!$I$14:$I$21&amp;"|"&amp;Calculate_cap_emi!$L$14:$L$21,
        Calculate_cap_emi!$AE$14:$AE$21, "Not found", 0),"Rl",_xlfn.XLOOKUP(E78&amp;"|"&amp;B78,
        Calculate_cap_emi!$I$14:$I$21&amp;"|"&amp;Calculate_cap_emi!$L$14:$L$21,
        Calculate_cap_emi!$AF$14:$AF$21, "Not found", 0),"HP",_xlfn.XLOOKUP(E78&amp;"|"&amp;B78,
        Calculate_cap_emi!$I$14:$I$21&amp;"|"&amp;Calculate_cap_emi!$L$14:$L$21,
        Calculate_cap_emi!$AD$14:$AD$21, "Not found", 0),"HPl",_xlfn.XLOOKUP(E78&amp;"|"&amp;B78,
        Calculate_cap_emi!$I$14:$I$21&amp;"|"&amp;Calculate_cap_emi!$L$14:$L$21,
        Calculate_cap_emi!$AG$14:$AG$21, "Not found", 0),"Missing")</f>
        <v>1125.6335773941175</v>
      </c>
      <c r="M78" s="5"/>
      <c r="N78" s="5"/>
      <c r="O78" s="5"/>
      <c r="P78" s="5"/>
      <c r="Q78" s="5" cm="1">
        <f t="array" ref="Q78">_xlfn.SWITCH(F78,"R",_xlfn.XLOOKUP(E78&amp;"|"&amp;B78,
        Calculate_cap_emi!$I$14:$I$21&amp;"|"&amp;Calculate_cap_emi!$L$14:$L$21,
        Calculate_cap_emi!$AJ$14:$AJ$21, "Not found", 0),"Rb",_xlfn.XLOOKUP(E78&amp;"|"&amp;B78,
        Calculate_cap_emi!$I$14:$I$21&amp;"|"&amp;Calculate_cap_emi!$L$14:$L$21,
        Calculate_cap_emi!$AL$14:$AL$21, "Not found", 0),"Rl",_xlfn.XLOOKUP(E78&amp;"|"&amp;B78,
        Calculate_cap_emi!$I$14:$I$21&amp;"|"&amp;Calculate_cap_emi!$L$14:$L$21,
        Calculate_cap_emi!$AM$14:$AM$21, "Not found", 0),"HP",_xlfn.XLOOKUP(E78&amp;"|"&amp;B78,
        Calculate_cap_emi!$I$14:$I$21&amp;"|"&amp;Calculate_cap_emi!$L$14:$L$21,
        Calculate_cap_emi!$AK$14:$AK$21, "Not found", 0),"HPl",_xlfn.XLOOKUP(E78&amp;"|"&amp;B78,
        Calculate_cap_emi!$I$14:$I$21&amp;"|"&amp;Calculate_cap_emi!$L$14:$L$21,
        Calculate_cap_emi!$AN$14:$AN$21, "Not found", 0),"Missing")</f>
        <v>25.033918701624987</v>
      </c>
      <c r="R78" s="5" cm="1">
        <f t="array" ref="R78">_xlfn.SWITCH(F78,"R",_xlfn.XLOOKUP(E78&amp;"|"&amp;B78,
        Calculate_cap_emi!$I$14:$I$21&amp;"|"&amp;Calculate_cap_emi!$L$14:$L$21,
        Calculate_cap_emi!$AQ$14:$AQ$21, "Not found", 0),"Rb",_xlfn.XLOOKUP(E78&amp;"|"&amp;B78,
        Calculate_cap_emi!$I$14:$I$21&amp;"|"&amp;Calculate_cap_emi!$L$14:$L$21,
        Calculate_cap_emi!$AS$14:$AS$21, "Not found", 0),"Rl",_xlfn.XLOOKUP(E78&amp;"|"&amp;B78,
        Calculate_cap_emi!$I$14:$I$21&amp;"|"&amp;Calculate_cap_emi!$L$14:$L$21,
        Calculate_cap_emi!$AT$14:$AT$21, "Not found", 0),"HP",_xlfn.XLOOKUP(E78&amp;"|"&amp;B78,
        Calculate_cap_emi!$I$14:$I$21&amp;"|"&amp;Calculate_cap_emi!$L$14:$L$21,
        Calculate_cap_emi!$AR$14:$AR$21, "Not found", 0),"HPl",_xlfn.XLOOKUP(E78&amp;"|"&amp;B78,
        Calculate_cap_emi!$I$14:$I$21&amp;"|"&amp;Calculate_cap_emi!$L$14:$L$21,
        Calculate_cap_emi!$AU$14:$AU$21, "Not found", 0),"Missing")</f>
        <v>92.559891418235281</v>
      </c>
      <c r="S78" s="5" cm="1">
        <f t="array" ref="S78">_xlfn.SWITCH(F78,"R",_xlfn.XLOOKUP(E78&amp;"|"&amp;B78,
        Calculate_cap_emi!$I$14:$I$21&amp;"|"&amp;Calculate_cap_emi!$L$14:$L$21,
        Calculate_cap_emi!$AX$14:$AX$21, "Not found", 0),"Rb",_xlfn.XLOOKUP(E78&amp;"|"&amp;B78,
        Calculate_cap_emi!$I$14:$I$21&amp;"|"&amp;Calculate_cap_emi!$L$14:$L$21,
        Calculate_cap_emi!$AZ$14:$AZ$21, "Not found", 0),"Rl",_xlfn.XLOOKUP(E78&amp;"|"&amp;B78,
        Calculate_cap_emi!$I$14:$I$21&amp;"|"&amp;Calculate_cap_emi!$L$14:$L$21,
        Calculate_cap_emi!$BA$14:$BA$21, "Not found", 0),"HP",_xlfn.XLOOKUP(E78&amp;"|"&amp;B78,
        Calculate_cap_emi!$I$14:$I$21&amp;"|"&amp;Calculate_cap_emi!$L$14:$L$21,
        Calculate_cap_emi!$AY$14:$AY$21, "Not found", 0),"HPl",_xlfn.XLOOKUP(E78&amp;"|"&amp;B78,
        Calculate_cap_emi!$I$14:$I$21&amp;"|"&amp;Calculate_cap_emi!$L$14:$L$21,
        Calculate_cap_emi!$BB$14:$BB$21, "Not found", 0),"Missing")</f>
        <v>198.94481160000001</v>
      </c>
      <c r="T78" s="5" cm="1">
        <f t="array" ref="T78">_xlfn.SWITCH(F78,"R",_xlfn.XLOOKUP(E78&amp;"|"&amp;B78,
        Calculate_cap_emi!$I$14:$I$21&amp;"|"&amp;Calculate_cap_emi!$L$14:$L$21,
        Calculate_cap_emi!$BE$14:$BE$21, "Not found", 0),"Rb",_xlfn.XLOOKUP(E78&amp;"|"&amp;B78,
        Calculate_cap_emi!$I$14:$I$21&amp;"|"&amp;Calculate_cap_emi!$L$14:$L$21,
        Calculate_cap_emi!$BG$14:$BG$21, "Not found", 0),"Rl",_xlfn.XLOOKUP(E78&amp;"|"&amp;B78,
        Calculate_cap_emi!$I$14:$I$21&amp;"|"&amp;Calculate_cap_emi!$L$14:$L$21,
        Calculate_cap_emi!$BH$14:$BH$21, "Not found", 0),"HP",_xlfn.XLOOKUP(E78&amp;"|"&amp;B78,
        Calculate_cap_emi!$I$14:$I$21&amp;"|"&amp;Calculate_cap_emi!$L$14:$L$21,
        Calculate_cap_emi!$BF$14:$BF$21, "Not found", 0),"HPl",_xlfn.XLOOKUP(E78&amp;"|"&amp;B78,
        Calculate_cap_emi!$I$14:$I$21&amp;"|"&amp;Calculate_cap_emi!$L$14:$L$21,
        Calculate_cap_emi!$BI$14:$BI$21, "Not found", 0),"Missing")</f>
        <v>731.09561749411762</v>
      </c>
      <c r="U78" s="5" cm="1">
        <f t="array" ref="U78">_xlfn.SWITCH(F78,"R",_xlfn.XLOOKUP(E78&amp;"|"&amp;B78,
        Calculate_cap_emi_sens!$I$14:$I$21&amp;"|"&amp;Calculate_cap_emi_sens!$L$14:$L$21,
        Calculate_cap_emi_sens!$AX$14:$AX$21, "Not found", 0),"Rb",_xlfn.XLOOKUP(E78&amp;"|"&amp;B78,
        Calculate_cap_emi_sens!$I$14:$I$21&amp;"|"&amp;Calculate_cap_emi_sens!$L$14:$L$21,
        Calculate_cap_emi_sens!$AZ$14:$AZ$21, "Not found", 0),"Rl",_xlfn.XLOOKUP(E78&amp;"|"&amp;B78,
        Calculate_cap_emi_sens!$I$14:$I$21&amp;"|"&amp;Calculate_cap_emi_sens!$L$14:$L$21,
        Calculate_cap_emi_sens!$BA$14:$BA$21, "Not found", 0),"HP",_xlfn.XLOOKUP(E78&amp;"|"&amp;B78,
        Calculate_cap_emi_sens!$I$14:$I$21&amp;"|"&amp;Calculate_cap_emi_sens!$L$14:$L$21,
        Calculate_cap_emi_sens!$AY$14:$AY$21, "Not found", 0),"HPl",_xlfn.XLOOKUP(E78&amp;"|"&amp;B78,
        Calculate_cap_emi_sens!$I$14:$I$21&amp;"|"&amp;Calculate_cap_emi_sens!$L$14:$L$21,
        Calculate_cap_emi_sens!$BB$14:$BB$21, "Not found", 0),"Missing")</f>
        <v>96.239671214707855</v>
      </c>
      <c r="V78" s="5" cm="1">
        <f t="array" ref="V78">_xlfn.SWITCH(F78,"R",_xlfn.XLOOKUP(E78&amp;"|"&amp;B78,
        Calculate_cap_emi_sens!$I$14:$I$21&amp;"|"&amp;Calculate_cap_emi_sens!$L$14:$L$21,
        Calculate_cap_emi_sens!$BE$14:$BE$21, "Not found", 0),"Rb",_xlfn.XLOOKUP(E78&amp;"|"&amp;B78,
        Calculate_cap_emi_sens!$I$14:$I$21&amp;"|"&amp;Calculate_cap_emi_sens!$L$14:$L$21,
        Calculate_cap_emi_sens!$BG$14:$BG$21, "Not found", 0),"Rl",_xlfn.XLOOKUP(E78&amp;"|"&amp;B78,
        Calculate_cap_emi_sens!$I$14:$I$21&amp;"|"&amp;Calculate_cap_emi_sens!$L$14:$L$21,
        Calculate_cap_emi_sens!$BH$14:$BH$21, "Not found", 0),"HP",_xlfn.XLOOKUP(E78&amp;"|"&amp;B78,
        Calculate_cap_emi_sens!$I$14:$I$21&amp;"|"&amp;Calculate_cap_emi_sens!$L$14:$L$21,
        Calculate_cap_emi_sens!$BF$14:$BF$21, "Not found", 0),"HPl",_xlfn.XLOOKUP(E78&amp;"|"&amp;B78,
        Calculate_cap_emi_sens!$I$14:$I$21&amp;"|"&amp;Calculate_cap_emi_sens!$L$14:$L$21,
        Calculate_cap_emi_sens!$BI$14:$BI$21, "Not found", 0),"Missing")</f>
        <v>268.77709364328484</v>
      </c>
      <c r="W78" s="5">
        <f>Results_proc_ener!L78</f>
        <v>27216.436812352942</v>
      </c>
      <c r="X78" s="5">
        <f>Results_proc_ener!M78</f>
        <v>0</v>
      </c>
      <c r="Y78" s="5">
        <f>Results_proc_ener!N78</f>
        <v>0</v>
      </c>
      <c r="Z78" s="5">
        <f>Results_proc_ener!O78</f>
        <v>0</v>
      </c>
      <c r="AA78" s="5">
        <f>Results_proc_ener!P78</f>
        <v>0</v>
      </c>
      <c r="AB78" s="5">
        <f>Results_proc_ener!Q78</f>
        <v>530.18445083642757</v>
      </c>
      <c r="AC78" s="5">
        <f>Results_proc_ener!R78</f>
        <v>1382.9990530588236</v>
      </c>
      <c r="AD78" s="5">
        <f>Results_proc_ener!S78</f>
        <v>5984.3969230000002</v>
      </c>
      <c r="AE78" s="5">
        <f>Results_proc_ener!T78</f>
        <v>5216.1113587058817</v>
      </c>
    </row>
    <row r="79" spans="1:31" x14ac:dyDescent="0.25">
      <c r="A79" s="5" t="s">
        <v>8</v>
      </c>
      <c r="B79" s="5" t="str">
        <f t="shared" si="3"/>
        <v>Mod-Nom</v>
      </c>
      <c r="C79" s="5" t="str">
        <f t="shared" si="4"/>
        <v>Mod</v>
      </c>
      <c r="D79" s="5" t="str">
        <f t="shared" si="5"/>
        <v>Nom</v>
      </c>
      <c r="E79" s="5" t="s">
        <v>11</v>
      </c>
      <c r="F79" s="5" t="s">
        <v>17</v>
      </c>
      <c r="G79" s="5"/>
      <c r="H79" s="5" cm="1">
        <f t="array" ref="H79">_xlfn.SWITCH(F79,"HP",_xlfn.XLOOKUP(E79&amp;"|"&amp;B79,
        Calculate_cap_emi!$I$14:$I$21&amp;"|"&amp;Calculate_cap_emi!$L$14:$L$21,
        Calculate_cap_emi!$X$14:$X$21, "Not found", 0),"HPl",_xlfn.XLOOKUP(E79&amp;"|"&amp;B79,
        Calculate_cap_emi!$I$14:$I$21&amp;"|"&amp;Calculate_cap_emi!$L$14:$L$21,
        Calculate_cap_emi!$AA$14:$AA$21, "Not found", 0),)</f>
        <v>9.5</v>
      </c>
      <c r="I79" s="5"/>
      <c r="J79" s="5"/>
      <c r="K79" s="5"/>
      <c r="L79" s="5" cm="1">
        <f t="array" ref="L79">_xlfn.SWITCH(F79,"R",_xlfn.XLOOKUP(E79&amp;"|"&amp;B79,
        Calculate_cap_emi!$I$14:$I$21&amp;"|"&amp;Calculate_cap_emi!$L$14:$L$21,
        Calculate_cap_emi!$AC$14:$AC$21, "Not found", 0),"Rb",_xlfn.XLOOKUP(E79&amp;"|"&amp;B79,
        Calculate_cap_emi!$I$14:$I$21&amp;"|"&amp;Calculate_cap_emi!$L$14:$L$21,
        Calculate_cap_emi!$AE$14:$AE$21, "Not found", 0),"Rl",_xlfn.XLOOKUP(E79&amp;"|"&amp;B79,
        Calculate_cap_emi!$I$14:$I$21&amp;"|"&amp;Calculate_cap_emi!$L$14:$L$21,
        Calculate_cap_emi!$AF$14:$AF$21, "Not found", 0),"HP",_xlfn.XLOOKUP(E79&amp;"|"&amp;B79,
        Calculate_cap_emi!$I$14:$I$21&amp;"|"&amp;Calculate_cap_emi!$L$14:$L$21,
        Calculate_cap_emi!$AD$14:$AD$21, "Not found", 0),"HPl",_xlfn.XLOOKUP(E79&amp;"|"&amp;B79,
        Calculate_cap_emi!$I$14:$I$21&amp;"|"&amp;Calculate_cap_emi!$L$14:$L$21,
        Calculate_cap_emi!$AG$14:$AG$21, "Not found", 0),"Missing")</f>
        <v>1125.6335773941175</v>
      </c>
      <c r="M79" s="5"/>
      <c r="N79" s="5"/>
      <c r="O79" s="5"/>
      <c r="P79" s="5"/>
      <c r="Q79" s="5" cm="1">
        <f t="array" ref="Q79">_xlfn.SWITCH(F79,"R",_xlfn.XLOOKUP(E79&amp;"|"&amp;B79,
        Calculate_cap_emi!$I$14:$I$21&amp;"|"&amp;Calculate_cap_emi!$L$14:$L$21,
        Calculate_cap_emi!$AJ$14:$AJ$21, "Not found", 0),"Rb",_xlfn.XLOOKUP(E79&amp;"|"&amp;B79,
        Calculate_cap_emi!$I$14:$I$21&amp;"|"&amp;Calculate_cap_emi!$L$14:$L$21,
        Calculate_cap_emi!$AL$14:$AL$21, "Not found", 0),"Rl",_xlfn.XLOOKUP(E79&amp;"|"&amp;B79,
        Calculate_cap_emi!$I$14:$I$21&amp;"|"&amp;Calculate_cap_emi!$L$14:$L$21,
        Calculate_cap_emi!$AM$14:$AM$21, "Not found", 0),"HP",_xlfn.XLOOKUP(E79&amp;"|"&amp;B79,
        Calculate_cap_emi!$I$14:$I$21&amp;"|"&amp;Calculate_cap_emi!$L$14:$L$21,
        Calculate_cap_emi!$AK$14:$AK$21, "Not found", 0),"HPl",_xlfn.XLOOKUP(E79&amp;"|"&amp;B79,
        Calculate_cap_emi!$I$14:$I$21&amp;"|"&amp;Calculate_cap_emi!$L$14:$L$21,
        Calculate_cap_emi!$AN$14:$AN$21, "Not found", 0),"Missing")</f>
        <v>25.033918701624987</v>
      </c>
      <c r="R79" s="5" cm="1">
        <f t="array" ref="R79">_xlfn.SWITCH(F79,"R",_xlfn.XLOOKUP(E79&amp;"|"&amp;B79,
        Calculate_cap_emi!$I$14:$I$21&amp;"|"&amp;Calculate_cap_emi!$L$14:$L$21,
        Calculate_cap_emi!$AQ$14:$AQ$21, "Not found", 0),"Rb",_xlfn.XLOOKUP(E79&amp;"|"&amp;B79,
        Calculate_cap_emi!$I$14:$I$21&amp;"|"&amp;Calculate_cap_emi!$L$14:$L$21,
        Calculate_cap_emi!$AS$14:$AS$21, "Not found", 0),"Rl",_xlfn.XLOOKUP(E79&amp;"|"&amp;B79,
        Calculate_cap_emi!$I$14:$I$21&amp;"|"&amp;Calculate_cap_emi!$L$14:$L$21,
        Calculate_cap_emi!$AT$14:$AT$21, "Not found", 0),"HP",_xlfn.XLOOKUP(E79&amp;"|"&amp;B79,
        Calculate_cap_emi!$I$14:$I$21&amp;"|"&amp;Calculate_cap_emi!$L$14:$L$21,
        Calculate_cap_emi!$AR$14:$AR$21, "Not found", 0),"HPl",_xlfn.XLOOKUP(E79&amp;"|"&amp;B79,
        Calculate_cap_emi!$I$14:$I$21&amp;"|"&amp;Calculate_cap_emi!$L$14:$L$21,
        Calculate_cap_emi!$AU$14:$AU$21, "Not found", 0),"Missing")</f>
        <v>92.559891418235281</v>
      </c>
      <c r="S79" s="5" cm="1">
        <f t="array" ref="S79">_xlfn.SWITCH(F79,"R",_xlfn.XLOOKUP(E79&amp;"|"&amp;B79,
        Calculate_cap_emi!$I$14:$I$21&amp;"|"&amp;Calculate_cap_emi!$L$14:$L$21,
        Calculate_cap_emi!$AX$14:$AX$21, "Not found", 0),"Rb",_xlfn.XLOOKUP(E79&amp;"|"&amp;B79,
        Calculate_cap_emi!$I$14:$I$21&amp;"|"&amp;Calculate_cap_emi!$L$14:$L$21,
        Calculate_cap_emi!$AZ$14:$AZ$21, "Not found", 0),"Rl",_xlfn.XLOOKUP(E79&amp;"|"&amp;B79,
        Calculate_cap_emi!$I$14:$I$21&amp;"|"&amp;Calculate_cap_emi!$L$14:$L$21,
        Calculate_cap_emi!$BA$14:$BA$21, "Not found", 0),"HP",_xlfn.XLOOKUP(E79&amp;"|"&amp;B79,
        Calculate_cap_emi!$I$14:$I$21&amp;"|"&amp;Calculate_cap_emi!$L$14:$L$21,
        Calculate_cap_emi!$AY$14:$AY$21, "Not found", 0),"HPl",_xlfn.XLOOKUP(E79&amp;"|"&amp;B79,
        Calculate_cap_emi!$I$14:$I$21&amp;"|"&amp;Calculate_cap_emi!$L$14:$L$21,
        Calculate_cap_emi!$BB$14:$BB$21, "Not found", 0),"Missing")</f>
        <v>198.94481160000001</v>
      </c>
      <c r="T79" s="5" cm="1">
        <f t="array" ref="T79">_xlfn.SWITCH(F79,"R",_xlfn.XLOOKUP(E79&amp;"|"&amp;B79,
        Calculate_cap_emi!$I$14:$I$21&amp;"|"&amp;Calculate_cap_emi!$L$14:$L$21,
        Calculate_cap_emi!$BE$14:$BE$21, "Not found", 0),"Rb",_xlfn.XLOOKUP(E79&amp;"|"&amp;B79,
        Calculate_cap_emi!$I$14:$I$21&amp;"|"&amp;Calculate_cap_emi!$L$14:$L$21,
        Calculate_cap_emi!$BG$14:$BG$21, "Not found", 0),"Rl",_xlfn.XLOOKUP(E79&amp;"|"&amp;B79,
        Calculate_cap_emi!$I$14:$I$21&amp;"|"&amp;Calculate_cap_emi!$L$14:$L$21,
        Calculate_cap_emi!$BH$14:$BH$21, "Not found", 0),"HP",_xlfn.XLOOKUP(E79&amp;"|"&amp;B79,
        Calculate_cap_emi!$I$14:$I$21&amp;"|"&amp;Calculate_cap_emi!$L$14:$L$21,
        Calculate_cap_emi!$BF$14:$BF$21, "Not found", 0),"HPl",_xlfn.XLOOKUP(E79&amp;"|"&amp;B79,
        Calculate_cap_emi!$I$14:$I$21&amp;"|"&amp;Calculate_cap_emi!$L$14:$L$21,
        Calculate_cap_emi!$BI$14:$BI$21, "Not found", 0),"Missing")</f>
        <v>731.09561749411762</v>
      </c>
      <c r="U79" s="5" cm="1">
        <f t="array" ref="U79">_xlfn.SWITCH(F79,"R",_xlfn.XLOOKUP(E79&amp;"|"&amp;B79,
        Calculate_cap_emi_sens!$I$14:$I$21&amp;"|"&amp;Calculate_cap_emi_sens!$L$14:$L$21,
        Calculate_cap_emi_sens!$AX$14:$AX$21, "Not found", 0),"Rb",_xlfn.XLOOKUP(E79&amp;"|"&amp;B79,
        Calculate_cap_emi_sens!$I$14:$I$21&amp;"|"&amp;Calculate_cap_emi_sens!$L$14:$L$21,
        Calculate_cap_emi_sens!$AZ$14:$AZ$21, "Not found", 0),"Rl",_xlfn.XLOOKUP(E79&amp;"|"&amp;B79,
        Calculate_cap_emi_sens!$I$14:$I$21&amp;"|"&amp;Calculate_cap_emi_sens!$L$14:$L$21,
        Calculate_cap_emi_sens!$BA$14:$BA$21, "Not found", 0),"HP",_xlfn.XLOOKUP(E79&amp;"|"&amp;B79,
        Calculate_cap_emi_sens!$I$14:$I$21&amp;"|"&amp;Calculate_cap_emi_sens!$L$14:$L$21,
        Calculate_cap_emi_sens!$AY$14:$AY$21, "Not found", 0),"HPl",_xlfn.XLOOKUP(E79&amp;"|"&amp;B79,
        Calculate_cap_emi_sens!$I$14:$I$21&amp;"|"&amp;Calculate_cap_emi_sens!$L$14:$L$21,
        Calculate_cap_emi_sens!$BB$14:$BB$21, "Not found", 0),"Missing")</f>
        <v>96.239671214707855</v>
      </c>
      <c r="V79" s="5" cm="1">
        <f t="array" ref="V79">_xlfn.SWITCH(F79,"R",_xlfn.XLOOKUP(E79&amp;"|"&amp;B79,
        Calculate_cap_emi_sens!$I$14:$I$21&amp;"|"&amp;Calculate_cap_emi_sens!$L$14:$L$21,
        Calculate_cap_emi_sens!$BE$14:$BE$21, "Not found", 0),"Rb",_xlfn.XLOOKUP(E79&amp;"|"&amp;B79,
        Calculate_cap_emi_sens!$I$14:$I$21&amp;"|"&amp;Calculate_cap_emi_sens!$L$14:$L$21,
        Calculate_cap_emi_sens!$BG$14:$BG$21, "Not found", 0),"Rl",_xlfn.XLOOKUP(E79&amp;"|"&amp;B79,
        Calculate_cap_emi_sens!$I$14:$I$21&amp;"|"&amp;Calculate_cap_emi_sens!$L$14:$L$21,
        Calculate_cap_emi_sens!$BH$14:$BH$21, "Not found", 0),"HP",_xlfn.XLOOKUP(E79&amp;"|"&amp;B79,
        Calculate_cap_emi_sens!$I$14:$I$21&amp;"|"&amp;Calculate_cap_emi_sens!$L$14:$L$21,
        Calculate_cap_emi_sens!$BF$14:$BF$21, "Not found", 0),"HPl",_xlfn.XLOOKUP(E79&amp;"|"&amp;B79,
        Calculate_cap_emi_sens!$I$14:$I$21&amp;"|"&amp;Calculate_cap_emi_sens!$L$14:$L$21,
        Calculate_cap_emi_sens!$BI$14:$BI$21, "Not found", 0),"Missing")</f>
        <v>268.77709364328484</v>
      </c>
      <c r="W79" s="5">
        <f>Results_proc_ener!L79</f>
        <v>27216.436812352942</v>
      </c>
      <c r="X79" s="5">
        <f>Results_proc_ener!M79</f>
        <v>0</v>
      </c>
      <c r="Y79" s="5">
        <f>Results_proc_ener!N79</f>
        <v>0</v>
      </c>
      <c r="Z79" s="5">
        <f>Results_proc_ener!O79</f>
        <v>0</v>
      </c>
      <c r="AA79" s="5">
        <f>Results_proc_ener!P79</f>
        <v>0</v>
      </c>
      <c r="AB79" s="5">
        <f>Results_proc_ener!Q79</f>
        <v>530.18445083642757</v>
      </c>
      <c r="AC79" s="5">
        <f>Results_proc_ener!R79</f>
        <v>1382.9990530588236</v>
      </c>
      <c r="AD79" s="5">
        <f>Results_proc_ener!S79</f>
        <v>5984.3969230000002</v>
      </c>
      <c r="AE79" s="5">
        <f>Results_proc_ener!T79</f>
        <v>5216.1113587058817</v>
      </c>
    </row>
    <row r="80" spans="1:31" x14ac:dyDescent="0.25">
      <c r="A80" s="5" t="s">
        <v>9</v>
      </c>
      <c r="B80" s="5" t="str">
        <f t="shared" si="3"/>
        <v>Mod-H1</v>
      </c>
      <c r="C80" s="5" t="str">
        <f t="shared" si="4"/>
        <v>Mod</v>
      </c>
      <c r="D80" s="5" t="str">
        <f t="shared" si="5"/>
        <v>H1</v>
      </c>
      <c r="E80" s="5" t="s">
        <v>11</v>
      </c>
      <c r="F80" s="5" t="s">
        <v>17</v>
      </c>
      <c r="G80" s="5"/>
      <c r="H80" s="5" cm="1">
        <f t="array" ref="H80">_xlfn.SWITCH(F80,"HP",_xlfn.XLOOKUP(E80&amp;"|"&amp;B80,
        Calculate_cap_emi!$I$14:$I$21&amp;"|"&amp;Calculate_cap_emi!$L$14:$L$21,
        Calculate_cap_emi!$X$14:$X$21, "Not found", 0),"HPl",_xlfn.XLOOKUP(E80&amp;"|"&amp;B80,
        Calculate_cap_emi!$I$14:$I$21&amp;"|"&amp;Calculate_cap_emi!$L$14:$L$21,
        Calculate_cap_emi!$AA$14:$AA$21, "Not found", 0),)</f>
        <v>7.5</v>
      </c>
      <c r="I80" s="5"/>
      <c r="J80" s="5"/>
      <c r="K80" s="5"/>
      <c r="L80" s="5" cm="1">
        <f t="array" ref="L80">_xlfn.SWITCH(F80,"R",_xlfn.XLOOKUP(E80&amp;"|"&amp;B80,
        Calculate_cap_emi!$I$14:$I$21&amp;"|"&amp;Calculate_cap_emi!$L$14:$L$21,
        Calculate_cap_emi!$AC$14:$AC$21, "Not found", 0),"Rb",_xlfn.XLOOKUP(E80&amp;"|"&amp;B80,
        Calculate_cap_emi!$I$14:$I$21&amp;"|"&amp;Calculate_cap_emi!$L$14:$L$21,
        Calculate_cap_emi!$AE$14:$AE$21, "Not found", 0),"Rl",_xlfn.XLOOKUP(E80&amp;"|"&amp;B80,
        Calculate_cap_emi!$I$14:$I$21&amp;"|"&amp;Calculate_cap_emi!$L$14:$L$21,
        Calculate_cap_emi!$AF$14:$AF$21, "Not found", 0),"HP",_xlfn.XLOOKUP(E80&amp;"|"&amp;B80,
        Calculate_cap_emi!$I$14:$I$21&amp;"|"&amp;Calculate_cap_emi!$L$14:$L$21,
        Calculate_cap_emi!$AD$14:$AD$21, "Not found", 0),"HPl",_xlfn.XLOOKUP(E80&amp;"|"&amp;B80,
        Calculate_cap_emi!$I$14:$I$21&amp;"|"&amp;Calculate_cap_emi!$L$14:$L$21,
        Calculate_cap_emi!$AG$14:$AG$21, "Not found", 0),"Missing")</f>
        <v>992.9074290882354</v>
      </c>
      <c r="M80" s="5"/>
      <c r="N80" s="5"/>
      <c r="O80" s="5"/>
      <c r="P80" s="5"/>
      <c r="Q80" s="5" cm="1">
        <f t="array" ref="Q80">_xlfn.SWITCH(F80,"R",_xlfn.XLOOKUP(E80&amp;"|"&amp;B80,
        Calculate_cap_emi!$I$14:$I$21&amp;"|"&amp;Calculate_cap_emi!$L$14:$L$21,
        Calculate_cap_emi!$AJ$14:$AJ$21, "Not found", 0),"Rb",_xlfn.XLOOKUP(E80&amp;"|"&amp;B80,
        Calculate_cap_emi!$I$14:$I$21&amp;"|"&amp;Calculate_cap_emi!$L$14:$L$21,
        Calculate_cap_emi!$AL$14:$AL$21, "Not found", 0),"Rl",_xlfn.XLOOKUP(E80&amp;"|"&amp;B80,
        Calculate_cap_emi!$I$14:$I$21&amp;"|"&amp;Calculate_cap_emi!$L$14:$L$21,
        Calculate_cap_emi!$AM$14:$AM$21, "Not found", 0),"HP",_xlfn.XLOOKUP(E80&amp;"|"&amp;B80,
        Calculate_cap_emi!$I$14:$I$21&amp;"|"&amp;Calculate_cap_emi!$L$14:$L$21,
        Calculate_cap_emi!$AK$14:$AK$21, "Not found", 0),"HPl",_xlfn.XLOOKUP(E80&amp;"|"&amp;B80,
        Calculate_cap_emi!$I$14:$I$21&amp;"|"&amp;Calculate_cap_emi!$L$14:$L$21,
        Calculate_cap_emi!$AN$14:$AN$21, "Not found", 0),"Missing")</f>
        <v>21.697032070828651</v>
      </c>
      <c r="R80" s="5" cm="1">
        <f t="array" ref="R80">_xlfn.SWITCH(F80,"R",_xlfn.XLOOKUP(E80&amp;"|"&amp;B80,
        Calculate_cap_emi!$I$14:$I$21&amp;"|"&amp;Calculate_cap_emi!$L$14:$L$21,
        Calculate_cap_emi!$AQ$14:$AQ$21, "Not found", 0),"Rb",_xlfn.XLOOKUP(E80&amp;"|"&amp;B80,
        Calculate_cap_emi!$I$14:$I$21&amp;"|"&amp;Calculate_cap_emi!$L$14:$L$21,
        Calculate_cap_emi!$AS$14:$AS$21, "Not found", 0),"Rl",_xlfn.XLOOKUP(E80&amp;"|"&amp;B80,
        Calculate_cap_emi!$I$14:$I$21&amp;"|"&amp;Calculate_cap_emi!$L$14:$L$21,
        Calculate_cap_emi!$AT$14:$AT$21, "Not found", 0),"HP",_xlfn.XLOOKUP(E80&amp;"|"&amp;B80,
        Calculate_cap_emi!$I$14:$I$21&amp;"|"&amp;Calculate_cap_emi!$L$14:$L$21,
        Calculate_cap_emi!$AR$14:$AR$21, "Not found", 0),"HPl",_xlfn.XLOOKUP(E80&amp;"|"&amp;B80,
        Calculate_cap_emi!$I$14:$I$21&amp;"|"&amp;Calculate_cap_emi!$L$14:$L$21,
        Calculate_cap_emi!$AU$14:$AU$21, "Not found", 0),"Missing")</f>
        <v>73.361914932352946</v>
      </c>
      <c r="S80" s="5" cm="1">
        <f t="array" ref="S80">_xlfn.SWITCH(F80,"R",_xlfn.XLOOKUP(E80&amp;"|"&amp;B80,
        Calculate_cap_emi!$I$14:$I$21&amp;"|"&amp;Calculate_cap_emi!$L$14:$L$21,
        Calculate_cap_emi!$AX$14:$AX$21, "Not found", 0),"Rb",_xlfn.XLOOKUP(E80&amp;"|"&amp;B80,
        Calculate_cap_emi!$I$14:$I$21&amp;"|"&amp;Calculate_cap_emi!$L$14:$L$21,
        Calculate_cap_emi!$AZ$14:$AZ$21, "Not found", 0),"Rl",_xlfn.XLOOKUP(E80&amp;"|"&amp;B80,
        Calculate_cap_emi!$I$14:$I$21&amp;"|"&amp;Calculate_cap_emi!$L$14:$L$21,
        Calculate_cap_emi!$BA$14:$BA$21, "Not found", 0),"HP",_xlfn.XLOOKUP(E80&amp;"|"&amp;B80,
        Calculate_cap_emi!$I$14:$I$21&amp;"|"&amp;Calculate_cap_emi!$L$14:$L$21,
        Calculate_cap_emi!$AY$14:$AY$21, "Not found", 0),"HPl",_xlfn.XLOOKUP(E80&amp;"|"&amp;B80,
        Calculate_cap_emi!$I$14:$I$21&amp;"|"&amp;Calculate_cap_emi!$L$14:$L$21,
        Calculate_cap_emi!$BB$14:$BB$21, "Not found", 0),"Missing")</f>
        <v>178.29573139999999</v>
      </c>
      <c r="T80" s="5" cm="1">
        <f t="array" ref="T80">_xlfn.SWITCH(F80,"R",_xlfn.XLOOKUP(E80&amp;"|"&amp;B80,
        Calculate_cap_emi!$I$14:$I$21&amp;"|"&amp;Calculate_cap_emi!$L$14:$L$21,
        Calculate_cap_emi!$BE$14:$BE$21, "Not found", 0),"Rb",_xlfn.XLOOKUP(E80&amp;"|"&amp;B80,
        Calculate_cap_emi!$I$14:$I$21&amp;"|"&amp;Calculate_cap_emi!$L$14:$L$21,
        Calculate_cap_emi!$BG$14:$BG$21, "Not found", 0),"Rl",_xlfn.XLOOKUP(E80&amp;"|"&amp;B80,
        Calculate_cap_emi!$I$14:$I$21&amp;"|"&amp;Calculate_cap_emi!$L$14:$L$21,
        Calculate_cap_emi!$BH$14:$BH$21, "Not found", 0),"HP",_xlfn.XLOOKUP(E80&amp;"|"&amp;B80,
        Calculate_cap_emi!$I$14:$I$21&amp;"|"&amp;Calculate_cap_emi!$L$14:$L$21,
        Calculate_cap_emi!$BF$14:$BF$21, "Not found", 0),"HPl",_xlfn.XLOOKUP(E80&amp;"|"&amp;B80,
        Calculate_cap_emi!$I$14:$I$21&amp;"|"&amp;Calculate_cap_emi!$L$14:$L$21,
        Calculate_cap_emi!$BI$14:$BI$21, "Not found", 0),"Missing")</f>
        <v>684.9152398941178</v>
      </c>
      <c r="U80" s="5" cm="1">
        <f t="array" ref="U80">_xlfn.SWITCH(F80,"R",_xlfn.XLOOKUP(E80&amp;"|"&amp;B80,
        Calculate_cap_emi_sens!$I$14:$I$21&amp;"|"&amp;Calculate_cap_emi_sens!$L$14:$L$21,
        Calculate_cap_emi_sens!$AX$14:$AX$21, "Not found", 0),"Rb",_xlfn.XLOOKUP(E80&amp;"|"&amp;B80,
        Calculate_cap_emi_sens!$I$14:$I$21&amp;"|"&amp;Calculate_cap_emi_sens!$L$14:$L$21,
        Calculate_cap_emi_sens!$AZ$14:$AZ$21, "Not found", 0),"Rl",_xlfn.XLOOKUP(E80&amp;"|"&amp;B80,
        Calculate_cap_emi_sens!$I$14:$I$21&amp;"|"&amp;Calculate_cap_emi_sens!$L$14:$L$21,
        Calculate_cap_emi_sens!$BA$14:$BA$21, "Not found", 0),"HP",_xlfn.XLOOKUP(E80&amp;"|"&amp;B80,
        Calculate_cap_emi_sens!$I$14:$I$21&amp;"|"&amp;Calculate_cap_emi_sens!$L$14:$L$21,
        Calculate_cap_emi_sens!$AY$14:$AY$21, "Not found", 0),"HPl",_xlfn.XLOOKUP(E80&amp;"|"&amp;B80,
        Calculate_cap_emi_sens!$I$14:$I$21&amp;"|"&amp;Calculate_cap_emi_sens!$L$14:$L$21,
        Calculate_cap_emi_sens!$BB$14:$BB$21, "Not found", 0),"Missing")</f>
        <v>75.59059101470784</v>
      </c>
      <c r="V80" s="5" cm="1">
        <f t="array" ref="V80">_xlfn.SWITCH(F80,"R",_xlfn.XLOOKUP(E80&amp;"|"&amp;B80,
        Calculate_cap_emi_sens!$I$14:$I$21&amp;"|"&amp;Calculate_cap_emi_sens!$L$14:$L$21,
        Calculate_cap_emi_sens!$BE$14:$BE$21, "Not found", 0),"Rb",_xlfn.XLOOKUP(E80&amp;"|"&amp;B80,
        Calculate_cap_emi_sens!$I$14:$I$21&amp;"|"&amp;Calculate_cap_emi_sens!$L$14:$L$21,
        Calculate_cap_emi_sens!$BG$14:$BG$21, "Not found", 0),"Rl",_xlfn.XLOOKUP(E80&amp;"|"&amp;B80,
        Calculate_cap_emi_sens!$I$14:$I$21&amp;"|"&amp;Calculate_cap_emi_sens!$L$14:$L$21,
        Calculate_cap_emi_sens!$BH$14:$BH$21, "Not found", 0),"HP",_xlfn.XLOOKUP(E80&amp;"|"&amp;B80,
        Calculate_cap_emi_sens!$I$14:$I$21&amp;"|"&amp;Calculate_cap_emi_sens!$L$14:$L$21,
        Calculate_cap_emi_sens!$BF$14:$BF$21, "Not found", 0),"HPl",_xlfn.XLOOKUP(E80&amp;"|"&amp;B80,
        Calculate_cap_emi_sens!$I$14:$I$21&amp;"|"&amp;Calculate_cap_emi_sens!$L$14:$L$21,
        Calculate_cap_emi_sens!$BI$14:$BI$21, "Not found", 0),"Missing")</f>
        <v>263.91792358759079</v>
      </c>
      <c r="W80" s="5">
        <f>Results_proc_ener!L80</f>
        <v>23430.702762352939</v>
      </c>
      <c r="X80" s="5">
        <f>Results_proc_ener!M80</f>
        <v>0</v>
      </c>
      <c r="Y80" s="5">
        <f>Results_proc_ener!N80</f>
        <v>0</v>
      </c>
      <c r="Z80" s="5">
        <f>Results_proc_ener!O80</f>
        <v>0</v>
      </c>
      <c r="AA80" s="5">
        <f>Results_proc_ener!P80</f>
        <v>0</v>
      </c>
      <c r="AB80" s="5">
        <f>Results_proc_ener!Q80</f>
        <v>459.51371698374749</v>
      </c>
      <c r="AC80" s="5">
        <f>Results_proc_ener!R80</f>
        <v>1140.0329893235294</v>
      </c>
      <c r="AD80" s="5">
        <f>Results_proc_ener!S80</f>
        <v>4645.1023960000002</v>
      </c>
      <c r="AE80" s="5">
        <f>Results_proc_ener!T80</f>
        <v>4498.2316124117651</v>
      </c>
    </row>
    <row r="81" spans="1:31" x14ac:dyDescent="0.25">
      <c r="A81" s="5" t="s">
        <v>10</v>
      </c>
      <c r="B81" s="5" t="str">
        <f t="shared" si="3"/>
        <v>Mod-H1</v>
      </c>
      <c r="C81" s="5" t="str">
        <f t="shared" si="4"/>
        <v>Mod</v>
      </c>
      <c r="D81" s="5" t="str">
        <f t="shared" si="5"/>
        <v>H1</v>
      </c>
      <c r="E81" s="5" t="s">
        <v>11</v>
      </c>
      <c r="F81" s="5" t="s">
        <v>17</v>
      </c>
      <c r="G81" s="5"/>
      <c r="H81" s="5" cm="1">
        <f t="array" ref="H81">_xlfn.SWITCH(F81,"HP",_xlfn.XLOOKUP(E81&amp;"|"&amp;B81,
        Calculate_cap_emi!$I$14:$I$21&amp;"|"&amp;Calculate_cap_emi!$L$14:$L$21,
        Calculate_cap_emi!$X$14:$X$21, "Not found", 0),"HPl",_xlfn.XLOOKUP(E81&amp;"|"&amp;B81,
        Calculate_cap_emi!$I$14:$I$21&amp;"|"&amp;Calculate_cap_emi!$L$14:$L$21,
        Calculate_cap_emi!$AA$14:$AA$21, "Not found", 0),)</f>
        <v>7.5</v>
      </c>
      <c r="I81" s="5"/>
      <c r="J81" s="5"/>
      <c r="K81" s="5"/>
      <c r="L81" s="5" cm="1">
        <f t="array" ref="L81">_xlfn.SWITCH(F81,"R",_xlfn.XLOOKUP(E81&amp;"|"&amp;B81,
        Calculate_cap_emi!$I$14:$I$21&amp;"|"&amp;Calculate_cap_emi!$L$14:$L$21,
        Calculate_cap_emi!$AC$14:$AC$21, "Not found", 0),"Rb",_xlfn.XLOOKUP(E81&amp;"|"&amp;B81,
        Calculate_cap_emi!$I$14:$I$21&amp;"|"&amp;Calculate_cap_emi!$L$14:$L$21,
        Calculate_cap_emi!$AE$14:$AE$21, "Not found", 0),"Rl",_xlfn.XLOOKUP(E81&amp;"|"&amp;B81,
        Calculate_cap_emi!$I$14:$I$21&amp;"|"&amp;Calculate_cap_emi!$L$14:$L$21,
        Calculate_cap_emi!$AF$14:$AF$21, "Not found", 0),"HP",_xlfn.XLOOKUP(E81&amp;"|"&amp;B81,
        Calculate_cap_emi!$I$14:$I$21&amp;"|"&amp;Calculate_cap_emi!$L$14:$L$21,
        Calculate_cap_emi!$AD$14:$AD$21, "Not found", 0),"HPl",_xlfn.XLOOKUP(E81&amp;"|"&amp;B81,
        Calculate_cap_emi!$I$14:$I$21&amp;"|"&amp;Calculate_cap_emi!$L$14:$L$21,
        Calculate_cap_emi!$AG$14:$AG$21, "Not found", 0),"Missing")</f>
        <v>992.9074290882354</v>
      </c>
      <c r="M81" s="5"/>
      <c r="N81" s="5"/>
      <c r="O81" s="5"/>
      <c r="P81" s="5"/>
      <c r="Q81" s="5" cm="1">
        <f t="array" ref="Q81">_xlfn.SWITCH(F81,"R",_xlfn.XLOOKUP(E81&amp;"|"&amp;B81,
        Calculate_cap_emi!$I$14:$I$21&amp;"|"&amp;Calculate_cap_emi!$L$14:$L$21,
        Calculate_cap_emi!$AJ$14:$AJ$21, "Not found", 0),"Rb",_xlfn.XLOOKUP(E81&amp;"|"&amp;B81,
        Calculate_cap_emi!$I$14:$I$21&amp;"|"&amp;Calculate_cap_emi!$L$14:$L$21,
        Calculate_cap_emi!$AL$14:$AL$21, "Not found", 0),"Rl",_xlfn.XLOOKUP(E81&amp;"|"&amp;B81,
        Calculate_cap_emi!$I$14:$I$21&amp;"|"&amp;Calculate_cap_emi!$L$14:$L$21,
        Calculate_cap_emi!$AM$14:$AM$21, "Not found", 0),"HP",_xlfn.XLOOKUP(E81&amp;"|"&amp;B81,
        Calculate_cap_emi!$I$14:$I$21&amp;"|"&amp;Calculate_cap_emi!$L$14:$L$21,
        Calculate_cap_emi!$AK$14:$AK$21, "Not found", 0),"HPl",_xlfn.XLOOKUP(E81&amp;"|"&amp;B81,
        Calculate_cap_emi!$I$14:$I$21&amp;"|"&amp;Calculate_cap_emi!$L$14:$L$21,
        Calculate_cap_emi!$AN$14:$AN$21, "Not found", 0),"Missing")</f>
        <v>21.697032070828651</v>
      </c>
      <c r="R81" s="5" cm="1">
        <f t="array" ref="R81">_xlfn.SWITCH(F81,"R",_xlfn.XLOOKUP(E81&amp;"|"&amp;B81,
        Calculate_cap_emi!$I$14:$I$21&amp;"|"&amp;Calculate_cap_emi!$L$14:$L$21,
        Calculate_cap_emi!$AQ$14:$AQ$21, "Not found", 0),"Rb",_xlfn.XLOOKUP(E81&amp;"|"&amp;B81,
        Calculate_cap_emi!$I$14:$I$21&amp;"|"&amp;Calculate_cap_emi!$L$14:$L$21,
        Calculate_cap_emi!$AS$14:$AS$21, "Not found", 0),"Rl",_xlfn.XLOOKUP(E81&amp;"|"&amp;B81,
        Calculate_cap_emi!$I$14:$I$21&amp;"|"&amp;Calculate_cap_emi!$L$14:$L$21,
        Calculate_cap_emi!$AT$14:$AT$21, "Not found", 0),"HP",_xlfn.XLOOKUP(E81&amp;"|"&amp;B81,
        Calculate_cap_emi!$I$14:$I$21&amp;"|"&amp;Calculate_cap_emi!$L$14:$L$21,
        Calculate_cap_emi!$AR$14:$AR$21, "Not found", 0),"HPl",_xlfn.XLOOKUP(E81&amp;"|"&amp;B81,
        Calculate_cap_emi!$I$14:$I$21&amp;"|"&amp;Calculate_cap_emi!$L$14:$L$21,
        Calculate_cap_emi!$AU$14:$AU$21, "Not found", 0),"Missing")</f>
        <v>73.361914932352946</v>
      </c>
      <c r="S81" s="5" cm="1">
        <f t="array" ref="S81">_xlfn.SWITCH(F81,"R",_xlfn.XLOOKUP(E81&amp;"|"&amp;B81,
        Calculate_cap_emi!$I$14:$I$21&amp;"|"&amp;Calculate_cap_emi!$L$14:$L$21,
        Calculate_cap_emi!$AX$14:$AX$21, "Not found", 0),"Rb",_xlfn.XLOOKUP(E81&amp;"|"&amp;B81,
        Calculate_cap_emi!$I$14:$I$21&amp;"|"&amp;Calculate_cap_emi!$L$14:$L$21,
        Calculate_cap_emi!$AZ$14:$AZ$21, "Not found", 0),"Rl",_xlfn.XLOOKUP(E81&amp;"|"&amp;B81,
        Calculate_cap_emi!$I$14:$I$21&amp;"|"&amp;Calculate_cap_emi!$L$14:$L$21,
        Calculate_cap_emi!$BA$14:$BA$21, "Not found", 0),"HP",_xlfn.XLOOKUP(E81&amp;"|"&amp;B81,
        Calculate_cap_emi!$I$14:$I$21&amp;"|"&amp;Calculate_cap_emi!$L$14:$L$21,
        Calculate_cap_emi!$AY$14:$AY$21, "Not found", 0),"HPl",_xlfn.XLOOKUP(E81&amp;"|"&amp;B81,
        Calculate_cap_emi!$I$14:$I$21&amp;"|"&amp;Calculate_cap_emi!$L$14:$L$21,
        Calculate_cap_emi!$BB$14:$BB$21, "Not found", 0),"Missing")</f>
        <v>178.29573139999999</v>
      </c>
      <c r="T81" s="5" cm="1">
        <f t="array" ref="T81">_xlfn.SWITCH(F81,"R",_xlfn.XLOOKUP(E81&amp;"|"&amp;B81,
        Calculate_cap_emi!$I$14:$I$21&amp;"|"&amp;Calculate_cap_emi!$L$14:$L$21,
        Calculate_cap_emi!$BE$14:$BE$21, "Not found", 0),"Rb",_xlfn.XLOOKUP(E81&amp;"|"&amp;B81,
        Calculate_cap_emi!$I$14:$I$21&amp;"|"&amp;Calculate_cap_emi!$L$14:$L$21,
        Calculate_cap_emi!$BG$14:$BG$21, "Not found", 0),"Rl",_xlfn.XLOOKUP(E81&amp;"|"&amp;B81,
        Calculate_cap_emi!$I$14:$I$21&amp;"|"&amp;Calculate_cap_emi!$L$14:$L$21,
        Calculate_cap_emi!$BH$14:$BH$21, "Not found", 0),"HP",_xlfn.XLOOKUP(E81&amp;"|"&amp;B81,
        Calculate_cap_emi!$I$14:$I$21&amp;"|"&amp;Calculate_cap_emi!$L$14:$L$21,
        Calculate_cap_emi!$BF$14:$BF$21, "Not found", 0),"HPl",_xlfn.XLOOKUP(E81&amp;"|"&amp;B81,
        Calculate_cap_emi!$I$14:$I$21&amp;"|"&amp;Calculate_cap_emi!$L$14:$L$21,
        Calculate_cap_emi!$BI$14:$BI$21, "Not found", 0),"Missing")</f>
        <v>684.9152398941178</v>
      </c>
      <c r="U81" s="5" cm="1">
        <f t="array" ref="U81">_xlfn.SWITCH(F81,"R",_xlfn.XLOOKUP(E81&amp;"|"&amp;B81,
        Calculate_cap_emi_sens!$I$14:$I$21&amp;"|"&amp;Calculate_cap_emi_sens!$L$14:$L$21,
        Calculate_cap_emi_sens!$AX$14:$AX$21, "Not found", 0),"Rb",_xlfn.XLOOKUP(E81&amp;"|"&amp;B81,
        Calculate_cap_emi_sens!$I$14:$I$21&amp;"|"&amp;Calculate_cap_emi_sens!$L$14:$L$21,
        Calculate_cap_emi_sens!$AZ$14:$AZ$21, "Not found", 0),"Rl",_xlfn.XLOOKUP(E81&amp;"|"&amp;B81,
        Calculate_cap_emi_sens!$I$14:$I$21&amp;"|"&amp;Calculate_cap_emi_sens!$L$14:$L$21,
        Calculate_cap_emi_sens!$BA$14:$BA$21, "Not found", 0),"HP",_xlfn.XLOOKUP(E81&amp;"|"&amp;B81,
        Calculate_cap_emi_sens!$I$14:$I$21&amp;"|"&amp;Calculate_cap_emi_sens!$L$14:$L$21,
        Calculate_cap_emi_sens!$AY$14:$AY$21, "Not found", 0),"HPl",_xlfn.XLOOKUP(E81&amp;"|"&amp;B81,
        Calculate_cap_emi_sens!$I$14:$I$21&amp;"|"&amp;Calculate_cap_emi_sens!$L$14:$L$21,
        Calculate_cap_emi_sens!$BB$14:$BB$21, "Not found", 0),"Missing")</f>
        <v>75.59059101470784</v>
      </c>
      <c r="V81" s="5" cm="1">
        <f t="array" ref="V81">_xlfn.SWITCH(F81,"R",_xlfn.XLOOKUP(E81&amp;"|"&amp;B81,
        Calculate_cap_emi_sens!$I$14:$I$21&amp;"|"&amp;Calculate_cap_emi_sens!$L$14:$L$21,
        Calculate_cap_emi_sens!$BE$14:$BE$21, "Not found", 0),"Rb",_xlfn.XLOOKUP(E81&amp;"|"&amp;B81,
        Calculate_cap_emi_sens!$I$14:$I$21&amp;"|"&amp;Calculate_cap_emi_sens!$L$14:$L$21,
        Calculate_cap_emi_sens!$BG$14:$BG$21, "Not found", 0),"Rl",_xlfn.XLOOKUP(E81&amp;"|"&amp;B81,
        Calculate_cap_emi_sens!$I$14:$I$21&amp;"|"&amp;Calculate_cap_emi_sens!$L$14:$L$21,
        Calculate_cap_emi_sens!$BH$14:$BH$21, "Not found", 0),"HP",_xlfn.XLOOKUP(E81&amp;"|"&amp;B81,
        Calculate_cap_emi_sens!$I$14:$I$21&amp;"|"&amp;Calculate_cap_emi_sens!$L$14:$L$21,
        Calculate_cap_emi_sens!$BF$14:$BF$21, "Not found", 0),"HPl",_xlfn.XLOOKUP(E81&amp;"|"&amp;B81,
        Calculate_cap_emi_sens!$I$14:$I$21&amp;"|"&amp;Calculate_cap_emi_sens!$L$14:$L$21,
        Calculate_cap_emi_sens!$BI$14:$BI$21, "Not found", 0),"Missing")</f>
        <v>263.91792358759079</v>
      </c>
      <c r="W81" s="5">
        <f>Results_proc_ener!L81</f>
        <v>23430.702762352939</v>
      </c>
      <c r="X81" s="5">
        <f>Results_proc_ener!M81</f>
        <v>0</v>
      </c>
      <c r="Y81" s="5">
        <f>Results_proc_ener!N81</f>
        <v>0</v>
      </c>
      <c r="Z81" s="5">
        <f>Results_proc_ener!O81</f>
        <v>0</v>
      </c>
      <c r="AA81" s="5">
        <f>Results_proc_ener!P81</f>
        <v>0</v>
      </c>
      <c r="AB81" s="5">
        <f>Results_proc_ener!Q81</f>
        <v>459.51371698374749</v>
      </c>
      <c r="AC81" s="5">
        <f>Results_proc_ener!R81</f>
        <v>1140.0329893235294</v>
      </c>
      <c r="AD81" s="5">
        <f>Results_proc_ener!S81</f>
        <v>4645.1023960000002</v>
      </c>
      <c r="AE81" s="5">
        <f>Results_proc_ener!T81</f>
        <v>4498.2316124117651</v>
      </c>
    </row>
    <row r="82" spans="1:31" x14ac:dyDescent="0.25">
      <c r="A82" s="5"/>
      <c r="B82" s="5"/>
      <c r="C82" s="5"/>
      <c r="D82" s="5"/>
      <c r="E82" s="5"/>
      <c r="F82" s="5"/>
      <c r="G82" s="5" t="s">
        <v>13</v>
      </c>
      <c r="H82" s="5"/>
      <c r="I82" s="5"/>
      <c r="J82" s="5"/>
      <c r="K82" s="5" cm="1">
        <f t="array" ref="K82:K87">TRANSPOSE(Manufacture!C12:H12)</f>
        <v>135</v>
      </c>
      <c r="L82" s="8">
        <f>LOOKUP(K82,Manufacture!$C$12:$H$12,Manufacture!$C$14:$H$14)</f>
        <v>190.95098943619666</v>
      </c>
      <c r="M82" s="5"/>
      <c r="N82" s="5"/>
      <c r="O82" s="5"/>
      <c r="P82" s="5"/>
      <c r="Q82" s="5">
        <f>LOOKUP(K82,Distribution!$C$12:$H$12,Distribution!$C$14:$H$14)</f>
        <v>3.7836465882352939</v>
      </c>
      <c r="R82" s="5">
        <f>LOOKUP(K82,Installation!$C$12:$H$12,Installation!$C$14:$H$14)</f>
        <v>4.0273990566948967</v>
      </c>
      <c r="S82" s="5">
        <f>LOOKUP(K82,EOL!$C$12:$H$12,EOL!$C$14:$H$14)</f>
        <v>22.436671364994993</v>
      </c>
      <c r="T82" s="5">
        <f>LOOKUP(K82,Other!$C$12:$H$12,Other!$C$14:$H$14)</f>
        <v>0</v>
      </c>
      <c r="U82" s="5">
        <f>LOOKUP(K82,EOL_R!$C$12:$H$12,EOL_R!$C$14:$H$14)</f>
        <v>22.436671364994993</v>
      </c>
      <c r="V82" s="5">
        <f>LOOKUP(K82,Other_R!$C$12:$H$12,Other_R!$C$14:$H$14)</f>
        <v>0</v>
      </c>
      <c r="W82" s="5">
        <f>Results_proc_ener!L82</f>
        <v>3702.7095203411995</v>
      </c>
      <c r="X82" s="5">
        <f>Results_proc_ener!M82</f>
        <v>0</v>
      </c>
      <c r="Y82" s="5">
        <f>Results_proc_ener!N82</f>
        <v>0</v>
      </c>
      <c r="Z82" s="5">
        <f>Results_proc_ener!O82</f>
        <v>0</v>
      </c>
      <c r="AA82" s="5">
        <f>Results_proc_ener!P82</f>
        <v>0</v>
      </c>
      <c r="AB82" s="5">
        <f>Results_proc_ener!Q82</f>
        <v>93.604268223529417</v>
      </c>
      <c r="AC82" s="5">
        <f>Results_proc_ener!R82</f>
        <v>55.690499514204312</v>
      </c>
      <c r="AD82" s="5">
        <f>Results_proc_ener!S82</f>
        <v>17.83232397831776</v>
      </c>
      <c r="AE82" s="5">
        <f>Results_proc_ener!T82</f>
        <v>0</v>
      </c>
    </row>
    <row r="83" spans="1:31" x14ac:dyDescent="0.25">
      <c r="A83" s="5"/>
      <c r="B83" s="5"/>
      <c r="C83" s="5"/>
      <c r="D83" s="5"/>
      <c r="E83" s="5"/>
      <c r="F83" s="5"/>
      <c r="G83" s="5" t="s">
        <v>13</v>
      </c>
      <c r="H83" s="5"/>
      <c r="I83" s="5"/>
      <c r="J83" s="5"/>
      <c r="K83" s="5">
        <v>162</v>
      </c>
      <c r="L83" s="8">
        <f>LOOKUP(K83,Manufacture!$C$12:$H$12,Manufacture!$C$14:$H$14)</f>
        <v>216.20278685837471</v>
      </c>
      <c r="M83" s="5"/>
      <c r="N83" s="5"/>
      <c r="O83" s="5"/>
      <c r="P83" s="5"/>
      <c r="Q83" s="5">
        <f>LOOKUP(K83,Distribution!$C$12:$H$12,Distribution!$C$14:$H$14)</f>
        <v>4.1169606283482345</v>
      </c>
      <c r="R83" s="5">
        <f>LOOKUP(K83,Installation!$C$12:$H$12,Installation!$C$14:$H$14)</f>
        <v>4.5599915581436061</v>
      </c>
      <c r="S83" s="5">
        <f>LOOKUP(K83,EOL!$C$12:$H$12,EOL!$C$14:$H$14)</f>
        <v>25.403748319189798</v>
      </c>
      <c r="T83" s="5">
        <f>LOOKUP(K83,Other!$C$12:$H$12,Other!$C$14:$H$14)</f>
        <v>0</v>
      </c>
      <c r="U83" s="5">
        <f>LOOKUP(K83,EOL_R!$C$12:$H$12,EOL_R!$C$14:$H$14)</f>
        <v>25.403748319189798</v>
      </c>
      <c r="V83" s="5">
        <f>LOOKUP(K83,Other_R!$C$12:$H$12,Other_R!$C$14:$H$14)</f>
        <v>0</v>
      </c>
      <c r="W83" s="5">
        <f>Results_proc_ener!L83</f>
        <v>4192.3643317506339</v>
      </c>
      <c r="X83" s="5">
        <f>Results_proc_ener!M83</f>
        <v>0</v>
      </c>
      <c r="Y83" s="5">
        <f>Results_proc_ener!N83</f>
        <v>0</v>
      </c>
      <c r="Z83" s="5">
        <f>Results_proc_ener!O83</f>
        <v>0</v>
      </c>
      <c r="AA83" s="5">
        <f>Results_proc_ener!P83</f>
        <v>0</v>
      </c>
      <c r="AB83" s="5">
        <f>Results_proc_ener!Q83</f>
        <v>101.85018022556753</v>
      </c>
      <c r="AC83" s="5">
        <f>Results_proc_ener!R83</f>
        <v>63.055139080748575</v>
      </c>
      <c r="AD83" s="5">
        <f>Results_proc_ener!S83</f>
        <v>20.190511458763297</v>
      </c>
      <c r="AE83" s="5">
        <f>Results_proc_ener!T83</f>
        <v>0</v>
      </c>
    </row>
    <row r="84" spans="1:31" x14ac:dyDescent="0.25">
      <c r="A84" s="5"/>
      <c r="B84" s="5"/>
      <c r="C84" s="5"/>
      <c r="D84" s="5"/>
      <c r="E84" s="5"/>
      <c r="F84" s="5"/>
      <c r="G84" s="5" t="s">
        <v>13</v>
      </c>
      <c r="H84" s="5"/>
      <c r="I84" s="5"/>
      <c r="J84" s="5"/>
      <c r="K84" s="5">
        <v>180</v>
      </c>
      <c r="L84" s="8">
        <f>LOOKUP(K84,Manufacture!$C$12:$H$12,Manufacture!$C$14:$H$14)</f>
        <v>234.86638907081257</v>
      </c>
      <c r="M84" s="5"/>
      <c r="N84" s="5"/>
      <c r="O84" s="5"/>
      <c r="P84" s="5"/>
      <c r="Q84" s="5">
        <f>LOOKUP(K84,Distribution!$C$12:$H$12,Distribution!$C$14:$H$14)</f>
        <v>4.5403759058823523</v>
      </c>
      <c r="R84" s="5">
        <f>LOOKUP(K84,Installation!$C$12:$H$12,Installation!$C$14:$H$14)</f>
        <v>4.9536306493409654</v>
      </c>
      <c r="S84" s="5">
        <f>LOOKUP(K84,EOL!$C$12:$H$12,EOL!$C$14:$H$14)</f>
        <v>27.596714747716113</v>
      </c>
      <c r="T84" s="5">
        <f>LOOKUP(K84,Other!$C$12:$H$12,Other!$C$14:$H$14)</f>
        <v>0</v>
      </c>
      <c r="U84" s="5">
        <f>LOOKUP(K84,EOL_R!$C$12:$H$12,EOL_R!$C$14:$H$14)</f>
        <v>27.596714747716113</v>
      </c>
      <c r="V84" s="5">
        <f>LOOKUP(K84,Other_R!$C$12:$H$12,Other_R!$C$14:$H$14)</f>
        <v>0</v>
      </c>
      <c r="W84" s="5">
        <f>Results_proc_ener!L84</f>
        <v>4554.2681783863454</v>
      </c>
      <c r="X84" s="5">
        <f>Results_proc_ener!M84</f>
        <v>0</v>
      </c>
      <c r="Y84" s="5">
        <f>Results_proc_ener!N84</f>
        <v>0</v>
      </c>
      <c r="Z84" s="5">
        <f>Results_proc_ener!O84</f>
        <v>0</v>
      </c>
      <c r="AA84" s="5">
        <f>Results_proc_ener!P84</f>
        <v>0</v>
      </c>
      <c r="AB84" s="5">
        <f>Results_proc_ener!Q84</f>
        <v>112.3251218682353</v>
      </c>
      <c r="AC84" s="5">
        <f>Results_proc_ener!R84</f>
        <v>68.498343816235788</v>
      </c>
      <c r="AD84" s="5">
        <f>Results_proc_ener!S84</f>
        <v>21.933447707678866</v>
      </c>
      <c r="AE84" s="5">
        <f>Results_proc_ener!T84</f>
        <v>0</v>
      </c>
    </row>
    <row r="85" spans="1:31" x14ac:dyDescent="0.25">
      <c r="A85" s="5"/>
      <c r="B85" s="5"/>
      <c r="C85" s="5"/>
      <c r="D85" s="5"/>
      <c r="E85" s="5"/>
      <c r="F85" s="5"/>
      <c r="G85" s="5" t="s">
        <v>13</v>
      </c>
      <c r="H85" s="5"/>
      <c r="I85" s="5"/>
      <c r="J85" s="5"/>
      <c r="K85" s="5">
        <v>216</v>
      </c>
      <c r="L85" s="8">
        <f>LOOKUP(K85,Manufacture!$C$12:$H$12,Manufacture!$C$14:$H$14)</f>
        <v>277.16605283849856</v>
      </c>
      <c r="M85" s="5"/>
      <c r="N85" s="5"/>
      <c r="O85" s="5"/>
      <c r="P85" s="5"/>
      <c r="Q85" s="5">
        <f>LOOKUP(K85,Distribution!$C$12:$H$12,Distribution!$C$14:$H$14)</f>
        <v>5.1709836705882353</v>
      </c>
      <c r="R85" s="5">
        <f>LOOKUP(K85,Installation!$C$12:$H$12,Installation!$C$14:$H$14)</f>
        <v>5.8457843190312317</v>
      </c>
      <c r="S85" s="5">
        <f>LOOKUP(K85,EOL!$C$12:$H$12,EOL!$C$14:$H$14)</f>
        <v>32.566909757480495</v>
      </c>
      <c r="T85" s="5">
        <f>LOOKUP(K85,Other!$C$12:$H$12,Other!$C$14:$H$14)</f>
        <v>0</v>
      </c>
      <c r="U85" s="5">
        <f>LOOKUP(K85,EOL_R!$C$12:$H$12,EOL_R!$C$14:$H$14)</f>
        <v>32.566909757480495</v>
      </c>
      <c r="V85" s="5">
        <f>LOOKUP(K85,Other_R!$C$12:$H$12,Other_R!$C$14:$H$14)</f>
        <v>0</v>
      </c>
      <c r="W85" s="5">
        <f>Results_proc_ener!L85</f>
        <v>5374.4962809077833</v>
      </c>
      <c r="X85" s="5">
        <f>Results_proc_ener!M85</f>
        <v>0</v>
      </c>
      <c r="Y85" s="5">
        <f>Results_proc_ener!N85</f>
        <v>0</v>
      </c>
      <c r="Z85" s="5">
        <f>Results_proc_ener!O85</f>
        <v>0</v>
      </c>
      <c r="AA85" s="5">
        <f>Results_proc_ener!P85</f>
        <v>0</v>
      </c>
      <c r="AB85" s="5">
        <f>Results_proc_ener!Q85</f>
        <v>127.92583323882354</v>
      </c>
      <c r="AC85" s="5">
        <f>Results_proc_ener!R85</f>
        <v>80.83496176967374</v>
      </c>
      <c r="AD85" s="5">
        <f>Results_proc_ener!S85</f>
        <v>25.883682847629913</v>
      </c>
      <c r="AE85" s="5">
        <f>Results_proc_ener!T85</f>
        <v>0</v>
      </c>
    </row>
    <row r="86" spans="1:31" x14ac:dyDescent="0.25">
      <c r="A86" s="5"/>
      <c r="B86" s="5"/>
      <c r="C86" s="5"/>
      <c r="D86" s="5"/>
      <c r="E86" s="5"/>
      <c r="F86" s="5"/>
      <c r="G86" s="5" t="s">
        <v>13</v>
      </c>
      <c r="H86" s="5"/>
      <c r="I86" s="5"/>
      <c r="J86" s="5"/>
      <c r="K86" s="5">
        <v>300</v>
      </c>
      <c r="L86" s="8">
        <f>LOOKUP(K86,Manufacture!$C$12:$H$12,Manufacture!$C$14:$H$14)</f>
        <v>407.89785811671283</v>
      </c>
      <c r="M86" s="5"/>
      <c r="N86" s="5"/>
      <c r="O86" s="5"/>
      <c r="P86" s="5"/>
      <c r="Q86" s="5">
        <f>LOOKUP(K86,Distribution!$C$12:$H$12,Distribution!$C$14:$H$14)</f>
        <v>6.5583207529411771</v>
      </c>
      <c r="R86" s="5">
        <f>LOOKUP(K86,Installation!$C$12:$H$12,Installation!$C$14:$H$14)</f>
        <v>8.6030842461595256</v>
      </c>
      <c r="S86" s="5">
        <f>LOOKUP(K86,EOL!$C$12:$H$12,EOL!$C$14:$H$14)</f>
        <v>47.927849025930264</v>
      </c>
      <c r="T86" s="5">
        <f>LOOKUP(K86,Other!$C$12:$H$12,Other!$C$14:$H$14)</f>
        <v>0</v>
      </c>
      <c r="U86" s="5">
        <f>LOOKUP(K86,EOL_R!$C$12:$H$12,EOL_R!$C$14:$H$14)</f>
        <v>47.927849025930264</v>
      </c>
      <c r="V86" s="5">
        <f>LOOKUP(K86,Other_R!$C$12:$H$12,Other_R!$C$14:$H$14)</f>
        <v>0</v>
      </c>
      <c r="W86" s="5">
        <f>Results_proc_ener!L86</f>
        <v>7909.5022604226351</v>
      </c>
      <c r="X86" s="5">
        <f>Results_proc_ener!M86</f>
        <v>0</v>
      </c>
      <c r="Y86" s="5">
        <f>Results_proc_ener!N86</f>
        <v>0</v>
      </c>
      <c r="Z86" s="5">
        <f>Results_proc_ener!O86</f>
        <v>0</v>
      </c>
      <c r="AA86" s="5">
        <f>Results_proc_ener!P86</f>
        <v>0</v>
      </c>
      <c r="AB86" s="5">
        <f>Results_proc_ener!Q86</f>
        <v>162.24739825411766</v>
      </c>
      <c r="AC86" s="5">
        <f>Results_proc_ener!R86</f>
        <v>118.96264866898731</v>
      </c>
      <c r="AD86" s="5">
        <f>Results_proc_ener!S86</f>
        <v>38.092322943576733</v>
      </c>
      <c r="AE86" s="5">
        <f>Results_proc_ener!T86</f>
        <v>0</v>
      </c>
    </row>
    <row r="87" spans="1:31" x14ac:dyDescent="0.25">
      <c r="A87" s="5"/>
      <c r="B87" s="5"/>
      <c r="C87" s="5"/>
      <c r="D87" s="5"/>
      <c r="E87" s="5"/>
      <c r="F87" s="5"/>
      <c r="G87" s="5" t="s">
        <v>13</v>
      </c>
      <c r="H87" s="5"/>
      <c r="I87" s="5"/>
      <c r="J87" s="5"/>
      <c r="K87" s="5">
        <v>360</v>
      </c>
      <c r="L87" s="8">
        <f>LOOKUP(K87,Manufacture!$C$12:$H$12,Manufacture!$C$14:$H$14)</f>
        <v>537.54732106042195</v>
      </c>
      <c r="M87" s="5"/>
      <c r="N87" s="5"/>
      <c r="O87" s="5"/>
      <c r="P87" s="5"/>
      <c r="Q87" s="5">
        <f>LOOKUP(K87,Distribution!$C$12:$H$12,Distribution!$C$14:$H$14)</f>
        <v>7.6934147294117645</v>
      </c>
      <c r="R87" s="5">
        <f>LOOKUP(K87,Installation!$C$12:$H$12,Installation!$C$14:$H$14)</f>
        <v>11.337556197848274</v>
      </c>
      <c r="S87" s="5">
        <f>LOOKUP(K87,EOL!$C$12:$H$12,EOL!$C$14:$H$14)</f>
        <v>63.161613466245264</v>
      </c>
      <c r="T87" s="5">
        <f>LOOKUP(K87,Other!$C$12:$H$12,Other!$C$14:$H$14)</f>
        <v>0</v>
      </c>
      <c r="U87" s="5">
        <f>LOOKUP(K87,EOL_R!$C$12:$H$12,EOL_R!$C$14:$H$14)</f>
        <v>63.161613466245264</v>
      </c>
      <c r="V87" s="5">
        <f>LOOKUP(K87,Other_R!$C$12:$H$12,Other_R!$C$14:$H$14)</f>
        <v>0</v>
      </c>
      <c r="W87" s="5">
        <f>Results_proc_ener!L87</f>
        <v>10423.520659417098</v>
      </c>
      <c r="X87" s="5">
        <f>Results_proc_ener!M87</f>
        <v>0</v>
      </c>
      <c r="Y87" s="5">
        <f>Results_proc_ener!N87</f>
        <v>0</v>
      </c>
      <c r="Z87" s="5">
        <f>Results_proc_ener!O87</f>
        <v>0</v>
      </c>
      <c r="AA87" s="5">
        <f>Results_proc_ener!P87</f>
        <v>0</v>
      </c>
      <c r="AB87" s="5">
        <f>Results_proc_ener!Q87</f>
        <v>190.32867872117649</v>
      </c>
      <c r="AC87" s="5">
        <f>Results_proc_ener!R87</f>
        <v>156.77467244745546</v>
      </c>
      <c r="AD87" s="5">
        <f>Results_proc_ener!S87</f>
        <v>50.19988642703084</v>
      </c>
      <c r="AE87" s="5">
        <f>Results_proc_ener!T87</f>
        <v>0</v>
      </c>
    </row>
    <row r="88" spans="1:31" x14ac:dyDescent="0.25">
      <c r="A88" s="5"/>
      <c r="B88" s="5"/>
      <c r="C88" s="5"/>
      <c r="D88" s="5"/>
      <c r="E88" s="5"/>
      <c r="F88" s="5"/>
      <c r="G88" s="5" t="s">
        <v>64</v>
      </c>
      <c r="H88" s="5"/>
      <c r="I88" s="5"/>
      <c r="J88" s="5"/>
      <c r="K88" s="5">
        <v>162</v>
      </c>
      <c r="L88" s="8">
        <f>LOOKUP(K88,Manufacture!$C$12:$H$12,Manufacture!$C$14:$H$14)</f>
        <v>216.20278685837471</v>
      </c>
      <c r="M88" s="5"/>
      <c r="N88" s="5"/>
      <c r="O88" s="5"/>
      <c r="P88" s="5"/>
      <c r="Q88" s="5">
        <f>LOOKUP(K88,Distribution!$C$12:$H$12,Distribution!$C$14:$H$14)</f>
        <v>4.1169606283482345</v>
      </c>
      <c r="R88" s="5">
        <f>LOOKUP(K88,Installation!$C$12:$H$12,Installation!$C$14:$H$14)</f>
        <v>4.5599915581436061</v>
      </c>
      <c r="S88" s="5">
        <f>LOOKUP(K88,EOL!$C$12:$H$12,EOL!$C$14:$H$14)</f>
        <v>25.403748319189798</v>
      </c>
      <c r="T88" s="5">
        <f>LOOKUP(K88,Other!$C$12:$H$12,Other!$C$14:$H$14)</f>
        <v>0</v>
      </c>
      <c r="U88" s="5">
        <f>LOOKUP(K88,EOL_R!$C$12:$H$12,EOL_R!$C$14:$H$14)</f>
        <v>25.403748319189798</v>
      </c>
      <c r="V88" s="5">
        <f>LOOKUP(K88,Other_R!$C$12:$H$12,Other_R!$C$14:$H$14)</f>
        <v>0</v>
      </c>
      <c r="W88" s="5">
        <f>Results_proc_ener!L88</f>
        <v>4192.3643317506339</v>
      </c>
      <c r="X88" s="5">
        <f>Results_proc_ener!M88</f>
        <v>0</v>
      </c>
      <c r="Y88" s="5">
        <f>Results_proc_ener!N88</f>
        <v>0</v>
      </c>
      <c r="Z88" s="5">
        <f>Results_proc_ener!O88</f>
        <v>0</v>
      </c>
      <c r="AA88" s="5">
        <f>Results_proc_ener!P88</f>
        <v>0</v>
      </c>
      <c r="AB88" s="5">
        <f>Results_proc_ener!Q88</f>
        <v>101.85018022556753</v>
      </c>
      <c r="AC88" s="5">
        <f>Results_proc_ener!R88</f>
        <v>63.055139080748575</v>
      </c>
      <c r="AD88" s="5">
        <f>Results_proc_ener!S88</f>
        <v>20.190511458763297</v>
      </c>
      <c r="AE88" s="5">
        <f>Results_proc_ener!T88</f>
        <v>0</v>
      </c>
    </row>
    <row r="89" spans="1:31" x14ac:dyDescent="0.25">
      <c r="A89" s="5"/>
      <c r="B89" s="5"/>
      <c r="C89" s="5"/>
      <c r="D89" s="5"/>
      <c r="E89" s="5"/>
      <c r="F89" s="5"/>
      <c r="G89" s="5" t="s">
        <v>64</v>
      </c>
      <c r="H89" s="5"/>
      <c r="I89" s="5"/>
      <c r="J89" s="5"/>
      <c r="K89" s="5">
        <v>216</v>
      </c>
      <c r="L89" s="8">
        <f>LOOKUP(K89,Manufacture!$C$12:$H$12,Manufacture!$C$14:$H$14)</f>
        <v>277.16605283849856</v>
      </c>
      <c r="M89" s="5"/>
      <c r="N89" s="5"/>
      <c r="O89" s="5"/>
      <c r="P89" s="5"/>
      <c r="Q89" s="5">
        <f>LOOKUP(K89,Distribution!$C$12:$H$12,Distribution!$C$14:$H$14)</f>
        <v>5.1709836705882353</v>
      </c>
      <c r="R89" s="5">
        <f>LOOKUP(K89,Installation!$C$12:$H$12,Installation!$C$14:$H$14)</f>
        <v>5.8457843190312317</v>
      </c>
      <c r="S89" s="5">
        <f>LOOKUP(K89,EOL!$C$12:$H$12,EOL!$C$14:$H$14)</f>
        <v>32.566909757480495</v>
      </c>
      <c r="T89" s="5">
        <f>LOOKUP(K89,Other!$C$12:$H$12,Other!$C$14:$H$14)</f>
        <v>0</v>
      </c>
      <c r="U89" s="5">
        <f>LOOKUP(K89,EOL_R!$C$12:$H$12,EOL_R!$C$14:$H$14)</f>
        <v>32.566909757480495</v>
      </c>
      <c r="V89" s="5">
        <f>LOOKUP(K89,Other_R!$C$12:$H$12,Other_R!$C$14:$H$14)</f>
        <v>0</v>
      </c>
      <c r="W89" s="5">
        <f>Results_proc_ener!L89</f>
        <v>5374.4962809077833</v>
      </c>
      <c r="X89" s="5">
        <f>Results_proc_ener!M89</f>
        <v>0</v>
      </c>
      <c r="Y89" s="5">
        <f>Results_proc_ener!N89</f>
        <v>0</v>
      </c>
      <c r="Z89" s="5">
        <f>Results_proc_ener!O89</f>
        <v>0</v>
      </c>
      <c r="AA89" s="5">
        <f>Results_proc_ener!P89</f>
        <v>0</v>
      </c>
      <c r="AB89" s="5">
        <f>Results_proc_ener!Q89</f>
        <v>127.92583323882354</v>
      </c>
      <c r="AC89" s="5">
        <f>Results_proc_ener!R89</f>
        <v>80.83496176967374</v>
      </c>
      <c r="AD89" s="5">
        <f>Results_proc_ener!S89</f>
        <v>25.883682847629913</v>
      </c>
      <c r="AE89" s="5">
        <f>Results_proc_ener!T89</f>
        <v>0</v>
      </c>
    </row>
    <row r="90" spans="1:31" x14ac:dyDescent="0.25">
      <c r="A90" s="5"/>
      <c r="B90" s="5"/>
      <c r="C90" s="5"/>
      <c r="D90" s="5"/>
      <c r="E90" s="5"/>
      <c r="F90" s="5"/>
      <c r="G90" s="5" t="s">
        <v>64</v>
      </c>
      <c r="H90" s="5"/>
      <c r="I90" s="5"/>
      <c r="J90" s="5"/>
      <c r="K90" s="5">
        <v>360</v>
      </c>
      <c r="L90" s="8">
        <f>LOOKUP(K90,Manufacture!$C$12:$H$12,Manufacture!$C$14:$H$14)</f>
        <v>537.54732106042195</v>
      </c>
      <c r="M90" s="5"/>
      <c r="N90" s="5"/>
      <c r="O90" s="5"/>
      <c r="P90" s="5"/>
      <c r="Q90" s="5">
        <f>LOOKUP(K90,Distribution!$C$12:$H$12,Distribution!$C$14:$H$14)</f>
        <v>7.6934147294117645</v>
      </c>
      <c r="R90" s="5">
        <f>LOOKUP(K90,Installation!$C$12:$H$12,Installation!$C$14:$H$14)</f>
        <v>11.337556197848274</v>
      </c>
      <c r="S90" s="5">
        <f>LOOKUP(K90,EOL!$C$12:$H$12,EOL!$C$14:$H$14)</f>
        <v>63.161613466245264</v>
      </c>
      <c r="T90" s="5">
        <f>LOOKUP(K90,Other!$C$12:$H$12,Other!$C$14:$H$14)</f>
        <v>0</v>
      </c>
      <c r="U90" s="5">
        <f>LOOKUP(K90,EOL_R!$C$12:$H$12,EOL_R!$C$14:$H$14)</f>
        <v>63.161613466245264</v>
      </c>
      <c r="V90" s="5">
        <f>LOOKUP(K90,Other_R!$C$12:$H$12,Other_R!$C$14:$H$14)</f>
        <v>0</v>
      </c>
      <c r="W90" s="5">
        <f>Results_proc_ener!L90</f>
        <v>10423.520659417098</v>
      </c>
      <c r="X90" s="5">
        <f>Results_proc_ener!M90</f>
        <v>0</v>
      </c>
      <c r="Y90" s="5">
        <f>Results_proc_ener!N90</f>
        <v>0</v>
      </c>
      <c r="Z90" s="5">
        <f>Results_proc_ener!O90</f>
        <v>0</v>
      </c>
      <c r="AA90" s="5">
        <f>Results_proc_ener!P90</f>
        <v>0</v>
      </c>
      <c r="AB90" s="5">
        <f>Results_proc_ener!Q90</f>
        <v>190.32867872117649</v>
      </c>
      <c r="AC90" s="5">
        <f>Results_proc_ener!R90</f>
        <v>156.77467244745546</v>
      </c>
      <c r="AD90" s="5">
        <f>Results_proc_ener!S90</f>
        <v>50.19988642703084</v>
      </c>
      <c r="AE90" s="5">
        <f>Results_proc_ener!T90</f>
        <v>0</v>
      </c>
    </row>
    <row r="91" spans="1:31" x14ac:dyDescent="0.25">
      <c r="A91" s="5"/>
      <c r="B91" s="5"/>
      <c r="C91" s="5"/>
      <c r="D91" s="5"/>
      <c r="E91" s="5"/>
      <c r="F91" s="5"/>
      <c r="G91" s="5" t="s">
        <v>16</v>
      </c>
      <c r="H91" s="5"/>
      <c r="I91" s="5"/>
      <c r="J91" s="5"/>
      <c r="K91" s="5" cm="1">
        <f t="array" ref="K91:K96">TRANSPOSE(Manufacture!C15:H15)</f>
        <v>135</v>
      </c>
      <c r="L91" s="8">
        <f>LOOKUP(K91,Manufacture!$C$15:$H$15,Manufacture!$C$17:$H$17)</f>
        <v>479.51140652655874</v>
      </c>
      <c r="M91" s="5"/>
      <c r="N91" s="5"/>
      <c r="O91" s="5"/>
      <c r="P91" s="5"/>
      <c r="Q91" s="5">
        <f>LOOKUP(K91,Distribution!$C$15:$H$15,Distribution!$C$17:$H$17)</f>
        <v>19.349821760145883</v>
      </c>
      <c r="R91" s="5">
        <f>LOOKUP(K91,Installation!$C$15:$H$15,Installation!$C$17:$H$17)</f>
        <v>13.951590630060622</v>
      </c>
      <c r="S91" s="5">
        <f>LOOKUP(K91,EOL!$C$15:$H$15,EOL!$C$17:$H$17)</f>
        <v>74.170193184829714</v>
      </c>
      <c r="T91" s="5">
        <f>LOOKUP(K91,Other!$C$15:$H$15,Other!$C$17:$H$17)</f>
        <v>285.35294117647061</v>
      </c>
      <c r="U91" s="5">
        <f>LOOKUP(K91,EOL_R!$C$15:$H$15,EOL_R!$C$17:$H$17)</f>
        <v>74.170193184829714</v>
      </c>
      <c r="V91" s="5">
        <f>LOOKUP(K91,Other_R!$C$15:$H$15,Other_R!$C$17:$H$17)</f>
        <v>285.35294117647061</v>
      </c>
      <c r="W91" s="5">
        <f>Results_proc_ener!L91</f>
        <v>16543.06782481787</v>
      </c>
      <c r="X91" s="5">
        <f>Results_proc_ener!M91</f>
        <v>0</v>
      </c>
      <c r="Y91" s="5">
        <f>Results_proc_ener!N91</f>
        <v>0</v>
      </c>
      <c r="Z91" s="5">
        <f>Results_proc_ener!O91</f>
        <v>0</v>
      </c>
      <c r="AA91" s="5">
        <f>Results_proc_ener!P91</f>
        <v>0</v>
      </c>
      <c r="AB91" s="5">
        <f>Results_proc_ener!Q91</f>
        <v>409.80298553976598</v>
      </c>
      <c r="AC91" s="5">
        <f>Results_proc_ener!R91</f>
        <v>92.101924210757218</v>
      </c>
      <c r="AD91" s="5">
        <f>Results_proc_ener!S91</f>
        <v>741.17647058823525</v>
      </c>
      <c r="AE91" s="5">
        <f>Results_proc_ener!T91</f>
        <v>285.35294117647061</v>
      </c>
    </row>
    <row r="92" spans="1:31" x14ac:dyDescent="0.25">
      <c r="A92" s="5"/>
      <c r="B92" s="5"/>
      <c r="C92" s="5"/>
      <c r="D92" s="5"/>
      <c r="E92" s="5"/>
      <c r="F92" s="5"/>
      <c r="G92" s="5" t="s">
        <v>16</v>
      </c>
      <c r="H92" s="5"/>
      <c r="I92" s="5"/>
      <c r="J92" s="5"/>
      <c r="K92" s="5">
        <v>162</v>
      </c>
      <c r="L92" s="8">
        <f>LOOKUP(K92,Manufacture!$C$15:$H$15,Manufacture!$C$17:$H$17)</f>
        <v>517.92057013867066</v>
      </c>
      <c r="M92" s="5"/>
      <c r="N92" s="5"/>
      <c r="O92" s="5"/>
      <c r="P92" s="5"/>
      <c r="Q92" s="5">
        <f>LOOKUP(K92,Distribution!$C$15:$H$15,Distribution!$C$17:$H$17)</f>
        <v>22.382437475011766</v>
      </c>
      <c r="R92" s="5">
        <f>LOOKUP(K92,Installation!$C$15:$H$15,Installation!$C$17:$H$17)</f>
        <v>16.373342786252611</v>
      </c>
      <c r="S92" s="5">
        <f>LOOKUP(K92,EOL!$C$15:$H$15,EOL!$C$17:$H$17)</f>
        <v>78.33376734552057</v>
      </c>
      <c r="T92" s="5">
        <f>LOOKUP(K92,Other!$C$15:$H$15,Other!$C$17:$H$17)</f>
        <v>285.35294117647061</v>
      </c>
      <c r="U92" s="5">
        <f>LOOKUP(K92,EOL_R!$C$15:$H$15,EOL_R!$C$17:$H$17)</f>
        <v>78.33376734552057</v>
      </c>
      <c r="V92" s="5">
        <f>LOOKUP(K92,Other_R!$C$15:$H$15,Other_R!$C$17:$H$17)</f>
        <v>285.35294117647061</v>
      </c>
      <c r="W92" s="5">
        <f>Results_proc_ener!L92</f>
        <v>17368.308898905492</v>
      </c>
      <c r="X92" s="5">
        <f>Results_proc_ener!M92</f>
        <v>0</v>
      </c>
      <c r="Y92" s="5">
        <f>Results_proc_ener!N92</f>
        <v>0</v>
      </c>
      <c r="Z92" s="5">
        <f>Results_proc_ener!O92</f>
        <v>0</v>
      </c>
      <c r="AA92" s="5">
        <f>Results_proc_ener!P92</f>
        <v>0</v>
      </c>
      <c r="AB92" s="5">
        <f>Results_proc_ener!Q92</f>
        <v>474.02967399983999</v>
      </c>
      <c r="AC92" s="5">
        <f>Results_proc_ener!R92</f>
        <v>118.53021408420905</v>
      </c>
      <c r="AD92" s="5">
        <f>Results_proc_ener!S92</f>
        <v>741.17647058823525</v>
      </c>
      <c r="AE92" s="5">
        <f>Results_proc_ener!T92</f>
        <v>285.35294117647061</v>
      </c>
    </row>
    <row r="93" spans="1:31" x14ac:dyDescent="0.25">
      <c r="A93" s="5"/>
      <c r="B93" s="5"/>
      <c r="C93" s="5"/>
      <c r="D93" s="5"/>
      <c r="E93" s="5"/>
      <c r="F93" s="5"/>
      <c r="G93" s="5" t="s">
        <v>16</v>
      </c>
      <c r="H93" s="5"/>
      <c r="I93" s="5"/>
      <c r="J93" s="5"/>
      <c r="K93" s="5">
        <v>180</v>
      </c>
      <c r="L93" s="8">
        <f>LOOKUP(K93,Manufacture!$C$15:$H$15,Manufacture!$C$17:$H$17)</f>
        <v>543.69668304271761</v>
      </c>
      <c r="M93" s="5"/>
      <c r="N93" s="5"/>
      <c r="O93" s="5"/>
      <c r="P93" s="5"/>
      <c r="Q93" s="5">
        <f>LOOKUP(K93,Distribution!$C$15:$H$15,Distribution!$C$17:$H$17)</f>
        <v>24.404181284922348</v>
      </c>
      <c r="R93" s="5">
        <f>LOOKUP(K93,Installation!$C$15:$H$15,Installation!$C$17:$H$17)</f>
        <v>17.987844223713939</v>
      </c>
      <c r="S93" s="5">
        <f>LOOKUP(K93,EOL!$C$15:$H$15,EOL!$C$17:$H$17)</f>
        <v>81.109483452647808</v>
      </c>
      <c r="T93" s="5">
        <f>LOOKUP(K93,Other!$C$15:$H$15,Other!$C$17:$H$17)</f>
        <v>285.35294117647061</v>
      </c>
      <c r="U93" s="5">
        <f>LOOKUP(K93,EOL_R!$C$15:$H$15,EOL_R!$C$17:$H$17)</f>
        <v>81.109483452647808</v>
      </c>
      <c r="V93" s="5">
        <f>LOOKUP(K93,Other_R!$C$15:$H$15,Other_R!$C$17:$H$17)</f>
        <v>285.35294117647061</v>
      </c>
      <c r="W93" s="5">
        <f>Results_proc_ener!L93</f>
        <v>17918.469614963906</v>
      </c>
      <c r="X93" s="5">
        <f>Results_proc_ener!M93</f>
        <v>0</v>
      </c>
      <c r="Y93" s="5">
        <f>Results_proc_ener!N93</f>
        <v>0</v>
      </c>
      <c r="Z93" s="5">
        <f>Results_proc_ener!O93</f>
        <v>0</v>
      </c>
      <c r="AA93" s="5">
        <f>Results_proc_ener!P93</f>
        <v>0</v>
      </c>
      <c r="AB93" s="5">
        <f>Results_proc_ener!Q93</f>
        <v>516.84746630655604</v>
      </c>
      <c r="AC93" s="5">
        <f>Results_proc_ener!R93</f>
        <v>136.14907399984364</v>
      </c>
      <c r="AD93" s="5">
        <f>Results_proc_ener!S93</f>
        <v>741.17647058823525</v>
      </c>
      <c r="AE93" s="5">
        <f>Results_proc_ener!T93</f>
        <v>285.35294117647061</v>
      </c>
    </row>
    <row r="94" spans="1:31" x14ac:dyDescent="0.25">
      <c r="A94" s="5"/>
      <c r="B94" s="5"/>
      <c r="C94" s="5"/>
      <c r="D94" s="5"/>
      <c r="E94" s="5"/>
      <c r="F94" s="5"/>
      <c r="G94" s="5" t="s">
        <v>16</v>
      </c>
      <c r="H94" s="5"/>
      <c r="I94" s="5"/>
      <c r="J94" s="5"/>
      <c r="K94" s="5">
        <v>216</v>
      </c>
      <c r="L94" s="8">
        <f>LOOKUP(K94,Manufacture!$C$15:$H$15,Manufacture!$C$17:$H$17)</f>
        <v>595.24890885081186</v>
      </c>
      <c r="M94" s="5"/>
      <c r="N94" s="5"/>
      <c r="O94" s="5"/>
      <c r="P94" s="5"/>
      <c r="Q94" s="5">
        <f>LOOKUP(K94,Distribution!$C$15:$H$15,Distribution!$C$17:$H$17)</f>
        <v>28.447668904743534</v>
      </c>
      <c r="R94" s="5">
        <f>LOOKUP(K94,Installation!$C$15:$H$15,Installation!$C$17:$H$17)</f>
        <v>21.216847098636595</v>
      </c>
      <c r="S94" s="5">
        <f>LOOKUP(K94,EOL!$C$15:$H$15,EOL!$C$17:$H$17)</f>
        <v>86.66091566690227</v>
      </c>
      <c r="T94" s="5">
        <f>LOOKUP(K94,Other!$C$15:$H$15,Other!$C$17:$H$17)</f>
        <v>285.35294117647061</v>
      </c>
      <c r="U94" s="5">
        <f>LOOKUP(K94,EOL_R!$C$15:$H$15,EOL_R!$C$17:$H$17)</f>
        <v>86.66091566690227</v>
      </c>
      <c r="V94" s="5">
        <f>LOOKUP(K94,Other_R!$C$15:$H$15,Other_R!$C$17:$H$17)</f>
        <v>285.35294117647061</v>
      </c>
      <c r="W94" s="5">
        <f>Results_proc_ener!L94</f>
        <v>19018.791047080736</v>
      </c>
      <c r="X94" s="5">
        <f>Results_proc_ener!M94</f>
        <v>0</v>
      </c>
      <c r="Y94" s="5">
        <f>Results_proc_ener!N94</f>
        <v>0</v>
      </c>
      <c r="Z94" s="5">
        <f>Results_proc_ener!O94</f>
        <v>0</v>
      </c>
      <c r="AA94" s="5">
        <f>Results_proc_ener!P94</f>
        <v>0</v>
      </c>
      <c r="AB94" s="5">
        <f>Results_proc_ener!Q94</f>
        <v>602.48305091998816</v>
      </c>
      <c r="AC94" s="5">
        <f>Results_proc_ener!R94</f>
        <v>171.38679383111281</v>
      </c>
      <c r="AD94" s="5">
        <f>Results_proc_ener!S94</f>
        <v>741.17647058823525</v>
      </c>
      <c r="AE94" s="5">
        <f>Results_proc_ener!T94</f>
        <v>285.35294117647061</v>
      </c>
    </row>
    <row r="95" spans="1:31" x14ac:dyDescent="0.25">
      <c r="A95" s="5"/>
      <c r="B95" s="5"/>
      <c r="C95" s="5"/>
      <c r="D95" s="5"/>
      <c r="E95" s="5"/>
      <c r="F95" s="5"/>
      <c r="G95" s="5" t="s">
        <v>16</v>
      </c>
      <c r="H95" s="5"/>
      <c r="I95" s="5"/>
      <c r="J95" s="5"/>
      <c r="K95" s="5">
        <v>300</v>
      </c>
      <c r="L95" s="8">
        <f>LOOKUP(K95,Manufacture!$C$15:$H$15,Manufacture!$C$17:$H$17)</f>
        <v>715.28242999240581</v>
      </c>
      <c r="M95" s="5"/>
      <c r="N95" s="5"/>
      <c r="O95" s="5"/>
      <c r="P95" s="5"/>
      <c r="Q95" s="5">
        <f>LOOKUP(K95,Distribution!$C$15:$H$15,Distribution!$C$17:$H$17)</f>
        <v>37.882473350992939</v>
      </c>
      <c r="R95" s="5">
        <f>LOOKUP(K95,Installation!$C$15:$H$15,Installation!$C$17:$H$17)</f>
        <v>28.751187140122788</v>
      </c>
      <c r="S95" s="5">
        <f>LOOKUP(K95,EOL!$C$15:$H$15,EOL!$C$17:$H$17)</f>
        <v>99.614257500162736</v>
      </c>
      <c r="T95" s="5">
        <f>LOOKUP(K95,Other!$C$15:$H$15,Other!$C$17:$H$17)</f>
        <v>285.35294117647061</v>
      </c>
      <c r="U95" s="5">
        <f>LOOKUP(K95,EOL_R!$C$15:$H$15,EOL_R!$C$17:$H$17)</f>
        <v>99.614257500162736</v>
      </c>
      <c r="V95" s="5">
        <f>LOOKUP(K95,Other_R!$C$15:$H$15,Other_R!$C$17:$H$17)</f>
        <v>285.35294117647061</v>
      </c>
      <c r="W95" s="5">
        <f>Results_proc_ener!L95</f>
        <v>21586.207722020004</v>
      </c>
      <c r="X95" s="5">
        <f>Results_proc_ener!M95</f>
        <v>0</v>
      </c>
      <c r="Y95" s="5">
        <f>Results_proc_ener!N95</f>
        <v>0</v>
      </c>
      <c r="Z95" s="5">
        <f>Results_proc_ener!O95</f>
        <v>0</v>
      </c>
      <c r="AA95" s="5">
        <f>Results_proc_ener!P95</f>
        <v>0</v>
      </c>
      <c r="AB95" s="5">
        <f>Results_proc_ener!Q95</f>
        <v>802.29941501799601</v>
      </c>
      <c r="AC95" s="5">
        <f>Results_proc_ener!R95</f>
        <v>253.60814010407412</v>
      </c>
      <c r="AD95" s="5">
        <f>Results_proc_ener!S95</f>
        <v>741.17647058823525</v>
      </c>
      <c r="AE95" s="5">
        <f>Results_proc_ener!T95</f>
        <v>285.35294117647061</v>
      </c>
    </row>
    <row r="96" spans="1:31" x14ac:dyDescent="0.25">
      <c r="A96" s="5"/>
      <c r="B96" s="5"/>
      <c r="C96" s="5"/>
      <c r="D96" s="5"/>
      <c r="E96" s="5"/>
      <c r="F96" s="5"/>
      <c r="G96" s="5" t="s">
        <v>16</v>
      </c>
      <c r="H96" s="5"/>
      <c r="I96" s="5"/>
      <c r="J96" s="5"/>
      <c r="K96" s="5">
        <v>360</v>
      </c>
      <c r="L96" s="8">
        <f>LOOKUP(K96,Manufacture!$C$15:$H$15,Manufacture!$C$17:$H$17)</f>
        <v>800.94780059527068</v>
      </c>
      <c r="M96" s="5"/>
      <c r="N96" s="5"/>
      <c r="O96" s="5"/>
      <c r="P96" s="5"/>
      <c r="Q96" s="5">
        <f>LOOKUP(K96,Distribution!$C$15:$H$15,Distribution!$C$17:$H$17)</f>
        <v>44.621619384028236</v>
      </c>
      <c r="R96" s="5">
        <f>LOOKUP(K96,Installation!$C$15:$H$15,Installation!$C$17:$H$17)</f>
        <v>34.132858598327211</v>
      </c>
      <c r="S96" s="5">
        <f>LOOKUP(K96,EOL!$C$15:$H$15,EOL!$C$17:$H$17)</f>
        <v>108.86664452392017</v>
      </c>
      <c r="T96" s="5">
        <f>LOOKUP(K96,Other!$C$15:$H$15,Other!$C$17:$H$17)</f>
        <v>285.35294117647061</v>
      </c>
      <c r="U96" s="5">
        <f>LOOKUP(K96,EOL_R!$C$15:$H$15,EOL_R!$C$17:$H$17)</f>
        <v>108.86664452392017</v>
      </c>
      <c r="V96" s="5">
        <f>LOOKUP(K96,Other_R!$C$15:$H$15,Other_R!$C$17:$H$17)</f>
        <v>285.35294117647061</v>
      </c>
      <c r="W96" s="5">
        <f>Results_proc_ener!L96</f>
        <v>23420.076775548048</v>
      </c>
      <c r="X96" s="5">
        <f>Results_proc_ener!M96</f>
        <v>0</v>
      </c>
      <c r="Y96" s="5">
        <f>Results_proc_ener!N96</f>
        <v>0</v>
      </c>
      <c r="Z96" s="5">
        <f>Results_proc_ener!O96</f>
        <v>0</v>
      </c>
      <c r="AA96" s="5">
        <f>Results_proc_ener!P96</f>
        <v>0</v>
      </c>
      <c r="AB96" s="5">
        <f>Results_proc_ener!Q96</f>
        <v>945.02538937371605</v>
      </c>
      <c r="AC96" s="5">
        <f>Results_proc_ener!R96</f>
        <v>312.33767315618928</v>
      </c>
      <c r="AD96" s="5">
        <f>Results_proc_ener!S96</f>
        <v>741.17647058823525</v>
      </c>
      <c r="AE96" s="5">
        <f>Results_proc_ener!T96</f>
        <v>285.35294117647061</v>
      </c>
    </row>
    <row r="97" spans="1:31" x14ac:dyDescent="0.25">
      <c r="A97" s="5"/>
      <c r="B97" s="5"/>
      <c r="C97" s="5"/>
      <c r="D97" s="5"/>
      <c r="E97" s="5"/>
      <c r="F97" s="5"/>
      <c r="G97" s="5" t="s">
        <v>65</v>
      </c>
      <c r="H97" s="5"/>
      <c r="I97" s="5"/>
      <c r="J97" s="5"/>
      <c r="K97" s="5">
        <v>162</v>
      </c>
      <c r="L97" s="8">
        <f>LOOKUP(K97,Manufacture!$C$15:$H$15,Manufacture!$C$17:$H$17)</f>
        <v>517.92057013867066</v>
      </c>
      <c r="M97" s="5"/>
      <c r="N97" s="5"/>
      <c r="O97" s="5"/>
      <c r="P97" s="5"/>
      <c r="Q97" s="5">
        <f>LOOKUP(K97,Distribution!$C$15:$H$15,Distribution!$C$17:$H$17)</f>
        <v>22.382437475011766</v>
      </c>
      <c r="R97" s="5">
        <f>LOOKUP(K97,Installation!$C$15:$H$15,Installation!$C$17:$H$17)</f>
        <v>16.373342786252611</v>
      </c>
      <c r="S97" s="5">
        <f>LOOKUP(K97,EOL!$C$15:$H$15,EOL!$C$17:$H$17)</f>
        <v>78.33376734552057</v>
      </c>
      <c r="T97" s="5">
        <f>LOOKUP(K97,Other!$C$15:$H$15,Other!$C$17:$H$17)</f>
        <v>285.35294117647061</v>
      </c>
      <c r="U97" s="5">
        <f>LOOKUP(K97,EOL_R!$C$15:$H$15,EOL_R!$C$17:$H$17)</f>
        <v>78.33376734552057</v>
      </c>
      <c r="V97" s="5">
        <f>LOOKUP(K97,Other_R!$C$15:$H$15,Other_R!$C$17:$H$17)</f>
        <v>285.35294117647061</v>
      </c>
      <c r="W97" s="5">
        <f>Results_proc_ener!L97</f>
        <v>17368.308898905492</v>
      </c>
      <c r="X97" s="5">
        <f>Results_proc_ener!M97</f>
        <v>0</v>
      </c>
      <c r="Y97" s="5">
        <f>Results_proc_ener!N97</f>
        <v>0</v>
      </c>
      <c r="Z97" s="5">
        <f>Results_proc_ener!O97</f>
        <v>0</v>
      </c>
      <c r="AA97" s="5">
        <f>Results_proc_ener!P97</f>
        <v>0</v>
      </c>
      <c r="AB97" s="5">
        <f>Results_proc_ener!Q97</f>
        <v>474.02967399983999</v>
      </c>
      <c r="AC97" s="5">
        <f>Results_proc_ener!R97</f>
        <v>118.53021408420905</v>
      </c>
      <c r="AD97" s="5">
        <f>Results_proc_ener!S97</f>
        <v>741.17647058823525</v>
      </c>
      <c r="AE97" s="5">
        <f>Results_proc_ener!T97</f>
        <v>285.35294117647061</v>
      </c>
    </row>
    <row r="98" spans="1:31" x14ac:dyDescent="0.25">
      <c r="A98" s="5"/>
      <c r="B98" s="5"/>
      <c r="C98" s="5"/>
      <c r="D98" s="5"/>
      <c r="E98" s="5"/>
      <c r="F98" s="5"/>
      <c r="G98" s="5" t="s">
        <v>65</v>
      </c>
      <c r="H98" s="5"/>
      <c r="I98" s="5"/>
      <c r="J98" s="5"/>
      <c r="K98" s="5">
        <v>216</v>
      </c>
      <c r="L98" s="8">
        <f>LOOKUP(K98,Manufacture!$C$15:$H$15,Manufacture!$C$17:$H$17)</f>
        <v>595.24890885081186</v>
      </c>
      <c r="M98" s="5"/>
      <c r="N98" s="5"/>
      <c r="O98" s="5"/>
      <c r="P98" s="5"/>
      <c r="Q98" s="5">
        <f>LOOKUP(K98,Distribution!$C$15:$H$15,Distribution!$C$17:$H$17)</f>
        <v>28.447668904743534</v>
      </c>
      <c r="R98" s="5">
        <f>LOOKUP(K98,Installation!$C$15:$H$15,Installation!$C$17:$H$17)</f>
        <v>21.216847098636595</v>
      </c>
      <c r="S98" s="5">
        <f>LOOKUP(K98,EOL!$C$15:$H$15,EOL!$C$17:$H$17)</f>
        <v>86.66091566690227</v>
      </c>
      <c r="T98" s="5">
        <f>LOOKUP(K98,Other!$C$15:$H$15,Other!$C$17:$H$17)</f>
        <v>285.35294117647061</v>
      </c>
      <c r="U98" s="5">
        <f>LOOKUP(K98,EOL_R!$C$15:$H$15,EOL_R!$C$17:$H$17)</f>
        <v>86.66091566690227</v>
      </c>
      <c r="V98" s="5">
        <f>LOOKUP(K98,Other_R!$C$15:$H$15,Other_R!$C$17:$H$17)</f>
        <v>285.35294117647061</v>
      </c>
      <c r="W98" s="5">
        <f>Results_proc_ener!L98</f>
        <v>19018.791047080736</v>
      </c>
      <c r="X98" s="5">
        <f>Results_proc_ener!M98</f>
        <v>0</v>
      </c>
      <c r="Y98" s="5">
        <f>Results_proc_ener!N98</f>
        <v>0</v>
      </c>
      <c r="Z98" s="5">
        <f>Results_proc_ener!O98</f>
        <v>0</v>
      </c>
      <c r="AA98" s="5">
        <f>Results_proc_ener!P98</f>
        <v>0</v>
      </c>
      <c r="AB98" s="5">
        <f>Results_proc_ener!Q98</f>
        <v>602.48305091998816</v>
      </c>
      <c r="AC98" s="5">
        <f>Results_proc_ener!R98</f>
        <v>171.38679383111281</v>
      </c>
      <c r="AD98" s="5">
        <f>Results_proc_ener!S98</f>
        <v>741.17647058823525</v>
      </c>
      <c r="AE98" s="5">
        <f>Results_proc_ener!T98</f>
        <v>285.35294117647061</v>
      </c>
    </row>
    <row r="99" spans="1:31" x14ac:dyDescent="0.25">
      <c r="A99" s="5"/>
      <c r="B99" s="5"/>
      <c r="C99" s="5"/>
      <c r="D99" s="5"/>
      <c r="E99" s="5"/>
      <c r="F99" s="5"/>
      <c r="G99" s="5" t="s">
        <v>65</v>
      </c>
      <c r="H99" s="5"/>
      <c r="I99" s="5"/>
      <c r="J99" s="5"/>
      <c r="K99" s="5">
        <v>360</v>
      </c>
      <c r="L99" s="8">
        <f>LOOKUP(K99,Manufacture!$C$15:$H$15,Manufacture!$C$17:$H$17)</f>
        <v>800.94780059527068</v>
      </c>
      <c r="M99" s="5"/>
      <c r="N99" s="5"/>
      <c r="O99" s="5"/>
      <c r="P99" s="5"/>
      <c r="Q99" s="5">
        <f>LOOKUP(K99,Distribution!$C$15:$H$15,Distribution!$C$17:$H$17)</f>
        <v>44.621619384028236</v>
      </c>
      <c r="R99" s="5">
        <f>LOOKUP(K99,Installation!$C$15:$H$15,Installation!$C$17:$H$17)</f>
        <v>34.132858598327211</v>
      </c>
      <c r="S99" s="5">
        <f>LOOKUP(K99,EOL!$C$15:$H$15,EOL!$C$17:$H$17)</f>
        <v>108.86664452392017</v>
      </c>
      <c r="T99" s="5">
        <f>LOOKUP(K99,Other!$C$15:$H$15,Other!$C$17:$H$17)</f>
        <v>285.35294117647061</v>
      </c>
      <c r="U99" s="5">
        <f>LOOKUP(K99,EOL_R!$C$15:$H$15,EOL_R!$C$17:$H$17)</f>
        <v>108.86664452392017</v>
      </c>
      <c r="V99" s="5">
        <f>LOOKUP(K99,Other_R!$C$15:$H$15,Other_R!$C$17:$H$17)</f>
        <v>285.35294117647061</v>
      </c>
      <c r="W99" s="5">
        <f>Results_proc_ener!L99</f>
        <v>23420.076775548048</v>
      </c>
      <c r="X99" s="5">
        <f>Results_proc_ener!M99</f>
        <v>0</v>
      </c>
      <c r="Y99" s="5">
        <f>Results_proc_ener!N99</f>
        <v>0</v>
      </c>
      <c r="Z99" s="5">
        <f>Results_proc_ener!O99</f>
        <v>0</v>
      </c>
      <c r="AA99" s="5">
        <f>Results_proc_ener!P99</f>
        <v>0</v>
      </c>
      <c r="AB99" s="5">
        <f>Results_proc_ener!Q99</f>
        <v>945.02538937371605</v>
      </c>
      <c r="AC99" s="5">
        <f>Results_proc_ener!R99</f>
        <v>312.33767315618928</v>
      </c>
      <c r="AD99" s="5">
        <f>Results_proc_ener!S99</f>
        <v>741.17647058823525</v>
      </c>
      <c r="AE99" s="5">
        <f>Results_proc_ener!T99</f>
        <v>285.35294117647061</v>
      </c>
    </row>
    <row r="100" spans="1:31" x14ac:dyDescent="0.25">
      <c r="A100" s="5"/>
      <c r="B100" s="5" t="str">
        <f>CONCATENATE(C100, "-", "Nom")</f>
        <v>Mass-Nom</v>
      </c>
      <c r="C100" s="5" t="s">
        <v>37</v>
      </c>
      <c r="D100" s="5" t="str">
        <f t="shared" si="5"/>
        <v>Nom</v>
      </c>
      <c r="E100" s="5" t="s">
        <v>3</v>
      </c>
      <c r="F100" s="5" t="s">
        <v>54</v>
      </c>
      <c r="G100" s="5" t="s">
        <v>54</v>
      </c>
      <c r="H100" s="5">
        <v>8.5</v>
      </c>
      <c r="I100" s="5"/>
      <c r="J100" s="5">
        <f>_xlfn.CEILING.MATH(H100,1)</f>
        <v>9</v>
      </c>
      <c r="K100" s="5">
        <v>200</v>
      </c>
      <c r="L100" s="8" cm="1">
        <f t="array" ref="L100">_xlfn.SWITCH(K100,200,_xlfn.XLOOKUP(J100,Manufacture!$C$18:$N$18,Manufacture!$C$20:$N$20) + _xlfn.XLOOKUP(B100&amp;"|"&amp;E100,
        Calculate_cap_emi!$L$14:$L$21&amp;"|"&amp;Calculate_cap_emi!$I$14:$I$21,
        Calculate_cap_emi!$AI$14:$AI$21, "Not found", 0), LOOKUP(K100,Manufacture!$C$24:$D$24,Manufacture!$C$26:$D$26) + _xlfn.XLOOKUP(J100,Manufacture!$C$18:$N$18,Manufacture!$C$20:$N$20) + _xlfn.XLOOKUP(B100&amp;"|"&amp;E100,
        Calculate_cap_emi!$L$14:$L$21&amp;"|"&amp;Calculate_cap_emi!$I$14:$I$21,
        Calculate_cap_emi!$AI$14:$AI$21, "Not found", 0))</f>
        <v>3324.0365068097881</v>
      </c>
      <c r="M100" s="8">
        <f>_xlfn.XLOOKUP(J100,Manufacture!$C$18:$N$18,Manufacture!$C$20:$N$20)</f>
        <v>1869.654705882353</v>
      </c>
      <c r="N100" s="8" cm="1">
        <f t="array" ref="N100">_xlfn.SWITCH(K100,200,0,LOOKUP(K100,Manufacture!$C$24:$D$24,Manufacture!$C$26:$D$26))</f>
        <v>0</v>
      </c>
      <c r="O100" s="5" cm="1">
        <f t="array" ref="O100">_xlfn.XLOOKUP(B100&amp;"|"&amp;E100,
        Calculate_cap_emi!$L$14:$L$21&amp;"|"&amp;Calculate_cap_emi!$I$14:$I$21,
        Calculate_cap_emi!$AI$14:$AI$21, "Not found", 0)</f>
        <v>1454.3818009274348</v>
      </c>
      <c r="P100" s="8">
        <f>SUM(M100:O100)</f>
        <v>3324.0365068097881</v>
      </c>
      <c r="Q100" s="8" cm="1">
        <f t="array" ref="Q100">_xlfn.SWITCH(K100,200,_xlfn.XLOOKUP(J100,Distribution!$C$18:$N$18,Distribution!$C$20:$N$20) + _xlfn.XLOOKUP(B100&amp;"|"&amp;E100,
        Calculate_cap_emi!$L$14:$L$21&amp;"|"&amp;Calculate_cap_emi!$I$14:$I$21,
        Calculate_cap_emi!$AP$14:$AP$21, "Not found", 0), LOOKUP(K100,Distribution!$C$24:$D$24,Distribution!$C$26:$D$26) + _xlfn.XLOOKUP(J100,Distribution!$C$18:$N$18,Distribution!$C$20:$N$20) + _xlfn.XLOOKUP(B100&amp;"|"&amp;E100,
        Calculate_cap_emi!$L$14:$L$21&amp;"|"&amp;Calculate_cap_emi!$I$14:$I$21,
        Calculate_cap_emi!$AP$14:$AP$21, "Not found", 0))</f>
        <v>119.13562683056961</v>
      </c>
      <c r="R100" s="8" cm="1">
        <f t="array" ref="R100">_xlfn.SWITCH(K100,200,_xlfn.XLOOKUP(J100,Installation!$C$18:$N$18,Installation!$C$20:$N$20) + _xlfn.XLOOKUP(B100&amp;"|"&amp;E100,
        Calculate_cap_emi!$L$14:$L$21&amp;"|"&amp;Calculate_cap_emi!$I$14:$I$21,
        Calculate_cap_emi!$AW$14:$AW$21, "Not found", 0), LOOKUP(K100,Installation!$C$24:$D$24,Installation!$C$26:$D$26) + _xlfn.XLOOKUP(J100,Installation!$C$18:$N$18,Installation!$C$20:$N$20) + _xlfn.XLOOKUP(B100&amp;"|"&amp;E100,
        Calculate_cap_emi!$L$14:$L$21&amp;"|"&amp;Calculate_cap_emi!$I$14:$I$21,
        Calculate_cap_emi!$AW$14:$AW$21, "Not found", 0))</f>
        <v>112.79288734201553</v>
      </c>
      <c r="S100" s="8" cm="1">
        <f t="array" ref="S100">_xlfn.SWITCH(K100,200,_xlfn.XLOOKUP(J100,EOL!$C$18:$N$18,EOL!$C$20:$N$20) + _xlfn.XLOOKUP(B100&amp;"|"&amp;E100,
        Calculate_cap_emi!$L$14:$L$21&amp;"|"&amp;Calculate_cap_emi!$I$14:$I$21,
        Calculate_cap_emi!$BD$14:$BD$21, "Not found", 0), LOOKUP(K100,EOL!$C$24:$D$24,EOL!$C$26:$D$26) + _xlfn.XLOOKUP(J100,EOL!$C$18:$N$18,EOL!$C$20:$N$20) + _xlfn.XLOOKUP(B100&amp;"|"&amp;E100,
        Calculate_cap_emi!$L$14:$L$21&amp;"|"&amp;Calculate_cap_emi!$I$14:$I$21,
        Calculate_cap_emi!$BD$14:$BD$21, "Not found", 0))</f>
        <v>531.89790263029408</v>
      </c>
      <c r="T100" s="8" cm="1">
        <f t="array" ref="T100">_xlfn.SWITCH(K100,200,_xlfn.XLOOKUP(J100,Other!$C$18:$N$18,Other!$C$20:$N$20) + _xlfn.XLOOKUP(B100&amp;"|"&amp;E100,
        Calculate_cap_emi!$L$14:$L$21&amp;"|"&amp;Calculate_cap_emi!$I$14:$I$21,
        Calculate_cap_emi!$BK$14:$BK$21, "Not found", 0), LOOKUP(K100,Other!$C$24:$D$24,Other!$C$26:$D$26) + _xlfn.XLOOKUP(J100,Other!$C$18:$N$18,Other!$C$20:$N$20) + _xlfn.XLOOKUP(B100&amp;"|"&amp;E100,
        Calculate_cap_emi!$L$14:$L$21&amp;"|"&amp;Calculate_cap_emi!$I$14:$I$21,
        Calculate_cap_emi!$BK$14:$BK$21, "Not found", 0))</f>
        <v>2365.2788062122027</v>
      </c>
      <c r="U100" s="8" cm="1">
        <f t="array" ref="U100">_xlfn.SWITCH(K100,200,_xlfn.XLOOKUP(J100,EOL_R!$C$18:$N$18,EOL_R!$C$20:$N$20) + _xlfn.XLOOKUP(B100&amp;"|"&amp;E100,
        Calculate_cap_emi_sens!$L$14:$L$21&amp;"|"&amp;Calculate_cap_emi_sens!$I$14:$I$21,
        Calculate_cap_emi_sens!$BD$14:$BD$21, "Not found", 0), LOOKUP(K100,EOL_R!$C$24:$D$24,EOL_R!$C$26:$D$26) + _xlfn.XLOOKUP(J100,EOL_R!$C$18:$N$18,EOL_R!$C$20:$N$20) + _xlfn.XLOOKUP(B100&amp;"|"&amp;E100,
        Calculate_cap_emi_sens!$L$14:$L$21&amp;"|"&amp;Calculate_cap_emi_sens!$I$14:$I$21,
        Calculate_cap_emi_sens!$BD$14:$BD$21, "Not found", 0))</f>
        <v>381.83704426909264</v>
      </c>
      <c r="V100" s="8" cm="1">
        <f t="array" ref="V100">_xlfn.SWITCH(K100,200,_xlfn.XLOOKUP(J100,Other_R!$C$18:$N$18,Other_R!$C$20:$N$20) + _xlfn.XLOOKUP(B100&amp;"|"&amp;E100,
        Calculate_cap_emi_sens!$L$14:$L$21&amp;"|"&amp;Calculate_cap_emi_sens!$I$14:$I$21,
        Calculate_cap_emi_sens!$BK$14:$BK$21, "Not found", 0), LOOKUP(K100,Other_R!$C$24:$D$24,Other_R!$C$26:$D$26) + _xlfn.XLOOKUP(J100,Other_R!$C$18:$N$18,Other_R!$C$20:$N$20) + _xlfn.XLOOKUP(B100&amp;"|"&amp;E100,
        Calculate_cap_emi_sens!$L$14:$L$21&amp;"|"&amp;Calculate_cap_emi_sens!$I$14:$I$21,
        Calculate_cap_emi_sens!$BK$14:$BK$21, "Not found", 0))</f>
        <v>1912.4113353671346</v>
      </c>
      <c r="W100" s="5">
        <f>Results_proc_ener!L100</f>
        <v>99952.067213565591</v>
      </c>
      <c r="X100" s="5">
        <f>Results_proc_ener!M100</f>
        <v>49760.002199565621</v>
      </c>
      <c r="Y100" s="5">
        <f>Results_proc_ener!N100</f>
        <v>0</v>
      </c>
      <c r="Z100" s="5">
        <f>Results_proc_ener!O100</f>
        <v>50192.065013999971</v>
      </c>
      <c r="AA100" s="5">
        <f>Results_proc_ener!P100</f>
        <v>99952.067213565591</v>
      </c>
      <c r="AB100" s="5">
        <f>Results_proc_ener!Q100</f>
        <v>2523.1310223164965</v>
      </c>
      <c r="AC100" s="5">
        <f>Results_proc_ener!R100</f>
        <v>223.35386017201552</v>
      </c>
      <c r="AD100" s="5">
        <f>Results_proc_ener!S100</f>
        <v>5379.0712583999994</v>
      </c>
      <c r="AE100" s="5">
        <f>Results_proc_ener!T100</f>
        <v>74234.7807270372</v>
      </c>
    </row>
    <row r="101" spans="1:31" x14ac:dyDescent="0.25">
      <c r="A101" s="5"/>
      <c r="B101" s="5" t="str">
        <f t="shared" ref="B101:B147" si="6">CONCATENATE(C101, "-", "Nom")</f>
        <v>Mass-Nom</v>
      </c>
      <c r="C101" s="5" t="s">
        <v>37</v>
      </c>
      <c r="D101" s="5" t="str">
        <f t="shared" si="5"/>
        <v>Nom</v>
      </c>
      <c r="E101" s="5" t="s">
        <v>3</v>
      </c>
      <c r="F101" s="5" t="s">
        <v>54</v>
      </c>
      <c r="G101" s="5" t="s">
        <v>54</v>
      </c>
      <c r="H101" s="5">
        <v>11.2</v>
      </c>
      <c r="I101" s="5"/>
      <c r="J101" s="5">
        <f t="shared" ref="J101:J147" si="7">_xlfn.CEILING.MATH(H101,1)</f>
        <v>12</v>
      </c>
      <c r="K101" s="5">
        <v>200</v>
      </c>
      <c r="L101" s="8" cm="1">
        <f t="array" ref="L101">_xlfn.SWITCH(K101,200,_xlfn.XLOOKUP(J101,Manufacture!$C$18:$N$18,Manufacture!$C$20:$N$20) + _xlfn.XLOOKUP(B101&amp;"|"&amp;E101,
        Calculate_cap_emi!$L$14:$L$21&amp;"|"&amp;Calculate_cap_emi!$I$14:$I$21,
        Calculate_cap_emi!$AI$14:$AI$21, "Not found", 0), LOOKUP(K101,Manufacture!$C$24:$D$24,Manufacture!$C$26:$D$26) + _xlfn.XLOOKUP(J101,Manufacture!$C$18:$N$18,Manufacture!$C$20:$N$20) + _xlfn.XLOOKUP(B101&amp;"|"&amp;E101,
        Calculate_cap_emi!$L$14:$L$21&amp;"|"&amp;Calculate_cap_emi!$I$14:$I$21,
        Calculate_cap_emi!$AI$14:$AI$21, "Not found", 0))</f>
        <v>3442.8100362215523</v>
      </c>
      <c r="M101" s="8">
        <f>_xlfn.XLOOKUP(J101,Manufacture!$C$18:$N$18,Manufacture!$C$20:$N$20)</f>
        <v>1988.4282352941175</v>
      </c>
      <c r="N101" s="8" cm="1">
        <f t="array" ref="N101">_xlfn.SWITCH(K101,200,0,LOOKUP(K101,Manufacture!$C$24:$D$24,Manufacture!$C$26:$D$26))</f>
        <v>0</v>
      </c>
      <c r="O101" s="5" cm="1">
        <f t="array" ref="O101">_xlfn.XLOOKUP(B101&amp;"|"&amp;E101,
        Calculate_cap_emi!$L$14:$L$21&amp;"|"&amp;Calculate_cap_emi!$I$14:$I$21,
        Calculate_cap_emi!$AI$14:$AI$21, "Not found", 0)</f>
        <v>1454.3818009274348</v>
      </c>
      <c r="P101" s="8">
        <f t="shared" ref="P101:P147" si="8">SUM(M101:O101)</f>
        <v>3442.8100362215523</v>
      </c>
      <c r="Q101" s="8" cm="1">
        <f t="array" ref="Q101">_xlfn.SWITCH(K101,200,_xlfn.XLOOKUP(J101,Distribution!$C$18:$N$18,Distribution!$C$20:$N$20) + _xlfn.XLOOKUP(B101&amp;"|"&amp;E101,
        Calculate_cap_emi!$L$14:$L$21&amp;"|"&amp;Calculate_cap_emi!$I$14:$I$21,
        Calculate_cap_emi!$AP$14:$AP$21, "Not found", 0), LOOKUP(K101,Distribution!$C$24:$D$24,Distribution!$C$26:$D$26) + _xlfn.XLOOKUP(J101,Distribution!$C$18:$N$18,Distribution!$C$20:$N$20) + _xlfn.XLOOKUP(B101&amp;"|"&amp;E101,
        Calculate_cap_emi!$L$14:$L$21&amp;"|"&amp;Calculate_cap_emi!$I$14:$I$21,
        Calculate_cap_emi!$AP$14:$AP$21, "Not found", 0))</f>
        <v>123.76825957327549</v>
      </c>
      <c r="R101" s="8" cm="1">
        <f t="array" ref="R101">_xlfn.SWITCH(K101,200,_xlfn.XLOOKUP(J101,Installation!$C$18:$N$18,Installation!$C$20:$N$20) + _xlfn.XLOOKUP(B101&amp;"|"&amp;E101,
        Calculate_cap_emi!$L$14:$L$21&amp;"|"&amp;Calculate_cap_emi!$I$14:$I$21,
        Calculate_cap_emi!$AW$14:$AW$21, "Not found", 0), LOOKUP(K101,Installation!$C$24:$D$24,Installation!$C$26:$D$26) + _xlfn.XLOOKUP(J101,Installation!$C$18:$N$18,Installation!$C$20:$N$20) + _xlfn.XLOOKUP(B101&amp;"|"&amp;E101,
        Calculate_cap_emi!$L$14:$L$21&amp;"|"&amp;Calculate_cap_emi!$I$14:$I$21,
        Calculate_cap_emi!$AW$14:$AW$21, "Not found", 0))</f>
        <v>120.1701221220822</v>
      </c>
      <c r="S101" s="8" cm="1">
        <f t="array" ref="S101">_xlfn.SWITCH(K101,200,_xlfn.XLOOKUP(J101,EOL!$C$18:$N$18,EOL!$C$20:$N$20) + _xlfn.XLOOKUP(B101&amp;"|"&amp;E101,
        Calculate_cap_emi!$L$14:$L$21&amp;"|"&amp;Calculate_cap_emi!$I$14:$I$21,
        Calculate_cap_emi!$BD$14:$BD$21, "Not found", 0), LOOKUP(K101,EOL!$C$24:$D$24,EOL!$C$26:$D$26) + _xlfn.XLOOKUP(J101,EOL!$C$18:$N$18,EOL!$C$20:$N$20) + _xlfn.XLOOKUP(B101&amp;"|"&amp;E101,
        Calculate_cap_emi!$L$14:$L$21&amp;"|"&amp;Calculate_cap_emi!$I$14:$I$21,
        Calculate_cap_emi!$BD$14:$BD$21, "Not found", 0))</f>
        <v>576.56860851264696</v>
      </c>
      <c r="T101" s="8" cm="1">
        <f t="array" ref="T101">_xlfn.SWITCH(K101,200,_xlfn.XLOOKUP(J101,Other!$C$18:$N$18,Other!$C$20:$N$20) + _xlfn.XLOOKUP(B101&amp;"|"&amp;E101,
        Calculate_cap_emi!$L$14:$L$21&amp;"|"&amp;Calculate_cap_emi!$I$14:$I$21,
        Calculate_cap_emi!$BK$14:$BK$21, "Not found", 0), LOOKUP(K101,Other!$C$24:$D$24,Other!$C$26:$D$26) + _xlfn.XLOOKUP(J101,Other!$C$18:$N$18,Other!$C$20:$N$20) + _xlfn.XLOOKUP(B101&amp;"|"&amp;E101,
        Calculate_cap_emi!$L$14:$L$21&amp;"|"&amp;Calculate_cap_emi!$I$14:$I$21,
        Calculate_cap_emi!$BK$14:$BK$21, "Not found", 0))</f>
        <v>2430.9480561006244</v>
      </c>
      <c r="U101" s="8" cm="1">
        <f t="array" ref="U101">_xlfn.SWITCH(K101,200,_xlfn.XLOOKUP(J101,EOL_R!$C$18:$N$18,EOL_R!$C$20:$N$20) + _xlfn.XLOOKUP(B101&amp;"|"&amp;E101,
        Calculate_cap_emi_sens!$L$14:$L$21&amp;"|"&amp;Calculate_cap_emi_sens!$I$14:$I$21,
        Calculate_cap_emi_sens!$BD$14:$BD$21, "Not found", 0), LOOKUP(K101,EOL_R!$C$24:$D$24,EOL_R!$C$26:$D$26) + _xlfn.XLOOKUP(J101,EOL_R!$C$18:$N$18,EOL_R!$C$20:$N$20) + _xlfn.XLOOKUP(B101&amp;"|"&amp;E101,
        Calculate_cap_emi_sens!$L$14:$L$21&amp;"|"&amp;Calculate_cap_emi_sens!$I$14:$I$21,
        Calculate_cap_emi_sens!$BD$14:$BD$21, "Not found", 0))</f>
        <v>406.00734679797245</v>
      </c>
      <c r="V101" s="8" cm="1">
        <f t="array" ref="V101">_xlfn.SWITCH(K101,200,_xlfn.XLOOKUP(J101,Other_R!$C$18:$N$18,Other_R!$C$20:$N$20) + _xlfn.XLOOKUP(B101&amp;"|"&amp;E101,
        Calculate_cap_emi_sens!$L$14:$L$21&amp;"|"&amp;Calculate_cap_emi_sens!$I$14:$I$21,
        Calculate_cap_emi_sens!$BK$14:$BK$21, "Not found", 0), LOOKUP(K101,Other_R!$C$24:$D$24,Other_R!$C$26:$D$26) + _xlfn.XLOOKUP(J101,Other_R!$C$18:$N$18,Other_R!$C$20:$N$20) + _xlfn.XLOOKUP(B101&amp;"|"&amp;E101,
        Calculate_cap_emi_sens!$L$14:$L$21&amp;"|"&amp;Calculate_cap_emi_sens!$I$14:$I$21,
        Calculate_cap_emi_sens!$BK$14:$BK$21, "Not found", 0))</f>
        <v>1927.7932123950472</v>
      </c>
      <c r="W101" s="5">
        <f>Results_proc_ener!L101</f>
        <v>101016.58301445922</v>
      </c>
      <c r="X101" s="5">
        <f>Results_proc_ener!M101</f>
        <v>50824.518000459248</v>
      </c>
      <c r="Y101" s="5">
        <f>Results_proc_ener!N101</f>
        <v>0</v>
      </c>
      <c r="Z101" s="5">
        <f>Results_proc_ener!O101</f>
        <v>50192.065013999971</v>
      </c>
      <c r="AA101" s="5">
        <f>Results_proc_ener!P101</f>
        <v>101016.58301445922</v>
      </c>
      <c r="AB101" s="5">
        <f>Results_proc_ener!Q101</f>
        <v>2621.2439017219467</v>
      </c>
      <c r="AC101" s="5">
        <f>Results_proc_ener!R101</f>
        <v>230.7310949520822</v>
      </c>
      <c r="AD101" s="5">
        <f>Results_proc_ener!S101</f>
        <v>5379.0712583999994</v>
      </c>
      <c r="AE101" s="5">
        <f>Results_proc_ener!T101</f>
        <v>74300.449976925622</v>
      </c>
    </row>
    <row r="102" spans="1:31" x14ac:dyDescent="0.25">
      <c r="A102" s="5"/>
      <c r="B102" s="5" t="str">
        <f t="shared" si="6"/>
        <v>Mass-Nom</v>
      </c>
      <c r="C102" s="5" t="s">
        <v>37</v>
      </c>
      <c r="D102" s="5" t="str">
        <f t="shared" si="5"/>
        <v>Nom</v>
      </c>
      <c r="E102" s="5" t="s">
        <v>3</v>
      </c>
      <c r="F102" s="5" t="s">
        <v>54</v>
      </c>
      <c r="G102" s="5" t="s">
        <v>54</v>
      </c>
      <c r="H102" s="5">
        <v>14</v>
      </c>
      <c r="I102" s="5"/>
      <c r="J102" s="5">
        <f t="shared" si="7"/>
        <v>14</v>
      </c>
      <c r="K102" s="5">
        <v>200</v>
      </c>
      <c r="L102" s="8" cm="1">
        <f t="array" ref="L102">_xlfn.SWITCH(K102,200,_xlfn.XLOOKUP(J102,Manufacture!$C$18:$N$18,Manufacture!$C$20:$N$20) + _xlfn.XLOOKUP(B102&amp;"|"&amp;E102,
        Calculate_cap_emi!$L$14:$L$21&amp;"|"&amp;Calculate_cap_emi!$I$14:$I$21,
        Calculate_cap_emi!$AI$14:$AI$21, "Not found", 0), LOOKUP(K102,Manufacture!$C$24:$D$24,Manufacture!$C$26:$D$26) + _xlfn.XLOOKUP(J102,Manufacture!$C$18:$N$18,Manufacture!$C$20:$N$20) + _xlfn.XLOOKUP(B102&amp;"|"&amp;E102,
        Calculate_cap_emi!$L$14:$L$21&amp;"|"&amp;Calculate_cap_emi!$I$14:$I$21,
        Calculate_cap_emi!$AI$14:$AI$21, "Not found", 0))</f>
        <v>3521.9923891627286</v>
      </c>
      <c r="M102" s="8">
        <f>_xlfn.XLOOKUP(J102,Manufacture!$C$18:$N$18,Manufacture!$C$20:$N$20)</f>
        <v>2067.610588235294</v>
      </c>
      <c r="N102" s="8" cm="1">
        <f t="array" ref="N102">_xlfn.SWITCH(K102,200,0,LOOKUP(K102,Manufacture!$C$24:$D$24,Manufacture!$C$26:$D$26))</f>
        <v>0</v>
      </c>
      <c r="O102" s="5" cm="1">
        <f t="array" ref="O102">_xlfn.XLOOKUP(B102&amp;"|"&amp;E102,
        Calculate_cap_emi!$L$14:$L$21&amp;"|"&amp;Calculate_cap_emi!$I$14:$I$21,
        Calculate_cap_emi!$AI$14:$AI$21, "Not found", 0)</f>
        <v>1454.3818009274348</v>
      </c>
      <c r="P102" s="8">
        <f t="shared" si="8"/>
        <v>3521.9923891627286</v>
      </c>
      <c r="Q102" s="8" cm="1">
        <f t="array" ref="Q102">_xlfn.SWITCH(K102,200,_xlfn.XLOOKUP(J102,Distribution!$C$18:$N$18,Distribution!$C$20:$N$20) + _xlfn.XLOOKUP(B102&amp;"|"&amp;E102,
        Calculate_cap_emi!$L$14:$L$21&amp;"|"&amp;Calculate_cap_emi!$I$14:$I$21,
        Calculate_cap_emi!$AP$14:$AP$21, "Not found", 0), LOOKUP(K102,Distribution!$C$24:$D$24,Distribution!$C$26:$D$26) + _xlfn.XLOOKUP(J102,Distribution!$C$18:$N$18,Distribution!$C$20:$N$20) + _xlfn.XLOOKUP(B102&amp;"|"&amp;E102,
        Calculate_cap_emi!$L$14:$L$21&amp;"|"&amp;Calculate_cap_emi!$I$14:$I$21,
        Calculate_cap_emi!$AP$14:$AP$21, "Not found", 0))</f>
        <v>126.85668140174604</v>
      </c>
      <c r="R102" s="8" cm="1">
        <f t="array" ref="R102">_xlfn.SWITCH(K102,200,_xlfn.XLOOKUP(J102,Installation!$C$18:$N$18,Installation!$C$20:$N$20) + _xlfn.XLOOKUP(B102&amp;"|"&amp;E102,
        Calculate_cap_emi!$L$14:$L$21&amp;"|"&amp;Calculate_cap_emi!$I$14:$I$21,
        Calculate_cap_emi!$AW$14:$AW$21, "Not found", 0), LOOKUP(K102,Installation!$C$24:$D$24,Installation!$C$26:$D$26) + _xlfn.XLOOKUP(J102,Installation!$C$18:$N$18,Installation!$C$20:$N$20) + _xlfn.XLOOKUP(B102&amp;"|"&amp;E102,
        Calculate_cap_emi!$L$14:$L$21&amp;"|"&amp;Calculate_cap_emi!$I$14:$I$21,
        Calculate_cap_emi!$AW$14:$AW$21, "Not found", 0))</f>
        <v>125.08827864212672</v>
      </c>
      <c r="S102" s="8" cm="1">
        <f t="array" ref="S102">_xlfn.SWITCH(K102,200,_xlfn.XLOOKUP(J102,EOL!$C$18:$N$18,EOL!$C$20:$N$20) + _xlfn.XLOOKUP(B102&amp;"|"&amp;E102,
        Calculate_cap_emi!$L$14:$L$21&amp;"|"&amp;Calculate_cap_emi!$I$14:$I$21,
        Calculate_cap_emi!$BD$14:$BD$21, "Not found", 0), LOOKUP(K102,EOL!$C$24:$D$24,EOL!$C$26:$D$26) + _xlfn.XLOOKUP(J102,EOL!$C$18:$N$18,EOL!$C$20:$N$20) + _xlfn.XLOOKUP(B102&amp;"|"&amp;E102,
        Calculate_cap_emi!$L$14:$L$21&amp;"|"&amp;Calculate_cap_emi!$I$14:$I$21,
        Calculate_cap_emi!$BD$14:$BD$21, "Not found", 0))</f>
        <v>606.34907910088236</v>
      </c>
      <c r="T102" s="8" cm="1">
        <f t="array" ref="T102">_xlfn.SWITCH(K102,200,_xlfn.XLOOKUP(J102,Other!$C$18:$N$18,Other!$C$20:$N$20) + _xlfn.XLOOKUP(B102&amp;"|"&amp;E102,
        Calculate_cap_emi!$L$14:$L$21&amp;"|"&amp;Calculate_cap_emi!$I$14:$I$21,
        Calculate_cap_emi!$BK$14:$BK$21, "Not found", 0), LOOKUP(K102,Other!$C$24:$D$24,Other!$C$26:$D$26) + _xlfn.XLOOKUP(J102,Other!$C$18:$N$18,Other!$C$20:$N$20) + _xlfn.XLOOKUP(B102&amp;"|"&amp;E102,
        Calculate_cap_emi!$L$14:$L$21&amp;"|"&amp;Calculate_cap_emi!$I$14:$I$21,
        Calculate_cap_emi!$BK$14:$BK$21, "Not found", 0))</f>
        <v>2474.7275560262378</v>
      </c>
      <c r="U102" s="8" cm="1">
        <f t="array" ref="U102">_xlfn.SWITCH(K102,200,_xlfn.XLOOKUP(J102,EOL_R!$C$18:$N$18,EOL_R!$C$20:$N$20) + _xlfn.XLOOKUP(B102&amp;"|"&amp;E102,
        Calculate_cap_emi_sens!$L$14:$L$21&amp;"|"&amp;Calculate_cap_emi_sens!$I$14:$I$21,
        Calculate_cap_emi_sens!$BD$14:$BD$21, "Not found", 0), LOOKUP(K102,EOL_R!$C$24:$D$24,EOL_R!$C$26:$D$26) + _xlfn.XLOOKUP(J102,EOL_R!$C$18:$N$18,EOL_R!$C$20:$N$20) + _xlfn.XLOOKUP(B102&amp;"|"&amp;E102,
        Calculate_cap_emi_sens!$L$14:$L$21&amp;"|"&amp;Calculate_cap_emi_sens!$I$14:$I$21,
        Calculate_cap_emi_sens!$BD$14:$BD$21, "Not found", 0))</f>
        <v>424.80294409626526</v>
      </c>
      <c r="V102" s="8" cm="1">
        <f t="array" ref="V102">_xlfn.SWITCH(K102,200,_xlfn.XLOOKUP(J102,Other_R!$C$18:$N$18,Other_R!$C$20:$N$20) + _xlfn.XLOOKUP(B102&amp;"|"&amp;E102,
        Calculate_cap_emi_sens!$L$14:$L$21&amp;"|"&amp;Calculate_cap_emi_sens!$I$14:$I$21,
        Calculate_cap_emi_sens!$BK$14:$BK$21, "Not found", 0), LOOKUP(K102,Other_R!$C$24:$D$24,Other_R!$C$26:$D$26) + _xlfn.XLOOKUP(J102,Other_R!$C$18:$N$18,Other_R!$C$20:$N$20) + _xlfn.XLOOKUP(B102&amp;"|"&amp;E102,
        Calculate_cap_emi_sens!$L$14:$L$21&amp;"|"&amp;Calculate_cap_emi_sens!$I$14:$I$21,
        Calculate_cap_emi_sens!$BK$14:$BK$21, "Not found", 0))</f>
        <v>1944.6268806005644</v>
      </c>
      <c r="W102" s="5">
        <f>Results_proc_ener!L102</f>
        <v>101726.26021505489</v>
      </c>
      <c r="X102" s="5">
        <f>Results_proc_ener!M102</f>
        <v>51534.195201054921</v>
      </c>
      <c r="Y102" s="5">
        <f>Results_proc_ener!N102</f>
        <v>0</v>
      </c>
      <c r="Z102" s="5">
        <f>Results_proc_ener!O102</f>
        <v>50192.065013999971</v>
      </c>
      <c r="AA102" s="5">
        <f>Results_proc_ener!P102</f>
        <v>101726.26021505489</v>
      </c>
      <c r="AB102" s="5">
        <f>Results_proc_ener!Q102</f>
        <v>2686.6524879922463</v>
      </c>
      <c r="AC102" s="5">
        <f>Results_proc_ener!R102</f>
        <v>235.64925147212671</v>
      </c>
      <c r="AD102" s="5">
        <f>Results_proc_ener!S102</f>
        <v>5379.0712583999994</v>
      </c>
      <c r="AE102" s="5">
        <f>Results_proc_ener!T102</f>
        <v>74344.229476851237</v>
      </c>
    </row>
    <row r="103" spans="1:31" x14ac:dyDescent="0.25">
      <c r="A103" s="5"/>
      <c r="B103" s="5" t="str">
        <f t="shared" si="6"/>
        <v>Mass-Nom</v>
      </c>
      <c r="C103" s="5" t="s">
        <v>37</v>
      </c>
      <c r="D103" s="5" t="str">
        <f t="shared" si="5"/>
        <v>Nom</v>
      </c>
      <c r="E103" s="5" t="s">
        <v>3</v>
      </c>
      <c r="F103" s="5" t="s">
        <v>55</v>
      </c>
      <c r="G103" s="5" t="s">
        <v>55</v>
      </c>
      <c r="H103" s="5">
        <v>5</v>
      </c>
      <c r="I103" s="5"/>
      <c r="J103" s="5">
        <f t="shared" si="7"/>
        <v>5</v>
      </c>
      <c r="K103" s="5">
        <v>500</v>
      </c>
      <c r="L103" s="8" cm="1">
        <f t="array" ref="L103">_xlfn.SWITCH(K103,200,_xlfn.XLOOKUP(J103,Manufacture!$C$18:$N$18,Manufacture!$C$20:$N$20) + _xlfn.XLOOKUP(B103&amp;"|"&amp;E103,
        Calculate_cap_emi!$L$14:$L$21&amp;"|"&amp;Calculate_cap_emi!$I$14:$I$21,
        Calculate_cap_emi!$AI$14:$AI$21, "Not found", 0), LOOKUP(K103,Manufacture!$C$24:$D$24,Manufacture!$C$26:$D$26) + _xlfn.XLOOKUP(J103,Manufacture!$C$18:$N$18,Manufacture!$C$20:$N$20) + _xlfn.XLOOKUP(B103&amp;"|"&amp;E103,
        Calculate_cap_emi!$L$14:$L$21&amp;"|"&amp;Calculate_cap_emi!$I$14:$I$21,
        Calculate_cap_emi!$AI$14:$AI$21, "Not found", 0))</f>
        <v>3501.6718009274346</v>
      </c>
      <c r="M103" s="8">
        <f>_xlfn.XLOOKUP(J103,Manufacture!$C$18:$N$18,Manufacture!$C$20:$N$20)</f>
        <v>1711.29</v>
      </c>
      <c r="N103" s="8" cm="1">
        <f t="array" ref="N103">_xlfn.SWITCH(K103,200,0,LOOKUP(K103,Manufacture!$C$24:$D$24,Manufacture!$C$26:$D$26))</f>
        <v>336</v>
      </c>
      <c r="O103" s="5" cm="1">
        <f t="array" ref="O103">_xlfn.XLOOKUP(B103&amp;"|"&amp;E103,
        Calculate_cap_emi!$L$14:$L$21&amp;"|"&amp;Calculate_cap_emi!$I$14:$I$21,
        Calculate_cap_emi!$AI$14:$AI$21, "Not found", 0)</f>
        <v>1454.3818009274348</v>
      </c>
      <c r="P103" s="8">
        <f t="shared" si="8"/>
        <v>3501.6718009274346</v>
      </c>
      <c r="Q103" s="8" cm="1">
        <f t="array" ref="Q103">_xlfn.SWITCH(K103,200,_xlfn.XLOOKUP(J103,Distribution!$C$18:$N$18,Distribution!$C$20:$N$20) + _xlfn.XLOOKUP(B103&amp;"|"&amp;E103,
        Calculate_cap_emi!$L$14:$L$21&amp;"|"&amp;Calculate_cap_emi!$I$14:$I$21,
        Calculate_cap_emi!$AP$14:$AP$21, "Not found", 0), LOOKUP(K103,Distribution!$C$24:$D$24,Distribution!$C$26:$D$26) + _xlfn.XLOOKUP(J103,Distribution!$C$18:$N$18,Distribution!$C$20:$N$20) + _xlfn.XLOOKUP(B103&amp;"|"&amp;E103,
        Calculate_cap_emi!$L$14:$L$21&amp;"|"&amp;Calculate_cap_emi!$I$14:$I$21,
        Calculate_cap_emi!$AP$14:$AP$21, "Not found", 0))</f>
        <v>120.5117443554466</v>
      </c>
      <c r="R103" s="8" cm="1">
        <f t="array" ref="R103">_xlfn.SWITCH(K103,200,_xlfn.XLOOKUP(J103,Installation!$C$18:$N$18,Installation!$C$20:$N$20) + _xlfn.XLOOKUP(B103&amp;"|"&amp;E103,
        Calculate_cap_emi!$L$14:$L$21&amp;"|"&amp;Calculate_cap_emi!$I$14:$I$21,
        Calculate_cap_emi!$AW$14:$AW$21, "Not found", 0), LOOKUP(K103,Installation!$C$24:$D$24,Installation!$C$26:$D$26) + _xlfn.XLOOKUP(J103,Installation!$C$18:$N$18,Installation!$C$20:$N$20) + _xlfn.XLOOKUP(B103&amp;"|"&amp;E103,
        Calculate_cap_emi!$L$14:$L$21&amp;"|"&amp;Calculate_cap_emi!$I$14:$I$21,
        Calculate_cap_emi!$AW$14:$AW$21, "Not found", 0))</f>
        <v>114.41111975647222</v>
      </c>
      <c r="S103" s="8" cm="1">
        <f t="array" ref="S103">_xlfn.SWITCH(K103,200,_xlfn.XLOOKUP(J103,EOL!$C$18:$N$18,EOL!$C$20:$N$20) + _xlfn.XLOOKUP(B103&amp;"|"&amp;E103,
        Calculate_cap_emi!$L$14:$L$21&amp;"|"&amp;Calculate_cap_emi!$I$14:$I$21,
        Calculate_cap_emi!$BD$14:$BD$21, "Not found", 0), LOOKUP(K103,EOL!$C$24:$D$24,EOL!$C$26:$D$26) + _xlfn.XLOOKUP(J103,EOL!$C$18:$N$18,EOL!$C$20:$N$20) + _xlfn.XLOOKUP(B103&amp;"|"&amp;E103,
        Calculate_cap_emi!$L$14:$L$21&amp;"|"&amp;Calculate_cap_emi!$I$14:$I$21,
        Calculate_cap_emi!$BD$14:$BD$21, "Not found", 0))</f>
        <v>603.10968872655076</v>
      </c>
      <c r="T103" s="8" cm="1">
        <f t="array" ref="T103">_xlfn.SWITCH(K103,200,_xlfn.XLOOKUP(J103,Other!$C$18:$N$18,Other!$C$20:$N$20) + _xlfn.XLOOKUP(B103&amp;"|"&amp;E103,
        Calculate_cap_emi!$L$14:$L$21&amp;"|"&amp;Calculate_cap_emi!$I$14:$I$21,
        Calculate_cap_emi!$BK$14:$BK$21, "Not found", 0), LOOKUP(K103,Other!$C$24:$D$24,Other!$C$26:$D$26) + _xlfn.XLOOKUP(J103,Other!$C$18:$N$18,Other!$C$20:$N$20) + _xlfn.XLOOKUP(B103&amp;"|"&amp;E103,
        Calculate_cap_emi!$L$14:$L$21&amp;"|"&amp;Calculate_cap_emi!$I$14:$I$21,
        Calculate_cap_emi!$BK$14:$BK$21, "Not found", 0))</f>
        <v>2277.7198063609758</v>
      </c>
      <c r="U103" s="8" cm="1">
        <f t="array" ref="U103">_xlfn.SWITCH(K103,200,_xlfn.XLOOKUP(J103,EOL_R!$C$18:$N$18,EOL_R!$C$20:$N$20) + _xlfn.XLOOKUP(B103&amp;"|"&amp;E103,
        Calculate_cap_emi_sens!$L$14:$L$21&amp;"|"&amp;Calculate_cap_emi_sens!$I$14:$I$21,
        Calculate_cap_emi_sens!$BD$14:$BD$21, "Not found", 0), LOOKUP(K103,EOL_R!$C$24:$D$24,EOL_R!$C$26:$D$26) + _xlfn.XLOOKUP(J103,EOL_R!$C$18:$N$18,EOL_R!$C$20:$N$20) + _xlfn.XLOOKUP(B103&amp;"|"&amp;E103,
        Calculate_cap_emi_sens!$L$14:$L$21&amp;"|"&amp;Calculate_cap_emi_sens!$I$14:$I$21,
        Calculate_cap_emi_sens!$BD$14:$BD$21, "Not found", 0))</f>
        <v>494.93487357127719</v>
      </c>
      <c r="V103" s="8" cm="1">
        <f t="array" ref="V103">_xlfn.SWITCH(K103,200,_xlfn.XLOOKUP(J103,Other_R!$C$18:$N$18,Other_R!$C$20:$N$20) + _xlfn.XLOOKUP(B103&amp;"|"&amp;E103,
        Calculate_cap_emi_sens!$L$14:$L$21&amp;"|"&amp;Calculate_cap_emi_sens!$I$14:$I$21,
        Calculate_cap_emi_sens!$BK$14:$BK$21, "Not found", 0), LOOKUP(K103,Other_R!$C$24:$D$24,Other_R!$C$26:$D$26) + _xlfn.XLOOKUP(J103,Other_R!$C$18:$N$18,Other_R!$C$20:$N$20) + _xlfn.XLOOKUP(B103&amp;"|"&amp;E103,
        Calculate_cap_emi_sens!$L$14:$L$21&amp;"|"&amp;Calculate_cap_emi_sens!$I$14:$I$21,
        Calculate_cap_emi_sens!$BK$14:$BK$21, "Not found", 0))</f>
        <v>1927.5985613354615</v>
      </c>
      <c r="W103" s="5">
        <f>Results_proc_ener!L103</f>
        <v>109146.30372146517</v>
      </c>
      <c r="X103" s="5">
        <f>Results_proc_ener!M103</f>
        <v>48340.647798374281</v>
      </c>
      <c r="Y103" s="5">
        <f>Results_proc_ener!N103</f>
        <v>10613.59090909091</v>
      </c>
      <c r="Z103" s="5">
        <f>Results_proc_ener!O103</f>
        <v>50192.065013999971</v>
      </c>
      <c r="AA103" s="5">
        <f>Results_proc_ener!P103</f>
        <v>109146.30372146517</v>
      </c>
      <c r="AB103" s="5">
        <f>Results_proc_ener!Q103</f>
        <v>2579.1678246008969</v>
      </c>
      <c r="AC103" s="5">
        <f>Results_proc_ener!R103</f>
        <v>234.51754713192676</v>
      </c>
      <c r="AD103" s="5">
        <f>Results_proc_ener!S103</f>
        <v>15878.116712945453</v>
      </c>
      <c r="AE103" s="5">
        <f>Results_proc_ener!T103</f>
        <v>74147.22172718597</v>
      </c>
    </row>
    <row r="104" spans="1:31" x14ac:dyDescent="0.25">
      <c r="A104" s="5"/>
      <c r="B104" s="5" t="str">
        <f t="shared" si="6"/>
        <v>Mass-Nom</v>
      </c>
      <c r="C104" s="5" t="s">
        <v>37</v>
      </c>
      <c r="D104" s="5" t="str">
        <f t="shared" si="5"/>
        <v>Nom</v>
      </c>
      <c r="E104" s="5" t="s">
        <v>3</v>
      </c>
      <c r="F104" s="5" t="s">
        <v>55</v>
      </c>
      <c r="G104" s="5" t="s">
        <v>55</v>
      </c>
      <c r="H104" s="5">
        <v>6</v>
      </c>
      <c r="I104" s="5"/>
      <c r="J104" s="5">
        <f t="shared" si="7"/>
        <v>6</v>
      </c>
      <c r="K104" s="5">
        <v>500</v>
      </c>
      <c r="L104" s="8" cm="1">
        <f t="array" ref="L104">_xlfn.SWITCH(K104,200,_xlfn.XLOOKUP(J104,Manufacture!$C$18:$N$18,Manufacture!$C$20:$N$20) + _xlfn.XLOOKUP(B104&amp;"|"&amp;E104,
        Calculate_cap_emi!$L$14:$L$21&amp;"|"&amp;Calculate_cap_emi!$I$14:$I$21,
        Calculate_cap_emi!$AI$14:$AI$21, "Not found", 0), LOOKUP(K104,Manufacture!$C$24:$D$24,Manufacture!$C$26:$D$26) + _xlfn.XLOOKUP(J104,Manufacture!$C$18:$N$18,Manufacture!$C$20:$N$20) + _xlfn.XLOOKUP(B104&amp;"|"&amp;E104,
        Calculate_cap_emi!$L$14:$L$21&amp;"|"&amp;Calculate_cap_emi!$I$14:$I$21,
        Calculate_cap_emi!$AI$14:$AI$21, "Not found", 0))</f>
        <v>3541.2629773980225</v>
      </c>
      <c r="M104" s="8">
        <f>_xlfn.XLOOKUP(J104,Manufacture!$C$18:$N$18,Manufacture!$C$20:$N$20)</f>
        <v>1750.8811764705879</v>
      </c>
      <c r="N104" s="8" cm="1">
        <f t="array" ref="N104">_xlfn.SWITCH(K104,200,0,LOOKUP(K104,Manufacture!$C$24:$D$24,Manufacture!$C$26:$D$26))</f>
        <v>336</v>
      </c>
      <c r="O104" s="5" cm="1">
        <f t="array" ref="O104">_xlfn.XLOOKUP(B104&amp;"|"&amp;E104,
        Calculate_cap_emi!$L$14:$L$21&amp;"|"&amp;Calculate_cap_emi!$I$14:$I$21,
        Calculate_cap_emi!$AI$14:$AI$21, "Not found", 0)</f>
        <v>1454.3818009274348</v>
      </c>
      <c r="P104" s="8">
        <f t="shared" si="8"/>
        <v>3541.2629773980225</v>
      </c>
      <c r="Q104" s="8" cm="1">
        <f t="array" ref="Q104">_xlfn.SWITCH(K104,200,_xlfn.XLOOKUP(J104,Distribution!$C$18:$N$18,Distribution!$C$20:$N$20) + _xlfn.XLOOKUP(B104&amp;"|"&amp;E104,
        Calculate_cap_emi!$L$14:$L$21&amp;"|"&amp;Calculate_cap_emi!$I$14:$I$21,
        Calculate_cap_emi!$AP$14:$AP$21, "Not found", 0), LOOKUP(K104,Distribution!$C$24:$D$24,Distribution!$C$26:$D$26) + _xlfn.XLOOKUP(J104,Distribution!$C$18:$N$18,Distribution!$C$20:$N$20) + _xlfn.XLOOKUP(B104&amp;"|"&amp;E104,
        Calculate_cap_emi!$L$14:$L$21&amp;"|"&amp;Calculate_cap_emi!$I$14:$I$21,
        Calculate_cap_emi!$AP$14:$AP$21, "Not found", 0))</f>
        <v>122.05595526968189</v>
      </c>
      <c r="R104" s="8" cm="1">
        <f t="array" ref="R104">_xlfn.SWITCH(K104,200,_xlfn.XLOOKUP(J104,Installation!$C$18:$N$18,Installation!$C$20:$N$20) + _xlfn.XLOOKUP(B104&amp;"|"&amp;E104,
        Calculate_cap_emi!$L$14:$L$21&amp;"|"&amp;Calculate_cap_emi!$I$14:$I$21,
        Calculate_cap_emi!$AW$14:$AW$21, "Not found", 0), LOOKUP(K104,Installation!$C$24:$D$24,Installation!$C$26:$D$26) + _xlfn.XLOOKUP(J104,Installation!$C$18:$N$18,Installation!$C$20:$N$20) + _xlfn.XLOOKUP(B104&amp;"|"&amp;E104,
        Calculate_cap_emi!$L$14:$L$21&amp;"|"&amp;Calculate_cap_emi!$I$14:$I$21,
        Calculate_cap_emi!$AW$14:$AW$21, "Not found", 0))</f>
        <v>116.87019801649447</v>
      </c>
      <c r="S104" s="8" cm="1">
        <f t="array" ref="S104">_xlfn.SWITCH(K104,200,_xlfn.XLOOKUP(J104,EOL!$C$18:$N$18,EOL!$C$20:$N$20) + _xlfn.XLOOKUP(B104&amp;"|"&amp;E104,
        Calculate_cap_emi!$L$14:$L$21&amp;"|"&amp;Calculate_cap_emi!$I$14:$I$21,
        Calculate_cap_emi!$BD$14:$BD$21, "Not found", 0), LOOKUP(K104,EOL!$C$24:$D$24,EOL!$C$26:$D$26) + _xlfn.XLOOKUP(J104,EOL!$C$18:$N$18,EOL!$C$20:$N$20) + _xlfn.XLOOKUP(B104&amp;"|"&amp;E104,
        Calculate_cap_emi!$L$14:$L$21&amp;"|"&amp;Calculate_cap_emi!$I$14:$I$21,
        Calculate_cap_emi!$BD$14:$BD$21, "Not found", 0))</f>
        <v>617.99992402066846</v>
      </c>
      <c r="T104" s="8" cm="1">
        <f t="array" ref="T104">_xlfn.SWITCH(K104,200,_xlfn.XLOOKUP(J104,Other!$C$18:$N$18,Other!$C$20:$N$20) + _xlfn.XLOOKUP(B104&amp;"|"&amp;E104,
        Calculate_cap_emi!$L$14:$L$21&amp;"|"&amp;Calculate_cap_emi!$I$14:$I$21,
        Calculate_cap_emi!$BK$14:$BK$21, "Not found", 0), LOOKUP(K104,Other!$C$24:$D$24,Other!$C$26:$D$26) + _xlfn.XLOOKUP(J104,Other!$C$18:$N$18,Other!$C$20:$N$20) + _xlfn.XLOOKUP(B104&amp;"|"&amp;E104,
        Calculate_cap_emi!$L$14:$L$21&amp;"|"&amp;Calculate_cap_emi!$I$14:$I$21,
        Calculate_cap_emi!$BK$14:$BK$21, "Not found", 0))</f>
        <v>2299.6095563237823</v>
      </c>
      <c r="U104" s="8" cm="1">
        <f t="array" ref="U104">_xlfn.SWITCH(K104,200,_xlfn.XLOOKUP(J104,EOL_R!$C$18:$N$18,EOL_R!$C$20:$N$20) + _xlfn.XLOOKUP(B104&amp;"|"&amp;E104,
        Calculate_cap_emi_sens!$L$14:$L$21&amp;"|"&amp;Calculate_cap_emi_sens!$I$14:$I$21,
        Calculate_cap_emi_sens!$BD$14:$BD$21, "Not found", 0), LOOKUP(K104,EOL_R!$C$24:$D$24,EOL_R!$C$26:$D$26) + _xlfn.XLOOKUP(J104,EOL_R!$C$18:$N$18,EOL_R!$C$20:$N$20) + _xlfn.XLOOKUP(B104&amp;"|"&amp;E104,
        Calculate_cap_emi_sens!$L$14:$L$21&amp;"|"&amp;Calculate_cap_emi_sens!$I$14:$I$21,
        Calculate_cap_emi_sens!$BD$14:$BD$21, "Not found", 0))</f>
        <v>496.83276136714846</v>
      </c>
      <c r="V104" s="8" cm="1">
        <f t="array" ref="V104">_xlfn.SWITCH(K104,200,_xlfn.XLOOKUP(J104,Other_R!$C$18:$N$18,Other_R!$C$20:$N$20) + _xlfn.XLOOKUP(B104&amp;"|"&amp;E104,
        Calculate_cap_emi_sens!$L$14:$L$21&amp;"|"&amp;Calculate_cap_emi_sens!$I$14:$I$21,
        Calculate_cap_emi_sens!$BK$14:$BK$21, "Not found", 0), LOOKUP(K104,Other_R!$C$24:$D$24,Other_R!$C$26:$D$26) + _xlfn.XLOOKUP(J104,Other_R!$C$18:$N$18,Other_R!$C$20:$N$20) + _xlfn.XLOOKUP(B104&amp;"|"&amp;E104,
        Calculate_cap_emi_sens!$L$14:$L$21&amp;"|"&amp;Calculate_cap_emi_sens!$I$14:$I$21,
        Calculate_cap_emi_sens!$BK$14:$BK$21, "Not found", 0))</f>
        <v>1917.6181567597268</v>
      </c>
      <c r="W104" s="5">
        <f>Results_proc_ener!L104</f>
        <v>109501.14232176301</v>
      </c>
      <c r="X104" s="5">
        <f>Results_proc_ener!M104</f>
        <v>48695.486398672118</v>
      </c>
      <c r="Y104" s="5">
        <f>Results_proc_ener!N104</f>
        <v>10613.59090909091</v>
      </c>
      <c r="Z104" s="5">
        <f>Results_proc_ener!O104</f>
        <v>50192.065013999971</v>
      </c>
      <c r="AA104" s="5">
        <f>Results_proc_ener!P104</f>
        <v>109501.14232176301</v>
      </c>
      <c r="AB104" s="5">
        <f>Results_proc_ener!Q104</f>
        <v>2611.8721177360467</v>
      </c>
      <c r="AC104" s="5">
        <f>Results_proc_ener!R104</f>
        <v>236.97662539194903</v>
      </c>
      <c r="AD104" s="5">
        <f>Results_proc_ener!S104</f>
        <v>15878.116712945453</v>
      </c>
      <c r="AE104" s="5">
        <f>Results_proc_ener!T104</f>
        <v>74169.111477148777</v>
      </c>
    </row>
    <row r="105" spans="1:31" x14ac:dyDescent="0.25">
      <c r="A105" s="5"/>
      <c r="B105" s="5" t="str">
        <f t="shared" si="6"/>
        <v>Mass-Nom</v>
      </c>
      <c r="C105" s="5" t="s">
        <v>37</v>
      </c>
      <c r="D105" s="5" t="str">
        <f t="shared" si="5"/>
        <v>Nom</v>
      </c>
      <c r="E105" s="5" t="s">
        <v>3</v>
      </c>
      <c r="F105" s="5" t="s">
        <v>55</v>
      </c>
      <c r="G105" s="5" t="s">
        <v>55</v>
      </c>
      <c r="H105" s="5">
        <v>8.5</v>
      </c>
      <c r="I105" s="5"/>
      <c r="J105" s="5">
        <f t="shared" si="7"/>
        <v>9</v>
      </c>
      <c r="K105" s="5">
        <v>500</v>
      </c>
      <c r="L105" s="8" cm="1">
        <f t="array" ref="L105">_xlfn.SWITCH(K105,200,_xlfn.XLOOKUP(J105,Manufacture!$C$18:$N$18,Manufacture!$C$20:$N$20) + _xlfn.XLOOKUP(B105&amp;"|"&amp;E105,
        Calculate_cap_emi!$L$14:$L$21&amp;"|"&amp;Calculate_cap_emi!$I$14:$I$21,
        Calculate_cap_emi!$AI$14:$AI$21, "Not found", 0), LOOKUP(K105,Manufacture!$C$24:$D$24,Manufacture!$C$26:$D$26) + _xlfn.XLOOKUP(J105,Manufacture!$C$18:$N$18,Manufacture!$C$20:$N$20) + _xlfn.XLOOKUP(B105&amp;"|"&amp;E105,
        Calculate_cap_emi!$L$14:$L$21&amp;"|"&amp;Calculate_cap_emi!$I$14:$I$21,
        Calculate_cap_emi!$AI$14:$AI$21, "Not found", 0))</f>
        <v>3660.0365068097881</v>
      </c>
      <c r="M105" s="8">
        <f>_xlfn.XLOOKUP(J105,Manufacture!$C$18:$N$18,Manufacture!$C$20:$N$20)</f>
        <v>1869.654705882353</v>
      </c>
      <c r="N105" s="8" cm="1">
        <f t="array" ref="N105">_xlfn.SWITCH(K105,200,0,LOOKUP(K105,Manufacture!$C$24:$D$24,Manufacture!$C$26:$D$26))</f>
        <v>336</v>
      </c>
      <c r="O105" s="5" cm="1">
        <f t="array" ref="O105">_xlfn.XLOOKUP(B105&amp;"|"&amp;E105,
        Calculate_cap_emi!$L$14:$L$21&amp;"|"&amp;Calculate_cap_emi!$I$14:$I$21,
        Calculate_cap_emi!$AI$14:$AI$21, "Not found", 0)</f>
        <v>1454.3818009274348</v>
      </c>
      <c r="P105" s="8">
        <f t="shared" si="8"/>
        <v>3660.0365068097881</v>
      </c>
      <c r="Q105" s="8" cm="1">
        <f t="array" ref="Q105">_xlfn.SWITCH(K105,200,_xlfn.XLOOKUP(J105,Distribution!$C$18:$N$18,Distribution!$C$20:$N$20) + _xlfn.XLOOKUP(B105&amp;"|"&amp;E105,
        Calculate_cap_emi!$L$14:$L$21&amp;"|"&amp;Calculate_cap_emi!$I$14:$I$21,
        Calculate_cap_emi!$AP$14:$AP$21, "Not found", 0), LOOKUP(K105,Distribution!$C$24:$D$24,Distribution!$C$26:$D$26) + _xlfn.XLOOKUP(J105,Distribution!$C$18:$N$18,Distribution!$C$20:$N$20) + _xlfn.XLOOKUP(B105&amp;"|"&amp;E105,
        Calculate_cap_emi!$L$14:$L$21&amp;"|"&amp;Calculate_cap_emi!$I$14:$I$21,
        Calculate_cap_emi!$AP$14:$AP$21, "Not found", 0))</f>
        <v>126.68858801238778</v>
      </c>
      <c r="R105" s="8" cm="1">
        <f t="array" ref="R105">_xlfn.SWITCH(K105,200,_xlfn.XLOOKUP(J105,Installation!$C$18:$N$18,Installation!$C$20:$N$20) + _xlfn.XLOOKUP(B105&amp;"|"&amp;E105,
        Calculate_cap_emi!$L$14:$L$21&amp;"|"&amp;Calculate_cap_emi!$I$14:$I$21,
        Calculate_cap_emi!$AW$14:$AW$21, "Not found", 0), LOOKUP(K105,Installation!$C$24:$D$24,Installation!$C$26:$D$26) + _xlfn.XLOOKUP(J105,Installation!$C$18:$N$18,Installation!$C$20:$N$20) + _xlfn.XLOOKUP(B105&amp;"|"&amp;E105,
        Calculate_cap_emi!$L$14:$L$21&amp;"|"&amp;Calculate_cap_emi!$I$14:$I$21,
        Calculate_cap_emi!$AW$14:$AW$21, "Not found", 0))</f>
        <v>124.24743279656099</v>
      </c>
      <c r="S105" s="8" cm="1">
        <f t="array" ref="S105">_xlfn.SWITCH(K105,200,_xlfn.XLOOKUP(J105,EOL!$C$18:$N$18,EOL!$C$20:$N$20) + _xlfn.XLOOKUP(B105&amp;"|"&amp;E105,
        Calculate_cap_emi!$L$14:$L$21&amp;"|"&amp;Calculate_cap_emi!$I$14:$I$21,
        Calculate_cap_emi!$BD$14:$BD$21, "Not found", 0), LOOKUP(K105,EOL!$C$24:$D$24,EOL!$C$26:$D$26) + _xlfn.XLOOKUP(J105,EOL!$C$18:$N$18,EOL!$C$20:$N$20) + _xlfn.XLOOKUP(B105&amp;"|"&amp;E105,
        Calculate_cap_emi!$L$14:$L$21&amp;"|"&amp;Calculate_cap_emi!$I$14:$I$21,
        Calculate_cap_emi!$BD$14:$BD$21, "Not found", 0))</f>
        <v>662.67062990302145</v>
      </c>
      <c r="T105" s="8" cm="1">
        <f t="array" ref="T105">_xlfn.SWITCH(K105,200,_xlfn.XLOOKUP(J105,Other!$C$18:$N$18,Other!$C$20:$N$20) + _xlfn.XLOOKUP(B105&amp;"|"&amp;E105,
        Calculate_cap_emi!$L$14:$L$21&amp;"|"&amp;Calculate_cap_emi!$I$14:$I$21,
        Calculate_cap_emi!$BK$14:$BK$21, "Not found", 0), LOOKUP(K105,Other!$C$24:$D$24,Other!$C$26:$D$26) + _xlfn.XLOOKUP(J105,Other!$C$18:$N$18,Other!$C$20:$N$20) + _xlfn.XLOOKUP(B105&amp;"|"&amp;E105,
        Calculate_cap_emi!$L$14:$L$21&amp;"|"&amp;Calculate_cap_emi!$I$14:$I$21,
        Calculate_cap_emi!$BK$14:$BK$21, "Not found", 0))</f>
        <v>2365.2788062122027</v>
      </c>
      <c r="U105" s="8" cm="1">
        <f t="array" ref="U105">_xlfn.SWITCH(K105,200,_xlfn.XLOOKUP(J105,EOL_R!$C$18:$N$18,EOL_R!$C$20:$N$20) + _xlfn.XLOOKUP(B105&amp;"|"&amp;E105,
        Calculate_cap_emi_sens!$L$14:$L$21&amp;"|"&amp;Calculate_cap_emi_sens!$I$14:$I$21,
        Calculate_cap_emi_sens!$BD$14:$BD$21, "Not found", 0), LOOKUP(K105,EOL_R!$C$24:$D$24,EOL_R!$C$26:$D$26) + _xlfn.XLOOKUP(J105,EOL_R!$C$18:$N$18,EOL_R!$C$20:$N$20) + _xlfn.XLOOKUP(B105&amp;"|"&amp;E105,
        Calculate_cap_emi_sens!$L$14:$L$21&amp;"|"&amp;Calculate_cap_emi_sens!$I$14:$I$21,
        Calculate_cap_emi_sens!$BD$14:$BD$21, "Not found", 0))</f>
        <v>512.6097715418199</v>
      </c>
      <c r="V105" s="8" cm="1">
        <f t="array" ref="V105">_xlfn.SWITCH(K105,200,_xlfn.XLOOKUP(J105,Other_R!$C$18:$N$18,Other_R!$C$20:$N$20) + _xlfn.XLOOKUP(B105&amp;"|"&amp;E105,
        Calculate_cap_emi_sens!$L$14:$L$21&amp;"|"&amp;Calculate_cap_emi_sens!$I$14:$I$21,
        Calculate_cap_emi_sens!$BK$14:$BK$21, "Not found", 0), LOOKUP(K105,Other_R!$C$24:$D$24,Other_R!$C$26:$D$26) + _xlfn.XLOOKUP(J105,Other_R!$C$18:$N$18,Other_R!$C$20:$N$20) + _xlfn.XLOOKUP(B105&amp;"|"&amp;E105,
        Calculate_cap_emi_sens!$L$14:$L$21&amp;"|"&amp;Calculate_cap_emi_sens!$I$14:$I$21,
        Calculate_cap_emi_sens!$BK$14:$BK$21, "Not found", 0))</f>
        <v>1912.4113353671346</v>
      </c>
      <c r="W105" s="5">
        <f>Results_proc_ener!L105</f>
        <v>110565.6581226565</v>
      </c>
      <c r="X105" s="5">
        <f>Results_proc_ener!M105</f>
        <v>49760.002199565621</v>
      </c>
      <c r="Y105" s="5">
        <f>Results_proc_ener!N105</f>
        <v>10613.59090909091</v>
      </c>
      <c r="Z105" s="5">
        <f>Results_proc_ener!O105</f>
        <v>50192.065013999971</v>
      </c>
      <c r="AA105" s="5">
        <f>Results_proc_ener!P105</f>
        <v>110565.6581226565</v>
      </c>
      <c r="AB105" s="5">
        <f>Results_proc_ener!Q105</f>
        <v>2709.9849971414969</v>
      </c>
      <c r="AC105" s="5">
        <f>Results_proc_ener!R105</f>
        <v>244.35386017201552</v>
      </c>
      <c r="AD105" s="5">
        <f>Results_proc_ener!S105</f>
        <v>15878.116712945453</v>
      </c>
      <c r="AE105" s="5">
        <f>Results_proc_ener!T105</f>
        <v>74234.7807270372</v>
      </c>
    </row>
    <row r="106" spans="1:31" x14ac:dyDescent="0.25">
      <c r="A106" s="5"/>
      <c r="B106" s="5" t="str">
        <f t="shared" si="6"/>
        <v>Mass-Nom</v>
      </c>
      <c r="C106" s="5" t="s">
        <v>37</v>
      </c>
      <c r="D106" s="5" t="str">
        <f t="shared" si="5"/>
        <v>Nom</v>
      </c>
      <c r="E106" s="5" t="s">
        <v>3</v>
      </c>
      <c r="F106" s="5" t="s">
        <v>55</v>
      </c>
      <c r="G106" s="5" t="s">
        <v>55</v>
      </c>
      <c r="H106" s="5">
        <v>14</v>
      </c>
      <c r="I106" s="5"/>
      <c r="J106" s="5">
        <f t="shared" si="7"/>
        <v>14</v>
      </c>
      <c r="K106" s="5">
        <v>500</v>
      </c>
      <c r="L106" s="8" cm="1">
        <f t="array" ref="L106">_xlfn.SWITCH(K106,200,_xlfn.XLOOKUP(J106,Manufacture!$C$18:$N$18,Manufacture!$C$20:$N$20) + _xlfn.XLOOKUP(B106&amp;"|"&amp;E106,
        Calculate_cap_emi!$L$14:$L$21&amp;"|"&amp;Calculate_cap_emi!$I$14:$I$21,
        Calculate_cap_emi!$AI$14:$AI$21, "Not found", 0), LOOKUP(K106,Manufacture!$C$24:$D$24,Manufacture!$C$26:$D$26) + _xlfn.XLOOKUP(J106,Manufacture!$C$18:$N$18,Manufacture!$C$20:$N$20) + _xlfn.XLOOKUP(B106&amp;"|"&amp;E106,
        Calculate_cap_emi!$L$14:$L$21&amp;"|"&amp;Calculate_cap_emi!$I$14:$I$21,
        Calculate_cap_emi!$AI$14:$AI$21, "Not found", 0))</f>
        <v>3857.9923891627286</v>
      </c>
      <c r="M106" s="8">
        <f>_xlfn.XLOOKUP(J106,Manufacture!$C$18:$N$18,Manufacture!$C$20:$N$20)</f>
        <v>2067.610588235294</v>
      </c>
      <c r="N106" s="8" cm="1">
        <f t="array" ref="N106">_xlfn.SWITCH(K106,200,0,LOOKUP(K106,Manufacture!$C$24:$D$24,Manufacture!$C$26:$D$26))</f>
        <v>336</v>
      </c>
      <c r="O106" s="5" cm="1">
        <f t="array" ref="O106">_xlfn.XLOOKUP(B106&amp;"|"&amp;E106,
        Calculate_cap_emi!$L$14:$L$21&amp;"|"&amp;Calculate_cap_emi!$I$14:$I$21,
        Calculate_cap_emi!$AI$14:$AI$21, "Not found", 0)</f>
        <v>1454.3818009274348</v>
      </c>
      <c r="P106" s="8">
        <f t="shared" si="8"/>
        <v>3857.9923891627286</v>
      </c>
      <c r="Q106" s="8" cm="1">
        <f t="array" ref="Q106">_xlfn.SWITCH(K106,200,_xlfn.XLOOKUP(J106,Distribution!$C$18:$N$18,Distribution!$C$20:$N$20) + _xlfn.XLOOKUP(B106&amp;"|"&amp;E106,
        Calculate_cap_emi!$L$14:$L$21&amp;"|"&amp;Calculate_cap_emi!$I$14:$I$21,
        Calculate_cap_emi!$AP$14:$AP$21, "Not found", 0), LOOKUP(K106,Distribution!$C$24:$D$24,Distribution!$C$26:$D$26) + _xlfn.XLOOKUP(J106,Distribution!$C$18:$N$18,Distribution!$C$20:$N$20) + _xlfn.XLOOKUP(B106&amp;"|"&amp;E106,
        Calculate_cap_emi!$L$14:$L$21&amp;"|"&amp;Calculate_cap_emi!$I$14:$I$21,
        Calculate_cap_emi!$AP$14:$AP$21, "Not found", 0))</f>
        <v>134.40964258356422</v>
      </c>
      <c r="R106" s="8" cm="1">
        <f t="array" ref="R106">_xlfn.SWITCH(K106,200,_xlfn.XLOOKUP(J106,Installation!$C$18:$N$18,Installation!$C$20:$N$20) + _xlfn.XLOOKUP(B106&amp;"|"&amp;E106,
        Calculate_cap_emi!$L$14:$L$21&amp;"|"&amp;Calculate_cap_emi!$I$14:$I$21,
        Calculate_cap_emi!$AW$14:$AW$21, "Not found", 0), LOOKUP(K106,Installation!$C$24:$D$24,Installation!$C$26:$D$26) + _xlfn.XLOOKUP(J106,Installation!$C$18:$N$18,Installation!$C$20:$N$20) + _xlfn.XLOOKUP(B106&amp;"|"&amp;E106,
        Calculate_cap_emi!$L$14:$L$21&amp;"|"&amp;Calculate_cap_emi!$I$14:$I$21,
        Calculate_cap_emi!$AW$14:$AW$21, "Not found", 0))</f>
        <v>136.54282409667218</v>
      </c>
      <c r="S106" s="8" cm="1">
        <f t="array" ref="S106">_xlfn.SWITCH(K106,200,_xlfn.XLOOKUP(J106,EOL!$C$18:$N$18,EOL!$C$20:$N$20) + _xlfn.XLOOKUP(B106&amp;"|"&amp;E106,
        Calculate_cap_emi!$L$14:$L$21&amp;"|"&amp;Calculate_cap_emi!$I$14:$I$21,
        Calculate_cap_emi!$BD$14:$BD$21, "Not found", 0), LOOKUP(K106,EOL!$C$24:$D$24,EOL!$C$26:$D$26) + _xlfn.XLOOKUP(J106,EOL!$C$18:$N$18,EOL!$C$20:$N$20) + _xlfn.XLOOKUP(B106&amp;"|"&amp;E106,
        Calculate_cap_emi!$L$14:$L$21&amp;"|"&amp;Calculate_cap_emi!$I$14:$I$21,
        Calculate_cap_emi!$BD$14:$BD$21, "Not found", 0))</f>
        <v>737.12180637360962</v>
      </c>
      <c r="T106" s="8" cm="1">
        <f t="array" ref="T106">_xlfn.SWITCH(K106,200,_xlfn.XLOOKUP(J106,Other!$C$18:$N$18,Other!$C$20:$N$20) + _xlfn.XLOOKUP(B106&amp;"|"&amp;E106,
        Calculate_cap_emi!$L$14:$L$21&amp;"|"&amp;Calculate_cap_emi!$I$14:$I$21,
        Calculate_cap_emi!$BK$14:$BK$21, "Not found", 0), LOOKUP(K106,Other!$C$24:$D$24,Other!$C$26:$D$26) + _xlfn.XLOOKUP(J106,Other!$C$18:$N$18,Other!$C$20:$N$20) + _xlfn.XLOOKUP(B106&amp;"|"&amp;E106,
        Calculate_cap_emi!$L$14:$L$21&amp;"|"&amp;Calculate_cap_emi!$I$14:$I$21,
        Calculate_cap_emi!$BK$14:$BK$21, "Not found", 0))</f>
        <v>2474.7275560262378</v>
      </c>
      <c r="U106" s="8" cm="1">
        <f t="array" ref="U106">_xlfn.SWITCH(K106,200,_xlfn.XLOOKUP(J106,EOL_R!$C$18:$N$18,EOL_R!$C$20:$N$20) + _xlfn.XLOOKUP(B106&amp;"|"&amp;E106,
        Calculate_cap_emi_sens!$L$14:$L$21&amp;"|"&amp;Calculate_cap_emi_sens!$I$14:$I$21,
        Calculate_cap_emi_sens!$BD$14:$BD$21, "Not found", 0), LOOKUP(K106,EOL_R!$C$24:$D$24,EOL_R!$C$26:$D$26) + _xlfn.XLOOKUP(J106,EOL_R!$C$18:$N$18,EOL_R!$C$20:$N$20) + _xlfn.XLOOKUP(B106&amp;"|"&amp;E106,
        Calculate_cap_emi_sens!$L$14:$L$21&amp;"|"&amp;Calculate_cap_emi_sens!$I$14:$I$21,
        Calculate_cap_emi_sens!$BD$14:$BD$21, "Not found", 0))</f>
        <v>555.57567136899252</v>
      </c>
      <c r="V106" s="8" cm="1">
        <f t="array" ref="V106">_xlfn.SWITCH(K106,200,_xlfn.XLOOKUP(J106,Other_R!$C$18:$N$18,Other_R!$C$20:$N$20) + _xlfn.XLOOKUP(B106&amp;"|"&amp;E106,
        Calculate_cap_emi_sens!$L$14:$L$21&amp;"|"&amp;Calculate_cap_emi_sens!$I$14:$I$21,
        Calculate_cap_emi_sens!$BK$14:$BK$21, "Not found", 0), LOOKUP(K106,Other_R!$C$24:$D$24,Other_R!$C$26:$D$26) + _xlfn.XLOOKUP(J106,Other_R!$C$18:$N$18,Other_R!$C$20:$N$20) + _xlfn.XLOOKUP(B106&amp;"|"&amp;E106,
        Calculate_cap_emi_sens!$L$14:$L$21&amp;"|"&amp;Calculate_cap_emi_sens!$I$14:$I$21,
        Calculate_cap_emi_sens!$BK$14:$BK$21, "Not found", 0))</f>
        <v>1944.6268806005644</v>
      </c>
      <c r="W106" s="5">
        <f>Results_proc_ener!L106</f>
        <v>112339.8511241458</v>
      </c>
      <c r="X106" s="5">
        <f>Results_proc_ener!M106</f>
        <v>51534.195201054921</v>
      </c>
      <c r="Y106" s="5">
        <f>Results_proc_ener!N106</f>
        <v>10613.59090909091</v>
      </c>
      <c r="Z106" s="5">
        <f>Results_proc_ener!O106</f>
        <v>50192.065013999971</v>
      </c>
      <c r="AA106" s="5">
        <f>Results_proc_ener!P106</f>
        <v>112339.8511241458</v>
      </c>
      <c r="AB106" s="5">
        <f>Results_proc_ener!Q106</f>
        <v>2873.5064628172468</v>
      </c>
      <c r="AC106" s="5">
        <f>Results_proc_ener!R106</f>
        <v>256.64925147212671</v>
      </c>
      <c r="AD106" s="5">
        <f>Results_proc_ener!S106</f>
        <v>15878.116712945453</v>
      </c>
      <c r="AE106" s="5">
        <f>Results_proc_ener!T106</f>
        <v>74344.229476851237</v>
      </c>
    </row>
    <row r="107" spans="1:31" x14ac:dyDescent="0.25">
      <c r="A107" s="5"/>
      <c r="B107" s="5" t="str">
        <f t="shared" si="6"/>
        <v>Mass-Nom</v>
      </c>
      <c r="C107" s="5" t="s">
        <v>37</v>
      </c>
      <c r="D107" s="5" t="str">
        <f t="shared" si="5"/>
        <v>Nom</v>
      </c>
      <c r="E107" s="5" t="s">
        <v>3</v>
      </c>
      <c r="F107" s="5" t="s">
        <v>57</v>
      </c>
      <c r="G107" s="5" t="s">
        <v>57</v>
      </c>
      <c r="H107" s="5">
        <v>5</v>
      </c>
      <c r="I107" s="5"/>
      <c r="J107" s="5">
        <f t="shared" si="7"/>
        <v>5</v>
      </c>
      <c r="K107" s="5">
        <v>1000</v>
      </c>
      <c r="L107" s="8" cm="1">
        <f t="array" ref="L107">_xlfn.SWITCH(K107,200,_xlfn.XLOOKUP(J107,Manufacture!$C$18:$N$18,Manufacture!$C$20:$N$20) + _xlfn.XLOOKUP(B107&amp;"|"&amp;E107,
        Calculate_cap_emi!$L$14:$L$21&amp;"|"&amp;Calculate_cap_emi!$I$14:$I$21,
        Calculate_cap_emi!$AI$14:$AI$21, "Not found", 0), LOOKUP(K107,Manufacture!$C$24:$D$24,Manufacture!$C$26:$D$26) + _xlfn.XLOOKUP(J107,Manufacture!$C$18:$N$18,Manufacture!$C$20:$N$20) + _xlfn.XLOOKUP(B107&amp;"|"&amp;E107,
        Calculate_cap_emi!$L$14:$L$21&amp;"|"&amp;Calculate_cap_emi!$I$14:$I$21,
        Calculate_cap_emi!$AI$14:$AI$21, "Not found", 0))</f>
        <v>3825.2627100183436</v>
      </c>
      <c r="M107" s="8">
        <f>_xlfn.XLOOKUP(J107,Manufacture!$C$18:$N$18,Manufacture!$C$20:$N$20)</f>
        <v>1711.29</v>
      </c>
      <c r="N107" s="8" cm="1">
        <f t="array" ref="N107">_xlfn.SWITCH(K107,200,0,LOOKUP(K107,Manufacture!$C$24:$D$24,Manufacture!$C$26:$D$26))</f>
        <v>659.59090909090912</v>
      </c>
      <c r="O107" s="5" cm="1">
        <f t="array" ref="O107">_xlfn.XLOOKUP(B107&amp;"|"&amp;E107,
        Calculate_cap_emi!$L$14:$L$21&amp;"|"&amp;Calculate_cap_emi!$I$14:$I$21,
        Calculate_cap_emi!$AI$14:$AI$21, "Not found", 0)</f>
        <v>1454.3818009274348</v>
      </c>
      <c r="P107" s="8">
        <f>SUM(M107:O107)</f>
        <v>3825.2627100183436</v>
      </c>
      <c r="Q107" s="8" cm="1">
        <f t="array" ref="Q107">_xlfn.SWITCH(K107,200,_xlfn.XLOOKUP(J107,Distribution!$C$18:$N$18,Distribution!$C$20:$N$20) + _xlfn.XLOOKUP(B107&amp;"|"&amp;E107,
        Calculate_cap_emi!$L$14:$L$21&amp;"|"&amp;Calculate_cap_emi!$I$14:$I$21,
        Calculate_cap_emi!$AP$14:$AP$21, "Not found", 0), LOOKUP(K107,Distribution!$C$24:$D$24,Distribution!$C$26:$D$26) + _xlfn.XLOOKUP(J107,Distribution!$C$18:$N$18,Distribution!$C$20:$N$20) + _xlfn.XLOOKUP(B107&amp;"|"&amp;E107,
        Calculate_cap_emi!$L$14:$L$21&amp;"|"&amp;Calculate_cap_emi!$I$14:$I$21,
        Calculate_cap_emi!$AP$14:$AP$21, "Not found", 0))</f>
        <v>127.81131587181024</v>
      </c>
      <c r="R107" s="8" cm="1">
        <f t="array" ref="R107">_xlfn.SWITCH(K107,200,_xlfn.XLOOKUP(J107,Installation!$C$18:$N$18,Installation!$C$20:$N$20) + _xlfn.XLOOKUP(B107&amp;"|"&amp;E107,
        Calculate_cap_emi!$L$14:$L$21&amp;"|"&amp;Calculate_cap_emi!$I$14:$I$21,
        Calculate_cap_emi!$AW$14:$AW$21, "Not found", 0), LOOKUP(K107,Installation!$C$24:$D$24,Installation!$C$26:$D$26) + _xlfn.XLOOKUP(J107,Installation!$C$18:$N$18,Installation!$C$20:$N$20) + _xlfn.XLOOKUP(B107&amp;"|"&amp;E107,
        Calculate_cap_emi!$L$14:$L$21&amp;"|"&amp;Calculate_cap_emi!$I$14:$I$21,
        Calculate_cap_emi!$AW$14:$AW$21, "Not found", 0))</f>
        <v>114.41111975647222</v>
      </c>
      <c r="S107" s="8" cm="1">
        <f t="array" ref="S107">_xlfn.SWITCH(K107,200,_xlfn.XLOOKUP(J107,EOL!$C$18:$N$18,EOL!$C$20:$N$20) + _xlfn.XLOOKUP(B107&amp;"|"&amp;E107,
        Calculate_cap_emi!$L$14:$L$21&amp;"|"&amp;Calculate_cap_emi!$I$14:$I$21,
        Calculate_cap_emi!$BD$14:$BD$21, "Not found", 0), LOOKUP(K107,EOL!$C$24:$D$24,EOL!$C$26:$D$26) + _xlfn.XLOOKUP(J107,EOL!$C$18:$N$18,EOL!$C$20:$N$20) + _xlfn.XLOOKUP(B107&amp;"|"&amp;E107,
        Calculate_cap_emi!$L$14:$L$21&amp;"|"&amp;Calculate_cap_emi!$I$14:$I$21,
        Calculate_cap_emi!$BD$14:$BD$21, "Not found", 0))</f>
        <v>741.51877963564175</v>
      </c>
      <c r="T107" s="8" cm="1">
        <f t="array" ref="T107">_xlfn.SWITCH(K107,200,_xlfn.XLOOKUP(J107,Other!$C$18:$N$18,Other!$C$20:$N$20) + _xlfn.XLOOKUP(B107&amp;"|"&amp;E107,
        Calculate_cap_emi!$L$14:$L$21&amp;"|"&amp;Calculate_cap_emi!$I$14:$I$21,
        Calculate_cap_emi!$BK$14:$BK$21, "Not found", 0), LOOKUP(K107,Other!$C$24:$D$24,Other!$C$26:$D$26) + _xlfn.XLOOKUP(J107,Other!$C$18:$N$18,Other!$C$20:$N$20) + _xlfn.XLOOKUP(B107&amp;"|"&amp;E107,
        Calculate_cap_emi!$L$14:$L$21&amp;"|"&amp;Calculate_cap_emi!$I$14:$I$21,
        Calculate_cap_emi!$BK$14:$BK$21, "Not found", 0))</f>
        <v>2277.7198063609758</v>
      </c>
      <c r="U107" s="8" cm="1">
        <f t="array" ref="U107">_xlfn.SWITCH(K107,200,_xlfn.XLOOKUP(J107,EOL_R!$C$18:$N$18,EOL_R!$C$20:$N$20) + _xlfn.XLOOKUP(B107&amp;"|"&amp;E107,
        Calculate_cap_emi_sens!$L$14:$L$21&amp;"|"&amp;Calculate_cap_emi_sens!$I$14:$I$21,
        Calculate_cap_emi_sens!$BD$14:$BD$21, "Not found", 0), LOOKUP(K107,EOL_R!$C$24:$D$24,EOL_R!$C$26:$D$26) + _xlfn.XLOOKUP(J107,EOL_R!$C$18:$N$18,EOL_R!$C$20:$N$20) + _xlfn.XLOOKUP(B107&amp;"|"&amp;E107,
        Calculate_cap_emi_sens!$L$14:$L$21&amp;"|"&amp;Calculate_cap_emi_sens!$I$14:$I$21,
        Calculate_cap_emi_sens!$BD$14:$BD$21, "Not found", 0))</f>
        <v>633.34396448036807</v>
      </c>
      <c r="V107" s="8" cm="1">
        <f t="array" ref="V107">_xlfn.SWITCH(K107,200,_xlfn.XLOOKUP(J107,Other_R!$C$18:$N$18,Other_R!$C$20:$N$20) + _xlfn.XLOOKUP(B107&amp;"|"&amp;E107,
        Calculate_cap_emi_sens!$L$14:$L$21&amp;"|"&amp;Calculate_cap_emi_sens!$I$14:$I$21,
        Calculate_cap_emi_sens!$BK$14:$BK$21, "Not found", 0), LOOKUP(K107,Other_R!$C$24:$D$24,Other_R!$C$26:$D$26) + _xlfn.XLOOKUP(J107,Other_R!$C$18:$N$18,Other_R!$C$20:$N$20) + _xlfn.XLOOKUP(B107&amp;"|"&amp;E107,
        Calculate_cap_emi_sens!$L$14:$L$21&amp;"|"&amp;Calculate_cap_emi_sens!$I$14:$I$21,
        Calculate_cap_emi_sens!$BK$14:$BK$21, "Not found", 0))</f>
        <v>1927.5985613354615</v>
      </c>
      <c r="W107" s="5">
        <f>Results_proc_ener!L107</f>
        <v>119106.03099419244</v>
      </c>
      <c r="X107" s="5">
        <f>Results_proc_ener!M107</f>
        <v>48340.647798374281</v>
      </c>
      <c r="Y107" s="5">
        <f>Results_proc_ener!N107</f>
        <v>20573.31818181818</v>
      </c>
      <c r="Z107" s="5">
        <f>Results_proc_ener!O107</f>
        <v>50192.065013999971</v>
      </c>
      <c r="AA107" s="5">
        <f>Results_proc_ener!P107</f>
        <v>119106.03099419244</v>
      </c>
      <c r="AB107" s="5">
        <f>Results_proc_ener!Q107</f>
        <v>2759.7531499478969</v>
      </c>
      <c r="AC107" s="5">
        <f>Results_proc_ener!R107</f>
        <v>240.24481985919948</v>
      </c>
      <c r="AD107" s="5">
        <f>Results_proc_ener!S107</f>
        <v>26014.434894763635</v>
      </c>
      <c r="AE107" s="5">
        <f>Results_proc_ener!T107</f>
        <v>74147.22172718597</v>
      </c>
    </row>
    <row r="108" spans="1:31" x14ac:dyDescent="0.25">
      <c r="A108" s="5"/>
      <c r="B108" s="5" t="str">
        <f t="shared" si="6"/>
        <v>Mass-Nom</v>
      </c>
      <c r="C108" s="5" t="s">
        <v>37</v>
      </c>
      <c r="D108" s="5" t="str">
        <f t="shared" si="5"/>
        <v>Nom</v>
      </c>
      <c r="E108" s="5" t="s">
        <v>3</v>
      </c>
      <c r="F108" s="5" t="s">
        <v>57</v>
      </c>
      <c r="G108" s="5" t="s">
        <v>57</v>
      </c>
      <c r="H108" s="5">
        <v>6</v>
      </c>
      <c r="I108" s="5"/>
      <c r="J108" s="5">
        <f t="shared" si="7"/>
        <v>6</v>
      </c>
      <c r="K108" s="5">
        <v>1000</v>
      </c>
      <c r="L108" s="8" cm="1">
        <f t="array" ref="L108">_xlfn.SWITCH(K108,200,_xlfn.XLOOKUP(J108,Manufacture!$C$18:$N$18,Manufacture!$C$20:$N$20) + _xlfn.XLOOKUP(B108&amp;"|"&amp;E108,
        Calculate_cap_emi!$L$14:$L$21&amp;"|"&amp;Calculate_cap_emi!$I$14:$I$21,
        Calculate_cap_emi!$AI$14:$AI$21, "Not found", 0), LOOKUP(K108,Manufacture!$C$24:$D$24,Manufacture!$C$26:$D$26) + _xlfn.XLOOKUP(J108,Manufacture!$C$18:$N$18,Manufacture!$C$20:$N$20) + _xlfn.XLOOKUP(B108&amp;"|"&amp;E108,
        Calculate_cap_emi!$L$14:$L$21&amp;"|"&amp;Calculate_cap_emi!$I$14:$I$21,
        Calculate_cap_emi!$AI$14:$AI$21, "Not found", 0))</f>
        <v>3864.8538864889315</v>
      </c>
      <c r="M108" s="8">
        <f>_xlfn.XLOOKUP(J108,Manufacture!$C$18:$N$18,Manufacture!$C$20:$N$20)</f>
        <v>1750.8811764705879</v>
      </c>
      <c r="N108" s="8" cm="1">
        <f t="array" ref="N108">_xlfn.SWITCH(K108,200,0,LOOKUP(K108,Manufacture!$C$24:$D$24,Manufacture!$C$26:$D$26))</f>
        <v>659.59090909090912</v>
      </c>
      <c r="O108" s="5" cm="1">
        <f t="array" ref="O108">_xlfn.XLOOKUP(B108&amp;"|"&amp;E108,
        Calculate_cap_emi!$L$14:$L$21&amp;"|"&amp;Calculate_cap_emi!$I$14:$I$21,
        Calculate_cap_emi!$AI$14:$AI$21, "Not found", 0)</f>
        <v>1454.3818009274348</v>
      </c>
      <c r="P108" s="8">
        <f t="shared" si="8"/>
        <v>3864.8538864889315</v>
      </c>
      <c r="Q108" s="8" cm="1">
        <f t="array" ref="Q108">_xlfn.SWITCH(K108,200,_xlfn.XLOOKUP(J108,Distribution!$C$18:$N$18,Distribution!$C$20:$N$20) + _xlfn.XLOOKUP(B108&amp;"|"&amp;E108,
        Calculate_cap_emi!$L$14:$L$21&amp;"|"&amp;Calculate_cap_emi!$I$14:$I$21,
        Calculate_cap_emi!$AP$14:$AP$21, "Not found", 0), LOOKUP(K108,Distribution!$C$24:$D$24,Distribution!$C$26:$D$26) + _xlfn.XLOOKUP(J108,Distribution!$C$18:$N$18,Distribution!$C$20:$N$20) + _xlfn.XLOOKUP(B108&amp;"|"&amp;E108,
        Calculate_cap_emi!$L$14:$L$21&amp;"|"&amp;Calculate_cap_emi!$I$14:$I$21,
        Calculate_cap_emi!$AP$14:$AP$21, "Not found", 0))</f>
        <v>129.35552678604552</v>
      </c>
      <c r="R108" s="8" cm="1">
        <f t="array" ref="R108">_xlfn.SWITCH(K108,200,_xlfn.XLOOKUP(J108,Installation!$C$18:$N$18,Installation!$C$20:$N$20) + _xlfn.XLOOKUP(B108&amp;"|"&amp;E108,
        Calculate_cap_emi!$L$14:$L$21&amp;"|"&amp;Calculate_cap_emi!$I$14:$I$21,
        Calculate_cap_emi!$AW$14:$AW$21, "Not found", 0), LOOKUP(K108,Installation!$C$24:$D$24,Installation!$C$26:$D$26) + _xlfn.XLOOKUP(J108,Installation!$C$18:$N$18,Installation!$C$20:$N$20) + _xlfn.XLOOKUP(B108&amp;"|"&amp;E108,
        Calculate_cap_emi!$L$14:$L$21&amp;"|"&amp;Calculate_cap_emi!$I$14:$I$21,
        Calculate_cap_emi!$AW$14:$AW$21, "Not found", 0))</f>
        <v>116.87019801649447</v>
      </c>
      <c r="S108" s="8" cm="1">
        <f t="array" ref="S108">_xlfn.SWITCH(K108,200,_xlfn.XLOOKUP(J108,EOL!$C$18:$N$18,EOL!$C$20:$N$20) + _xlfn.XLOOKUP(B108&amp;"|"&amp;E108,
        Calculate_cap_emi!$L$14:$L$21&amp;"|"&amp;Calculate_cap_emi!$I$14:$I$21,
        Calculate_cap_emi!$BD$14:$BD$21, "Not found", 0), LOOKUP(K108,EOL!$C$24:$D$24,EOL!$C$26:$D$26) + _xlfn.XLOOKUP(J108,EOL!$C$18:$N$18,EOL!$C$20:$N$20) + _xlfn.XLOOKUP(B108&amp;"|"&amp;E108,
        Calculate_cap_emi!$L$14:$L$21&amp;"|"&amp;Calculate_cap_emi!$I$14:$I$21,
        Calculate_cap_emi!$BD$14:$BD$21, "Not found", 0))</f>
        <v>756.40901492975934</v>
      </c>
      <c r="T108" s="8" cm="1">
        <f t="array" ref="T108">_xlfn.SWITCH(K108,200,_xlfn.XLOOKUP(J108,Other!$C$18:$N$18,Other!$C$20:$N$20) + _xlfn.XLOOKUP(B108&amp;"|"&amp;E108,
        Calculate_cap_emi!$L$14:$L$21&amp;"|"&amp;Calculate_cap_emi!$I$14:$I$21,
        Calculate_cap_emi!$BK$14:$BK$21, "Not found", 0), LOOKUP(K108,Other!$C$24:$D$24,Other!$C$26:$D$26) + _xlfn.XLOOKUP(J108,Other!$C$18:$N$18,Other!$C$20:$N$20) + _xlfn.XLOOKUP(B108&amp;"|"&amp;E108,
        Calculate_cap_emi!$L$14:$L$21&amp;"|"&amp;Calculate_cap_emi!$I$14:$I$21,
        Calculate_cap_emi!$BK$14:$BK$21, "Not found", 0))</f>
        <v>2299.6095563237823</v>
      </c>
      <c r="U108" s="8" cm="1">
        <f t="array" ref="U108">_xlfn.SWITCH(K108,200,_xlfn.XLOOKUP(J108,EOL_R!$C$18:$N$18,EOL_R!$C$20:$N$20) + _xlfn.XLOOKUP(B108&amp;"|"&amp;E108,
        Calculate_cap_emi_sens!$L$14:$L$21&amp;"|"&amp;Calculate_cap_emi_sens!$I$14:$I$21,
        Calculate_cap_emi_sens!$BD$14:$BD$21, "Not found", 0), LOOKUP(K108,EOL_R!$C$24:$D$24,EOL_R!$C$26:$D$26) + _xlfn.XLOOKUP(J108,EOL_R!$C$18:$N$18,EOL_R!$C$20:$N$20) + _xlfn.XLOOKUP(B108&amp;"|"&amp;E108,
        Calculate_cap_emi_sens!$L$14:$L$21&amp;"|"&amp;Calculate_cap_emi_sens!$I$14:$I$21,
        Calculate_cap_emi_sens!$BD$14:$BD$21, "Not found", 0))</f>
        <v>635.24185227623934</v>
      </c>
      <c r="V108" s="8" cm="1">
        <f t="array" ref="V108">_xlfn.SWITCH(K108,200,_xlfn.XLOOKUP(J108,Other_R!$C$18:$N$18,Other_R!$C$20:$N$20) + _xlfn.XLOOKUP(B108&amp;"|"&amp;E108,
        Calculate_cap_emi_sens!$L$14:$L$21&amp;"|"&amp;Calculate_cap_emi_sens!$I$14:$I$21,
        Calculate_cap_emi_sens!$BK$14:$BK$21, "Not found", 0), LOOKUP(K108,Other_R!$C$24:$D$24,Other_R!$C$26:$D$26) + _xlfn.XLOOKUP(J108,Other_R!$C$18:$N$18,Other_R!$C$20:$N$20) + _xlfn.XLOOKUP(B108&amp;"|"&amp;E108,
        Calculate_cap_emi_sens!$L$14:$L$21&amp;"|"&amp;Calculate_cap_emi_sens!$I$14:$I$21,
        Calculate_cap_emi_sens!$BK$14:$BK$21, "Not found", 0))</f>
        <v>1917.6181567597268</v>
      </c>
      <c r="W108" s="5">
        <f>Results_proc_ener!L108</f>
        <v>119460.86959449027</v>
      </c>
      <c r="X108" s="5">
        <f>Results_proc_ener!M108</f>
        <v>48695.486398672118</v>
      </c>
      <c r="Y108" s="5">
        <f>Results_proc_ener!N108</f>
        <v>20573.31818181818</v>
      </c>
      <c r="Z108" s="5">
        <f>Results_proc_ener!O108</f>
        <v>50192.065013999971</v>
      </c>
      <c r="AA108" s="5">
        <f>Results_proc_ener!P108</f>
        <v>119460.86959449027</v>
      </c>
      <c r="AB108" s="5">
        <f>Results_proc_ener!Q108</f>
        <v>2792.4574430830467</v>
      </c>
      <c r="AC108" s="5">
        <f>Results_proc_ener!R108</f>
        <v>242.70389811922175</v>
      </c>
      <c r="AD108" s="5">
        <f>Results_proc_ener!S108</f>
        <v>26014.434894763635</v>
      </c>
      <c r="AE108" s="5">
        <f>Results_proc_ener!T108</f>
        <v>74169.111477148777</v>
      </c>
    </row>
    <row r="109" spans="1:31" x14ac:dyDescent="0.25">
      <c r="A109" s="5"/>
      <c r="B109" s="5" t="str">
        <f t="shared" si="6"/>
        <v>Mass-Nom</v>
      </c>
      <c r="C109" s="5" t="s">
        <v>37</v>
      </c>
      <c r="D109" s="5" t="str">
        <f t="shared" si="5"/>
        <v>Nom</v>
      </c>
      <c r="E109" s="5" t="s">
        <v>3</v>
      </c>
      <c r="F109" s="5" t="s">
        <v>57</v>
      </c>
      <c r="G109" s="5" t="s">
        <v>57</v>
      </c>
      <c r="H109" s="5">
        <v>8.5</v>
      </c>
      <c r="I109" s="5"/>
      <c r="J109" s="5">
        <f t="shared" si="7"/>
        <v>9</v>
      </c>
      <c r="K109" s="5">
        <v>1000</v>
      </c>
      <c r="L109" s="8" cm="1">
        <f t="array" ref="L109">_xlfn.SWITCH(K109,200,_xlfn.XLOOKUP(J109,Manufacture!$C$18:$N$18,Manufacture!$C$20:$N$20) + _xlfn.XLOOKUP(B109&amp;"|"&amp;E109,
        Calculate_cap_emi!$L$14:$L$21&amp;"|"&amp;Calculate_cap_emi!$I$14:$I$21,
        Calculate_cap_emi!$AI$14:$AI$21, "Not found", 0), LOOKUP(K109,Manufacture!$C$24:$D$24,Manufacture!$C$26:$D$26) + _xlfn.XLOOKUP(J109,Manufacture!$C$18:$N$18,Manufacture!$C$20:$N$20) + _xlfn.XLOOKUP(B109&amp;"|"&amp;E109,
        Calculate_cap_emi!$L$14:$L$21&amp;"|"&amp;Calculate_cap_emi!$I$14:$I$21,
        Calculate_cap_emi!$AI$14:$AI$21, "Not found", 0))</f>
        <v>3983.6274159006971</v>
      </c>
      <c r="M109" s="8">
        <f>_xlfn.XLOOKUP(J109,Manufacture!$C$18:$N$18,Manufacture!$C$20:$N$20)</f>
        <v>1869.654705882353</v>
      </c>
      <c r="N109" s="8" cm="1">
        <f t="array" ref="N109">_xlfn.SWITCH(K109,200,0,LOOKUP(K109,Manufacture!$C$24:$D$24,Manufacture!$C$26:$D$26))</f>
        <v>659.59090909090912</v>
      </c>
      <c r="O109" s="5" cm="1">
        <f t="array" ref="O109">_xlfn.XLOOKUP(B109&amp;"|"&amp;E109,
        Calculate_cap_emi!$L$14:$L$21&amp;"|"&amp;Calculate_cap_emi!$I$14:$I$21,
        Calculate_cap_emi!$AI$14:$AI$21, "Not found", 0)</f>
        <v>1454.3818009274348</v>
      </c>
      <c r="P109" s="8">
        <f t="shared" si="8"/>
        <v>3983.6274159006971</v>
      </c>
      <c r="Q109" s="8" cm="1">
        <f t="array" ref="Q109">_xlfn.SWITCH(K109,200,_xlfn.XLOOKUP(J109,Distribution!$C$18:$N$18,Distribution!$C$20:$N$20) + _xlfn.XLOOKUP(B109&amp;"|"&amp;E109,
        Calculate_cap_emi!$L$14:$L$21&amp;"|"&amp;Calculate_cap_emi!$I$14:$I$21,
        Calculate_cap_emi!$AP$14:$AP$21, "Not found", 0), LOOKUP(K109,Distribution!$C$24:$D$24,Distribution!$C$26:$D$26) + _xlfn.XLOOKUP(J109,Distribution!$C$18:$N$18,Distribution!$C$20:$N$20) + _xlfn.XLOOKUP(B109&amp;"|"&amp;E109,
        Calculate_cap_emi!$L$14:$L$21&amp;"|"&amp;Calculate_cap_emi!$I$14:$I$21,
        Calculate_cap_emi!$AP$14:$AP$21, "Not found", 0))</f>
        <v>133.98815952875142</v>
      </c>
      <c r="R109" s="8" cm="1">
        <f t="array" ref="R109">_xlfn.SWITCH(K109,200,_xlfn.XLOOKUP(J109,Installation!$C$18:$N$18,Installation!$C$20:$N$20) + _xlfn.XLOOKUP(B109&amp;"|"&amp;E109,
        Calculate_cap_emi!$L$14:$L$21&amp;"|"&amp;Calculate_cap_emi!$I$14:$I$21,
        Calculate_cap_emi!$AW$14:$AW$21, "Not found", 0), LOOKUP(K109,Installation!$C$24:$D$24,Installation!$C$26:$D$26) + _xlfn.XLOOKUP(J109,Installation!$C$18:$N$18,Installation!$C$20:$N$20) + _xlfn.XLOOKUP(B109&amp;"|"&amp;E109,
        Calculate_cap_emi!$L$14:$L$21&amp;"|"&amp;Calculate_cap_emi!$I$14:$I$21,
        Calculate_cap_emi!$AW$14:$AW$21, "Not found", 0))</f>
        <v>124.24743279656099</v>
      </c>
      <c r="S109" s="8" cm="1">
        <f t="array" ref="S109">_xlfn.SWITCH(K109,200,_xlfn.XLOOKUP(J109,EOL!$C$18:$N$18,EOL!$C$20:$N$20) + _xlfn.XLOOKUP(B109&amp;"|"&amp;E109,
        Calculate_cap_emi!$L$14:$L$21&amp;"|"&amp;Calculate_cap_emi!$I$14:$I$21,
        Calculate_cap_emi!$BD$14:$BD$21, "Not found", 0), LOOKUP(K109,EOL!$C$24:$D$24,EOL!$C$26:$D$26) + _xlfn.XLOOKUP(J109,EOL!$C$18:$N$18,EOL!$C$20:$N$20) + _xlfn.XLOOKUP(B109&amp;"|"&amp;E109,
        Calculate_cap_emi!$L$14:$L$21&amp;"|"&amp;Calculate_cap_emi!$I$14:$I$21,
        Calculate_cap_emi!$BD$14:$BD$21, "Not found", 0))</f>
        <v>801.07972081211233</v>
      </c>
      <c r="T109" s="8" cm="1">
        <f t="array" ref="T109">_xlfn.SWITCH(K109,200,_xlfn.XLOOKUP(J109,Other!$C$18:$N$18,Other!$C$20:$N$20) + _xlfn.XLOOKUP(B109&amp;"|"&amp;E109,
        Calculate_cap_emi!$L$14:$L$21&amp;"|"&amp;Calculate_cap_emi!$I$14:$I$21,
        Calculate_cap_emi!$BK$14:$BK$21, "Not found", 0), LOOKUP(K109,Other!$C$24:$D$24,Other!$C$26:$D$26) + _xlfn.XLOOKUP(J109,Other!$C$18:$N$18,Other!$C$20:$N$20) + _xlfn.XLOOKUP(B109&amp;"|"&amp;E109,
        Calculate_cap_emi!$L$14:$L$21&amp;"|"&amp;Calculate_cap_emi!$I$14:$I$21,
        Calculate_cap_emi!$BK$14:$BK$21, "Not found", 0))</f>
        <v>2365.2788062122027</v>
      </c>
      <c r="U109" s="8" cm="1">
        <f t="array" ref="U109">_xlfn.SWITCH(K109,200,_xlfn.XLOOKUP(J109,EOL_R!$C$18:$N$18,EOL_R!$C$20:$N$20) + _xlfn.XLOOKUP(B109&amp;"|"&amp;E109,
        Calculate_cap_emi_sens!$L$14:$L$21&amp;"|"&amp;Calculate_cap_emi_sens!$I$14:$I$21,
        Calculate_cap_emi_sens!$BD$14:$BD$21, "Not found", 0), LOOKUP(K109,EOL_R!$C$24:$D$24,EOL_R!$C$26:$D$26) + _xlfn.XLOOKUP(J109,EOL_R!$C$18:$N$18,EOL_R!$C$20:$N$20) + _xlfn.XLOOKUP(B109&amp;"|"&amp;E109,
        Calculate_cap_emi_sens!$L$14:$L$21&amp;"|"&amp;Calculate_cap_emi_sens!$I$14:$I$21,
        Calculate_cap_emi_sens!$BD$14:$BD$21, "Not found", 0))</f>
        <v>651.01886245091077</v>
      </c>
      <c r="V109" s="8" cm="1">
        <f t="array" ref="V109">_xlfn.SWITCH(K109,200,_xlfn.XLOOKUP(J109,Other_R!$C$18:$N$18,Other_R!$C$20:$N$20) + _xlfn.XLOOKUP(B109&amp;"|"&amp;E109,
        Calculate_cap_emi_sens!$L$14:$L$21&amp;"|"&amp;Calculate_cap_emi_sens!$I$14:$I$21,
        Calculate_cap_emi_sens!$BK$14:$BK$21, "Not found", 0), LOOKUP(K109,Other_R!$C$24:$D$24,Other_R!$C$26:$D$26) + _xlfn.XLOOKUP(J109,Other_R!$C$18:$N$18,Other_R!$C$20:$N$20) + _xlfn.XLOOKUP(B109&amp;"|"&amp;E109,
        Calculate_cap_emi_sens!$L$14:$L$21&amp;"|"&amp;Calculate_cap_emi_sens!$I$14:$I$21,
        Calculate_cap_emi_sens!$BK$14:$BK$21, "Not found", 0))</f>
        <v>1912.4113353671346</v>
      </c>
      <c r="W109" s="5">
        <f>Results_proc_ener!L109</f>
        <v>120525.38539538378</v>
      </c>
      <c r="X109" s="5">
        <f>Results_proc_ener!M109</f>
        <v>49760.002199565621</v>
      </c>
      <c r="Y109" s="5">
        <f>Results_proc_ener!N109</f>
        <v>20573.31818181818</v>
      </c>
      <c r="Z109" s="5">
        <f>Results_proc_ener!O109</f>
        <v>50192.065013999971</v>
      </c>
      <c r="AA109" s="5">
        <f>Results_proc_ener!P109</f>
        <v>120525.38539538378</v>
      </c>
      <c r="AB109" s="5">
        <f>Results_proc_ener!Q109</f>
        <v>2890.5703224884965</v>
      </c>
      <c r="AC109" s="5">
        <f>Results_proc_ener!R109</f>
        <v>250.08113289928826</v>
      </c>
      <c r="AD109" s="5">
        <f>Results_proc_ener!S109</f>
        <v>26014.434894763635</v>
      </c>
      <c r="AE109" s="5">
        <f>Results_proc_ener!T109</f>
        <v>74234.7807270372</v>
      </c>
    </row>
    <row r="110" spans="1:31" x14ac:dyDescent="0.25">
      <c r="A110" s="5"/>
      <c r="B110" s="5" t="str">
        <f t="shared" si="6"/>
        <v>Mass-Nom</v>
      </c>
      <c r="C110" s="5" t="s">
        <v>37</v>
      </c>
      <c r="D110" s="5" t="str">
        <f t="shared" si="5"/>
        <v>Nom</v>
      </c>
      <c r="E110" s="5" t="s">
        <v>3</v>
      </c>
      <c r="F110" s="5" t="s">
        <v>57</v>
      </c>
      <c r="G110" s="5" t="s">
        <v>57</v>
      </c>
      <c r="H110" s="5">
        <v>11.2</v>
      </c>
      <c r="I110" s="5"/>
      <c r="J110" s="5">
        <f t="shared" si="7"/>
        <v>12</v>
      </c>
      <c r="K110" s="5">
        <v>1000</v>
      </c>
      <c r="L110" s="8" cm="1">
        <f t="array" ref="L110">_xlfn.SWITCH(K110,200,_xlfn.XLOOKUP(J110,Manufacture!$C$18:$N$18,Manufacture!$C$20:$N$20) + _xlfn.XLOOKUP(B110&amp;"|"&amp;E110,
        Calculate_cap_emi!$L$14:$L$21&amp;"|"&amp;Calculate_cap_emi!$I$14:$I$21,
        Calculate_cap_emi!$AI$14:$AI$21, "Not found", 0), LOOKUP(K110,Manufacture!$C$24:$D$24,Manufacture!$C$26:$D$26) + _xlfn.XLOOKUP(J110,Manufacture!$C$18:$N$18,Manufacture!$C$20:$N$20) + _xlfn.XLOOKUP(B110&amp;"|"&amp;E110,
        Calculate_cap_emi!$L$14:$L$21&amp;"|"&amp;Calculate_cap_emi!$I$14:$I$21,
        Calculate_cap_emi!$AI$14:$AI$21, "Not found", 0))</f>
        <v>4102.4009453124618</v>
      </c>
      <c r="M110" s="8">
        <f>_xlfn.XLOOKUP(J110,Manufacture!$C$18:$N$18,Manufacture!$C$20:$N$20)</f>
        <v>1988.4282352941175</v>
      </c>
      <c r="N110" s="8" cm="1">
        <f t="array" ref="N110">_xlfn.SWITCH(K110,200,0,LOOKUP(K110,Manufacture!$C$24:$D$24,Manufacture!$C$26:$D$26))</f>
        <v>659.59090909090912</v>
      </c>
      <c r="O110" s="5" cm="1">
        <f t="array" ref="O110">_xlfn.XLOOKUP(B110&amp;"|"&amp;E110,
        Calculate_cap_emi!$L$14:$L$21&amp;"|"&amp;Calculate_cap_emi!$I$14:$I$21,
        Calculate_cap_emi!$AI$14:$AI$21, "Not found", 0)</f>
        <v>1454.3818009274348</v>
      </c>
      <c r="P110" s="8">
        <f t="shared" si="8"/>
        <v>4102.4009453124618</v>
      </c>
      <c r="Q110" s="8" cm="1">
        <f t="array" ref="Q110">_xlfn.SWITCH(K110,200,_xlfn.XLOOKUP(J110,Distribution!$C$18:$N$18,Distribution!$C$20:$N$20) + _xlfn.XLOOKUP(B110&amp;"|"&amp;E110,
        Calculate_cap_emi!$L$14:$L$21&amp;"|"&amp;Calculate_cap_emi!$I$14:$I$21,
        Calculate_cap_emi!$AP$14:$AP$21, "Not found", 0), LOOKUP(K110,Distribution!$C$24:$D$24,Distribution!$C$26:$D$26) + _xlfn.XLOOKUP(J110,Distribution!$C$18:$N$18,Distribution!$C$20:$N$20) + _xlfn.XLOOKUP(B110&amp;"|"&amp;E110,
        Calculate_cap_emi!$L$14:$L$21&amp;"|"&amp;Calculate_cap_emi!$I$14:$I$21,
        Calculate_cap_emi!$AP$14:$AP$21, "Not found", 0))</f>
        <v>138.6207922714573</v>
      </c>
      <c r="R110" s="8" cm="1">
        <f t="array" ref="R110">_xlfn.SWITCH(K110,200,_xlfn.XLOOKUP(J110,Installation!$C$18:$N$18,Installation!$C$20:$N$20) + _xlfn.XLOOKUP(B110&amp;"|"&amp;E110,
        Calculate_cap_emi!$L$14:$L$21&amp;"|"&amp;Calculate_cap_emi!$I$14:$I$21,
        Calculate_cap_emi!$AW$14:$AW$21, "Not found", 0), LOOKUP(K110,Installation!$C$24:$D$24,Installation!$C$26:$D$26) + _xlfn.XLOOKUP(J110,Installation!$C$18:$N$18,Installation!$C$20:$N$20) + _xlfn.XLOOKUP(B110&amp;"|"&amp;E110,
        Calculate_cap_emi!$L$14:$L$21&amp;"|"&amp;Calculate_cap_emi!$I$14:$I$21,
        Calculate_cap_emi!$AW$14:$AW$21, "Not found", 0))</f>
        <v>131.62466757662764</v>
      </c>
      <c r="S110" s="8" cm="1">
        <f t="array" ref="S110">_xlfn.SWITCH(K110,200,_xlfn.XLOOKUP(J110,EOL!$C$18:$N$18,EOL!$C$20:$N$20) + _xlfn.XLOOKUP(B110&amp;"|"&amp;E110,
        Calculate_cap_emi!$L$14:$L$21&amp;"|"&amp;Calculate_cap_emi!$I$14:$I$21,
        Calculate_cap_emi!$BD$14:$BD$21, "Not found", 0), LOOKUP(K110,EOL!$C$24:$D$24,EOL!$C$26:$D$26) + _xlfn.XLOOKUP(J110,EOL!$C$18:$N$18,EOL!$C$20:$N$20) + _xlfn.XLOOKUP(B110&amp;"|"&amp;E110,
        Calculate_cap_emi!$L$14:$L$21&amp;"|"&amp;Calculate_cap_emi!$I$14:$I$21,
        Calculate_cap_emi!$BD$14:$BD$21, "Not found", 0))</f>
        <v>845.7504266944652</v>
      </c>
      <c r="T110" s="8" cm="1">
        <f t="array" ref="T110">_xlfn.SWITCH(K110,200,_xlfn.XLOOKUP(J110,Other!$C$18:$N$18,Other!$C$20:$N$20) + _xlfn.XLOOKUP(B110&amp;"|"&amp;E110,
        Calculate_cap_emi!$L$14:$L$21&amp;"|"&amp;Calculate_cap_emi!$I$14:$I$21,
        Calculate_cap_emi!$BK$14:$BK$21, "Not found", 0), LOOKUP(K110,Other!$C$24:$D$24,Other!$C$26:$D$26) + _xlfn.XLOOKUP(J110,Other!$C$18:$N$18,Other!$C$20:$N$20) + _xlfn.XLOOKUP(B110&amp;"|"&amp;E110,
        Calculate_cap_emi!$L$14:$L$21&amp;"|"&amp;Calculate_cap_emi!$I$14:$I$21,
        Calculate_cap_emi!$BK$14:$BK$21, "Not found", 0))</f>
        <v>2430.9480561006244</v>
      </c>
      <c r="U110" s="8" cm="1">
        <f t="array" ref="U110">_xlfn.SWITCH(K110,200,_xlfn.XLOOKUP(J110,EOL_R!$C$18:$N$18,EOL_R!$C$20:$N$20) + _xlfn.XLOOKUP(B110&amp;"|"&amp;E110,
        Calculate_cap_emi_sens!$L$14:$L$21&amp;"|"&amp;Calculate_cap_emi_sens!$I$14:$I$21,
        Calculate_cap_emi_sens!$BD$14:$BD$21, "Not found", 0), LOOKUP(K110,EOL_R!$C$24:$D$24,EOL_R!$C$26:$D$26) + _xlfn.XLOOKUP(J110,EOL_R!$C$18:$N$18,EOL_R!$C$20:$N$20) + _xlfn.XLOOKUP(B110&amp;"|"&amp;E110,
        Calculate_cap_emi_sens!$L$14:$L$21&amp;"|"&amp;Calculate_cap_emi_sens!$I$14:$I$21,
        Calculate_cap_emi_sens!$BD$14:$BD$21, "Not found", 0))</f>
        <v>675.18916497979069</v>
      </c>
      <c r="V110" s="8" cm="1">
        <f t="array" ref="V110">_xlfn.SWITCH(K110,200,_xlfn.XLOOKUP(J110,Other_R!$C$18:$N$18,Other_R!$C$20:$N$20) + _xlfn.XLOOKUP(B110&amp;"|"&amp;E110,
        Calculate_cap_emi_sens!$L$14:$L$21&amp;"|"&amp;Calculate_cap_emi_sens!$I$14:$I$21,
        Calculate_cap_emi_sens!$BK$14:$BK$21, "Not found", 0), LOOKUP(K110,Other_R!$C$24:$D$24,Other_R!$C$26:$D$26) + _xlfn.XLOOKUP(J110,Other_R!$C$18:$N$18,Other_R!$C$20:$N$20) + _xlfn.XLOOKUP(B110&amp;"|"&amp;E110,
        Calculate_cap_emi_sens!$L$14:$L$21&amp;"|"&amp;Calculate_cap_emi_sens!$I$14:$I$21,
        Calculate_cap_emi_sens!$BK$14:$BK$21, "Not found", 0))</f>
        <v>1927.7932123950472</v>
      </c>
      <c r="W110" s="5">
        <f>Results_proc_ener!L110</f>
        <v>121589.90119627741</v>
      </c>
      <c r="X110" s="5">
        <f>Results_proc_ener!M110</f>
        <v>50824.518000459248</v>
      </c>
      <c r="Y110" s="5">
        <f>Results_proc_ener!N110</f>
        <v>20573.31818181818</v>
      </c>
      <c r="Z110" s="5">
        <f>Results_proc_ener!O110</f>
        <v>50192.065013999971</v>
      </c>
      <c r="AA110" s="5">
        <f>Results_proc_ener!P110</f>
        <v>121589.90119627741</v>
      </c>
      <c r="AB110" s="5">
        <f>Results_proc_ener!Q110</f>
        <v>2988.6832018939467</v>
      </c>
      <c r="AC110" s="5">
        <f>Results_proc_ener!R110</f>
        <v>257.45836767935492</v>
      </c>
      <c r="AD110" s="5">
        <f>Results_proc_ener!S110</f>
        <v>26014.434894763635</v>
      </c>
      <c r="AE110" s="5">
        <f>Results_proc_ener!T110</f>
        <v>74300.449976925622</v>
      </c>
    </row>
    <row r="111" spans="1:31" x14ac:dyDescent="0.25">
      <c r="A111" s="5"/>
      <c r="B111" s="5" t="str">
        <f t="shared" si="6"/>
        <v>Mass-Nom</v>
      </c>
      <c r="C111" s="5" t="s">
        <v>37</v>
      </c>
      <c r="D111" s="5" t="str">
        <f t="shared" si="5"/>
        <v>Nom</v>
      </c>
      <c r="E111" s="5" t="s">
        <v>3</v>
      </c>
      <c r="F111" s="5" t="s">
        <v>57</v>
      </c>
      <c r="G111" s="5" t="s">
        <v>57</v>
      </c>
      <c r="H111" s="5">
        <v>14</v>
      </c>
      <c r="I111" s="5"/>
      <c r="J111" s="5">
        <f t="shared" si="7"/>
        <v>14</v>
      </c>
      <c r="K111" s="5">
        <v>1000</v>
      </c>
      <c r="L111" s="8" cm="1">
        <f t="array" ref="L111">_xlfn.SWITCH(K111,200,_xlfn.XLOOKUP(J111,Manufacture!$C$18:$N$18,Manufacture!$C$20:$N$20) + _xlfn.XLOOKUP(B111&amp;"|"&amp;E111,
        Calculate_cap_emi!$L$14:$L$21&amp;"|"&amp;Calculate_cap_emi!$I$14:$I$21,
        Calculate_cap_emi!$AI$14:$AI$21, "Not found", 0), LOOKUP(K111,Manufacture!$C$24:$D$24,Manufacture!$C$26:$D$26) + _xlfn.XLOOKUP(J111,Manufacture!$C$18:$N$18,Manufacture!$C$20:$N$20) + _xlfn.XLOOKUP(B111&amp;"|"&amp;E111,
        Calculate_cap_emi!$L$14:$L$21&amp;"|"&amp;Calculate_cap_emi!$I$14:$I$21,
        Calculate_cap_emi!$AI$14:$AI$21, "Not found", 0))</f>
        <v>4181.5832982536376</v>
      </c>
      <c r="M111" s="8">
        <f>_xlfn.XLOOKUP(J111,Manufacture!$C$18:$N$18,Manufacture!$C$20:$N$20)</f>
        <v>2067.610588235294</v>
      </c>
      <c r="N111" s="8" cm="1">
        <f t="array" ref="N111">_xlfn.SWITCH(K111,200,0,LOOKUP(K111,Manufacture!$C$24:$D$24,Manufacture!$C$26:$D$26))</f>
        <v>659.59090909090912</v>
      </c>
      <c r="O111" s="5" cm="1">
        <f t="array" ref="O111">_xlfn.XLOOKUP(B111&amp;"|"&amp;E111,
        Calculate_cap_emi!$L$14:$L$21&amp;"|"&amp;Calculate_cap_emi!$I$14:$I$21,
        Calculate_cap_emi!$AI$14:$AI$21, "Not found", 0)</f>
        <v>1454.3818009274348</v>
      </c>
      <c r="P111" s="8">
        <f t="shared" si="8"/>
        <v>4181.5832982536376</v>
      </c>
      <c r="Q111" s="8" cm="1">
        <f t="array" ref="Q111">_xlfn.SWITCH(K111,200,_xlfn.XLOOKUP(J111,Distribution!$C$18:$N$18,Distribution!$C$20:$N$20) + _xlfn.XLOOKUP(B111&amp;"|"&amp;E111,
        Calculate_cap_emi!$L$14:$L$21&amp;"|"&amp;Calculate_cap_emi!$I$14:$I$21,
        Calculate_cap_emi!$AP$14:$AP$21, "Not found", 0), LOOKUP(K111,Distribution!$C$24:$D$24,Distribution!$C$26:$D$26) + _xlfn.XLOOKUP(J111,Distribution!$C$18:$N$18,Distribution!$C$20:$N$20) + _xlfn.XLOOKUP(B111&amp;"|"&amp;E111,
        Calculate_cap_emi!$L$14:$L$21&amp;"|"&amp;Calculate_cap_emi!$I$14:$I$21,
        Calculate_cap_emi!$AP$14:$AP$21, "Not found", 0))</f>
        <v>141.70921409992786</v>
      </c>
      <c r="R111" s="8" cm="1">
        <f t="array" ref="R111">_xlfn.SWITCH(K111,200,_xlfn.XLOOKUP(J111,Installation!$C$18:$N$18,Installation!$C$20:$N$20) + _xlfn.XLOOKUP(B111&amp;"|"&amp;E111,
        Calculate_cap_emi!$L$14:$L$21&amp;"|"&amp;Calculate_cap_emi!$I$14:$I$21,
        Calculate_cap_emi!$AW$14:$AW$21, "Not found", 0), LOOKUP(K111,Installation!$C$24:$D$24,Installation!$C$26:$D$26) + _xlfn.XLOOKUP(J111,Installation!$C$18:$N$18,Installation!$C$20:$N$20) + _xlfn.XLOOKUP(B111&amp;"|"&amp;E111,
        Calculate_cap_emi!$L$14:$L$21&amp;"|"&amp;Calculate_cap_emi!$I$14:$I$21,
        Calculate_cap_emi!$AW$14:$AW$21, "Not found", 0))</f>
        <v>136.54282409667218</v>
      </c>
      <c r="S111" s="8" cm="1">
        <f t="array" ref="S111">_xlfn.SWITCH(K111,200,_xlfn.XLOOKUP(J111,EOL!$C$18:$N$18,EOL!$C$20:$N$20) + _xlfn.XLOOKUP(B111&amp;"|"&amp;E111,
        Calculate_cap_emi!$L$14:$L$21&amp;"|"&amp;Calculate_cap_emi!$I$14:$I$21,
        Calculate_cap_emi!$BD$14:$BD$21, "Not found", 0), LOOKUP(K111,EOL!$C$24:$D$24,EOL!$C$26:$D$26) + _xlfn.XLOOKUP(J111,EOL!$C$18:$N$18,EOL!$C$20:$N$20) + _xlfn.XLOOKUP(B111&amp;"|"&amp;E111,
        Calculate_cap_emi!$L$14:$L$21&amp;"|"&amp;Calculate_cap_emi!$I$14:$I$21,
        Calculate_cap_emi!$BD$14:$BD$21, "Not found", 0))</f>
        <v>875.53089728270049</v>
      </c>
      <c r="T111" s="8" cm="1">
        <f t="array" ref="T111">_xlfn.SWITCH(K111,200,_xlfn.XLOOKUP(J111,Other!$C$18:$N$18,Other!$C$20:$N$20) + _xlfn.XLOOKUP(B111&amp;"|"&amp;E111,
        Calculate_cap_emi!$L$14:$L$21&amp;"|"&amp;Calculate_cap_emi!$I$14:$I$21,
        Calculate_cap_emi!$BK$14:$BK$21, "Not found", 0), LOOKUP(K111,Other!$C$24:$D$24,Other!$C$26:$D$26) + _xlfn.XLOOKUP(J111,Other!$C$18:$N$18,Other!$C$20:$N$20) + _xlfn.XLOOKUP(B111&amp;"|"&amp;E111,
        Calculate_cap_emi!$L$14:$L$21&amp;"|"&amp;Calculate_cap_emi!$I$14:$I$21,
        Calculate_cap_emi!$BK$14:$BK$21, "Not found", 0))</f>
        <v>2474.7275560262378</v>
      </c>
      <c r="U111" s="8" cm="1">
        <f t="array" ref="U111">_xlfn.SWITCH(K111,200,_xlfn.XLOOKUP(J111,EOL_R!$C$18:$N$18,EOL_R!$C$20:$N$20) + _xlfn.XLOOKUP(B111&amp;"|"&amp;E111,
        Calculate_cap_emi_sens!$L$14:$L$21&amp;"|"&amp;Calculate_cap_emi_sens!$I$14:$I$21,
        Calculate_cap_emi_sens!$BD$14:$BD$21, "Not found", 0), LOOKUP(K111,EOL_R!$C$24:$D$24,EOL_R!$C$26:$D$26) + _xlfn.XLOOKUP(J111,EOL_R!$C$18:$N$18,EOL_R!$C$20:$N$20) + _xlfn.XLOOKUP(B111&amp;"|"&amp;E111,
        Calculate_cap_emi_sens!$L$14:$L$21&amp;"|"&amp;Calculate_cap_emi_sens!$I$14:$I$21,
        Calculate_cap_emi_sens!$BD$14:$BD$21, "Not found", 0))</f>
        <v>693.98476227808339</v>
      </c>
      <c r="V111" s="8" cm="1">
        <f t="array" ref="V111">_xlfn.SWITCH(K111,200,_xlfn.XLOOKUP(J111,Other_R!$C$18:$N$18,Other_R!$C$20:$N$20) + _xlfn.XLOOKUP(B111&amp;"|"&amp;E111,
        Calculate_cap_emi_sens!$L$14:$L$21&amp;"|"&amp;Calculate_cap_emi_sens!$I$14:$I$21,
        Calculate_cap_emi_sens!$BK$14:$BK$21, "Not found", 0), LOOKUP(K111,Other_R!$C$24:$D$24,Other_R!$C$26:$D$26) + _xlfn.XLOOKUP(J111,Other_R!$C$18:$N$18,Other_R!$C$20:$N$20) + _xlfn.XLOOKUP(B111&amp;"|"&amp;E111,
        Calculate_cap_emi_sens!$L$14:$L$21&amp;"|"&amp;Calculate_cap_emi_sens!$I$14:$I$21,
        Calculate_cap_emi_sens!$BK$14:$BK$21, "Not found", 0))</f>
        <v>1944.6268806005644</v>
      </c>
      <c r="W111" s="5">
        <f>Results_proc_ener!L111</f>
        <v>122299.57839687308</v>
      </c>
      <c r="X111" s="5">
        <f>Results_proc_ener!M111</f>
        <v>51534.195201054921</v>
      </c>
      <c r="Y111" s="5">
        <f>Results_proc_ener!N111</f>
        <v>20573.31818181818</v>
      </c>
      <c r="Z111" s="5">
        <f>Results_proc_ener!O111</f>
        <v>50192.065013999971</v>
      </c>
      <c r="AA111" s="5">
        <f>Results_proc_ener!P111</f>
        <v>122299.57839687308</v>
      </c>
      <c r="AB111" s="5">
        <f>Results_proc_ener!Q111</f>
        <v>3054.0917881642463</v>
      </c>
      <c r="AC111" s="5">
        <f>Results_proc_ener!R111</f>
        <v>262.37652419939946</v>
      </c>
      <c r="AD111" s="5">
        <f>Results_proc_ener!S111</f>
        <v>26014.434894763635</v>
      </c>
      <c r="AE111" s="5">
        <f>Results_proc_ener!T111</f>
        <v>74344.229476851237</v>
      </c>
    </row>
    <row r="112" spans="1:31" x14ac:dyDescent="0.25">
      <c r="A112" s="5"/>
      <c r="B112" s="5" t="str">
        <f t="shared" si="6"/>
        <v>Mod-Nom</v>
      </c>
      <c r="C112" s="5" t="s">
        <v>38</v>
      </c>
      <c r="D112" s="5" t="str">
        <f t="shared" si="5"/>
        <v>Nom</v>
      </c>
      <c r="E112" s="5" t="s">
        <v>3</v>
      </c>
      <c r="F112" s="5" t="s">
        <v>54</v>
      </c>
      <c r="G112" s="5" t="s">
        <v>54</v>
      </c>
      <c r="H112" s="5">
        <v>8.5</v>
      </c>
      <c r="I112" s="5"/>
      <c r="J112" s="5">
        <f t="shared" si="7"/>
        <v>9</v>
      </c>
      <c r="K112" s="5">
        <v>200</v>
      </c>
      <c r="L112" s="8" cm="1">
        <f t="array" ref="L112">_xlfn.SWITCH(K112,200,_xlfn.XLOOKUP(J112,Manufacture!$C$18:$N$18,Manufacture!$C$20:$N$20) + _xlfn.XLOOKUP(B112&amp;"|"&amp;E112,
        Calculate_cap_emi!$L$14:$L$21&amp;"|"&amp;Calculate_cap_emi!$I$14:$I$21,
        Calculate_cap_emi!$AI$14:$AI$21, "Not found", 0), LOOKUP(K112,Manufacture!$C$24:$D$24,Manufacture!$C$26:$D$26) + _xlfn.XLOOKUP(J112,Manufacture!$C$18:$N$18,Manufacture!$C$20:$N$20) + _xlfn.XLOOKUP(B112&amp;"|"&amp;E112,
        Calculate_cap_emi!$L$14:$L$21&amp;"|"&amp;Calculate_cap_emi!$I$14:$I$21,
        Calculate_cap_emi!$AI$14:$AI$21, "Not found", 0))</f>
        <v>3607.3777912481009</v>
      </c>
      <c r="M112" s="8">
        <f>_xlfn.XLOOKUP(J112,Manufacture!$C$18:$N$18,Manufacture!$C$20:$N$20)</f>
        <v>1869.654705882353</v>
      </c>
      <c r="N112" s="8" cm="1">
        <f t="array" ref="N112">_xlfn.SWITCH(K112,200,0,LOOKUP(K112,Manufacture!$C$24:$D$24,Manufacture!$C$26:$D$26))</f>
        <v>0</v>
      </c>
      <c r="O112" s="5" cm="1">
        <f t="array" ref="O112">_xlfn.XLOOKUP(B112&amp;"|"&amp;E112,
        Calculate_cap_emi!$L$14:$L$21&amp;"|"&amp;Calculate_cap_emi!$I$14:$I$21,
        Calculate_cap_emi!$AI$14:$AI$21, "Not found", 0)</f>
        <v>1737.7230853657481</v>
      </c>
      <c r="P112" s="8">
        <f t="shared" si="8"/>
        <v>3607.3777912481009</v>
      </c>
      <c r="Q112" s="8" cm="1">
        <f t="array" ref="Q112">_xlfn.SWITCH(K112,200,_xlfn.XLOOKUP(J112,Distribution!$C$18:$N$18,Distribution!$C$20:$N$20) + _xlfn.XLOOKUP(B112&amp;"|"&amp;E112,
        Calculate_cap_emi!$L$14:$L$21&amp;"|"&amp;Calculate_cap_emi!$I$14:$I$21,
        Calculate_cap_emi!$AP$14:$AP$21, "Not found", 0), LOOKUP(K112,Distribution!$C$24:$D$24,Distribution!$C$26:$D$26) + _xlfn.XLOOKUP(J112,Distribution!$C$18:$N$18,Distribution!$C$20:$N$20) + _xlfn.XLOOKUP(B112&amp;"|"&amp;E112,
        Calculate_cap_emi!$L$14:$L$21&amp;"|"&amp;Calculate_cap_emi!$I$14:$I$21,
        Calculate_cap_emi!$AP$14:$AP$21, "Not found", 0))</f>
        <v>126.25802248808057</v>
      </c>
      <c r="R112" s="8" cm="1">
        <f t="array" ref="R112">_xlfn.SWITCH(K112,200,_xlfn.XLOOKUP(J112,Installation!$C$18:$N$18,Installation!$C$20:$N$20) + _xlfn.XLOOKUP(B112&amp;"|"&amp;E112,
        Calculate_cap_emi!$L$14:$L$21&amp;"|"&amp;Calculate_cap_emi!$I$14:$I$21,
        Calculate_cap_emi!$AW$14:$AW$21, "Not found", 0), LOOKUP(K112,Installation!$C$24:$D$24,Installation!$C$26:$D$26) + _xlfn.XLOOKUP(J112,Installation!$C$18:$N$18,Installation!$C$20:$N$20) + _xlfn.XLOOKUP(B112&amp;"|"&amp;E112,
        Calculate_cap_emi!$L$14:$L$21&amp;"|"&amp;Calculate_cap_emi!$I$14:$I$21,
        Calculate_cap_emi!$AW$14:$AW$21, "Not found", 0))</f>
        <v>112.08123709764054</v>
      </c>
      <c r="S112" s="8" cm="1">
        <f t="array" ref="S112">_xlfn.SWITCH(K112,200,_xlfn.XLOOKUP(J112,EOL!$C$18:$N$18,EOL!$C$20:$N$20) + _xlfn.XLOOKUP(B112&amp;"|"&amp;E112,
        Calculate_cap_emi!$L$14:$L$21&amp;"|"&amp;Calculate_cap_emi!$I$14:$I$21,
        Calculate_cap_emi!$BD$14:$BD$21, "Not found", 0), LOOKUP(K112,EOL!$C$24:$D$24,EOL!$C$26:$D$26) + _xlfn.XLOOKUP(J112,EOL!$C$18:$N$18,EOL!$C$20:$N$20) + _xlfn.XLOOKUP(B112&amp;"|"&amp;E112,
        Calculate_cap_emi!$L$14:$L$21&amp;"|"&amp;Calculate_cap_emi!$I$14:$I$21,
        Calculate_cap_emi!$BD$14:$BD$21, "Not found", 0))</f>
        <v>577.04512272904412</v>
      </c>
      <c r="T112" s="8" cm="1">
        <f t="array" ref="T112">_xlfn.SWITCH(K112,200,_xlfn.XLOOKUP(J112,Other!$C$18:$N$18,Other!$C$20:$N$20) + _xlfn.XLOOKUP(B112&amp;"|"&amp;E112,
        Calculate_cap_emi!$L$14:$L$21&amp;"|"&amp;Calculate_cap_emi!$I$14:$I$21,
        Calculate_cap_emi!$BK$14:$BK$21, "Not found", 0), LOOKUP(K112,Other!$C$24:$D$24,Other!$C$26:$D$26) + _xlfn.XLOOKUP(J112,Other!$C$18:$N$18,Other!$C$20:$N$20) + _xlfn.XLOOKUP(B112&amp;"|"&amp;E112,
        Calculate_cap_emi!$L$14:$L$21&amp;"|"&amp;Calculate_cap_emi!$I$14:$I$21,
        Calculate_cap_emi!$BK$14:$BK$21, "Not found", 0))</f>
        <v>2613.0519253459534</v>
      </c>
      <c r="U112" s="8" cm="1">
        <f t="array" ref="U112">_xlfn.SWITCH(K112,200,_xlfn.XLOOKUP(J112,EOL_R!$C$18:$N$18,EOL_R!$C$20:$N$20) + _xlfn.XLOOKUP(B112&amp;"|"&amp;E112,
        Calculate_cap_emi_sens!$L$14:$L$21&amp;"|"&amp;Calculate_cap_emi_sens!$I$14:$I$21,
        Calculate_cap_emi_sens!$BD$14:$BD$21, "Not found", 0), LOOKUP(K112,EOL_R!$C$24:$D$24,EOL_R!$C$26:$D$26) + _xlfn.XLOOKUP(J112,EOL_R!$C$18:$N$18,EOL_R!$C$20:$N$20) + _xlfn.XLOOKUP(B112&amp;"|"&amp;E112,
        Calculate_cap_emi_sens!$L$14:$L$21&amp;"|"&amp;Calculate_cap_emi_sens!$I$14:$I$21,
        Calculate_cap_emi_sens!$BD$14:$BD$21, "Not found", 0))</f>
        <v>426.98426436784257</v>
      </c>
      <c r="V112" s="8" cm="1">
        <f t="array" ref="V112">_xlfn.SWITCH(K112,200,_xlfn.XLOOKUP(J112,Other_R!$C$18:$N$18,Other_R!$C$20:$N$20) + _xlfn.XLOOKUP(B112&amp;"|"&amp;E112,
        Calculate_cap_emi_sens!$L$14:$L$21&amp;"|"&amp;Calculate_cap_emi_sens!$I$14:$I$21,
        Calculate_cap_emi_sens!$BK$14:$BK$21, "Not found", 0), LOOKUP(K112,Other_R!$C$24:$D$24,Other_R!$C$26:$D$26) + _xlfn.XLOOKUP(J112,Other_R!$C$18:$N$18,Other_R!$C$20:$N$20) + _xlfn.XLOOKUP(B112&amp;"|"&amp;E112,
        Calculate_cap_emi_sens!$L$14:$L$21&amp;"|"&amp;Calculate_cap_emi_sens!$I$14:$I$21,
        Calculate_cap_emi_sens!$BK$14:$BK$21, "Not found", 0))</f>
        <v>2160.1844545008848</v>
      </c>
      <c r="W112" s="5">
        <f>Results_proc_ener!L112</f>
        <v>109990.46376706556</v>
      </c>
      <c r="X112" s="5">
        <f>Results_proc_ener!M112</f>
        <v>49760.002199565621</v>
      </c>
      <c r="Y112" s="5">
        <f>Results_proc_ener!N112</f>
        <v>0</v>
      </c>
      <c r="Z112" s="5">
        <f>Results_proc_ener!O112</f>
        <v>60230.461567499944</v>
      </c>
      <c r="AA112" s="5">
        <f>Results_proc_ener!P112</f>
        <v>109990.46376706556</v>
      </c>
      <c r="AB112" s="5">
        <f>Results_proc_ener!Q112</f>
        <v>2673.9737040126747</v>
      </c>
      <c r="AC112" s="5">
        <f>Results_proc_ener!R112</f>
        <v>215.55959559076553</v>
      </c>
      <c r="AD112" s="5">
        <f>Results_proc_ener!S112</f>
        <v>6067.0288979999996</v>
      </c>
      <c r="AE112" s="5">
        <f>Results_proc_ener!T112</f>
        <v>85723.700991187201</v>
      </c>
    </row>
    <row r="113" spans="1:31" x14ac:dyDescent="0.25">
      <c r="A113" s="5"/>
      <c r="B113" s="5" t="str">
        <f t="shared" si="6"/>
        <v>Mod-Nom</v>
      </c>
      <c r="C113" s="5" t="s">
        <v>38</v>
      </c>
      <c r="D113" s="5" t="str">
        <f t="shared" si="5"/>
        <v>Nom</v>
      </c>
      <c r="E113" s="5" t="s">
        <v>3</v>
      </c>
      <c r="F113" s="5" t="s">
        <v>54</v>
      </c>
      <c r="G113" s="5" t="s">
        <v>54</v>
      </c>
      <c r="H113" s="5">
        <v>11.2</v>
      </c>
      <c r="I113" s="5"/>
      <c r="J113" s="5">
        <f t="shared" si="7"/>
        <v>12</v>
      </c>
      <c r="K113" s="5">
        <v>200</v>
      </c>
      <c r="L113" s="8" cm="1">
        <f t="array" ref="L113">_xlfn.SWITCH(K113,200,_xlfn.XLOOKUP(J113,Manufacture!$C$18:$N$18,Manufacture!$C$20:$N$20) + _xlfn.XLOOKUP(B113&amp;"|"&amp;E113,
        Calculate_cap_emi!$L$14:$L$21&amp;"|"&amp;Calculate_cap_emi!$I$14:$I$21,
        Calculate_cap_emi!$AI$14:$AI$21, "Not found", 0), LOOKUP(K113,Manufacture!$C$24:$D$24,Manufacture!$C$26:$D$26) + _xlfn.XLOOKUP(J113,Manufacture!$C$18:$N$18,Manufacture!$C$20:$N$20) + _xlfn.XLOOKUP(B113&amp;"|"&amp;E113,
        Calculate_cap_emi!$L$14:$L$21&amp;"|"&amp;Calculate_cap_emi!$I$14:$I$21,
        Calculate_cap_emi!$AI$14:$AI$21, "Not found", 0))</f>
        <v>3726.1513206598656</v>
      </c>
      <c r="M113" s="8">
        <f>_xlfn.XLOOKUP(J113,Manufacture!$C$18:$N$18,Manufacture!$C$20:$N$20)</f>
        <v>1988.4282352941175</v>
      </c>
      <c r="N113" s="8" cm="1">
        <f t="array" ref="N113">_xlfn.SWITCH(K113,200,0,LOOKUP(K113,Manufacture!$C$24:$D$24,Manufacture!$C$26:$D$26))</f>
        <v>0</v>
      </c>
      <c r="O113" s="5" cm="1">
        <f t="array" ref="O113">_xlfn.XLOOKUP(B113&amp;"|"&amp;E113,
        Calculate_cap_emi!$L$14:$L$21&amp;"|"&amp;Calculate_cap_emi!$I$14:$I$21,
        Calculate_cap_emi!$AI$14:$AI$21, "Not found", 0)</f>
        <v>1737.7230853657481</v>
      </c>
      <c r="P113" s="8">
        <f t="shared" si="8"/>
        <v>3726.1513206598656</v>
      </c>
      <c r="Q113" s="8" cm="1">
        <f t="array" ref="Q113">_xlfn.SWITCH(K113,200,_xlfn.XLOOKUP(J113,Distribution!$C$18:$N$18,Distribution!$C$20:$N$20) + _xlfn.XLOOKUP(B113&amp;"|"&amp;E113,
        Calculate_cap_emi!$L$14:$L$21&amp;"|"&amp;Calculate_cap_emi!$I$14:$I$21,
        Calculate_cap_emi!$AP$14:$AP$21, "Not found", 0), LOOKUP(K113,Distribution!$C$24:$D$24,Distribution!$C$26:$D$26) + _xlfn.XLOOKUP(J113,Distribution!$C$18:$N$18,Distribution!$C$20:$N$20) + _xlfn.XLOOKUP(B113&amp;"|"&amp;E113,
        Calculate_cap_emi!$L$14:$L$21&amp;"|"&amp;Calculate_cap_emi!$I$14:$I$21,
        Calculate_cap_emi!$AP$14:$AP$21, "Not found", 0))</f>
        <v>130.89065523078645</v>
      </c>
      <c r="R113" s="8" cm="1">
        <f t="array" ref="R113">_xlfn.SWITCH(K113,200,_xlfn.XLOOKUP(J113,Installation!$C$18:$N$18,Installation!$C$20:$N$20) + _xlfn.XLOOKUP(B113&amp;"|"&amp;E113,
        Calculate_cap_emi!$L$14:$L$21&amp;"|"&amp;Calculate_cap_emi!$I$14:$I$21,
        Calculate_cap_emi!$AW$14:$AW$21, "Not found", 0), LOOKUP(K113,Installation!$C$24:$D$24,Installation!$C$26:$D$26) + _xlfn.XLOOKUP(J113,Installation!$C$18:$N$18,Installation!$C$20:$N$20) + _xlfn.XLOOKUP(B113&amp;"|"&amp;E113,
        Calculate_cap_emi!$L$14:$L$21&amp;"|"&amp;Calculate_cap_emi!$I$14:$I$21,
        Calculate_cap_emi!$AW$14:$AW$21, "Not found", 0))</f>
        <v>119.45847187770721</v>
      </c>
      <c r="S113" s="8" cm="1">
        <f t="array" ref="S113">_xlfn.SWITCH(K113,200,_xlfn.XLOOKUP(J113,EOL!$C$18:$N$18,EOL!$C$20:$N$20) + _xlfn.XLOOKUP(B113&amp;"|"&amp;E113,
        Calculate_cap_emi!$L$14:$L$21&amp;"|"&amp;Calculate_cap_emi!$I$14:$I$21,
        Calculate_cap_emi!$BD$14:$BD$21, "Not found", 0), LOOKUP(K113,EOL!$C$24:$D$24,EOL!$C$26:$D$26) + _xlfn.XLOOKUP(J113,EOL!$C$18:$N$18,EOL!$C$20:$N$20) + _xlfn.XLOOKUP(B113&amp;"|"&amp;E113,
        Calculate_cap_emi!$L$14:$L$21&amp;"|"&amp;Calculate_cap_emi!$I$14:$I$21,
        Calculate_cap_emi!$BD$14:$BD$21, "Not found", 0))</f>
        <v>621.715828611397</v>
      </c>
      <c r="T113" s="8" cm="1">
        <f t="array" ref="T113">_xlfn.SWITCH(K113,200,_xlfn.XLOOKUP(J113,Other!$C$18:$N$18,Other!$C$20:$N$20) + _xlfn.XLOOKUP(B113&amp;"|"&amp;E113,
        Calculate_cap_emi!$L$14:$L$21&amp;"|"&amp;Calculate_cap_emi!$I$14:$I$21,
        Calculate_cap_emi!$BK$14:$BK$21, "Not found", 0), LOOKUP(K113,Other!$C$24:$D$24,Other!$C$26:$D$26) + _xlfn.XLOOKUP(J113,Other!$C$18:$N$18,Other!$C$20:$N$20) + _xlfn.XLOOKUP(B113&amp;"|"&amp;E113,
        Calculate_cap_emi!$L$14:$L$21&amp;"|"&amp;Calculate_cap_emi!$I$14:$I$21,
        Calculate_cap_emi!$BK$14:$BK$21, "Not found", 0))</f>
        <v>2678.7211752343746</v>
      </c>
      <c r="U113" s="8" cm="1">
        <f t="array" ref="U113">_xlfn.SWITCH(K113,200,_xlfn.XLOOKUP(J113,EOL_R!$C$18:$N$18,EOL_R!$C$20:$N$20) + _xlfn.XLOOKUP(B113&amp;"|"&amp;E113,
        Calculate_cap_emi_sens!$L$14:$L$21&amp;"|"&amp;Calculate_cap_emi_sens!$I$14:$I$21,
        Calculate_cap_emi_sens!$BD$14:$BD$21, "Not found", 0), LOOKUP(K113,EOL_R!$C$24:$D$24,EOL_R!$C$26:$D$26) + _xlfn.XLOOKUP(J113,EOL_R!$C$18:$N$18,EOL_R!$C$20:$N$20) + _xlfn.XLOOKUP(B113&amp;"|"&amp;E113,
        Calculate_cap_emi_sens!$L$14:$L$21&amp;"|"&amp;Calculate_cap_emi_sens!$I$14:$I$21,
        Calculate_cap_emi_sens!$BD$14:$BD$21, "Not found", 0))</f>
        <v>451.15456689672237</v>
      </c>
      <c r="V113" s="8" cm="1">
        <f t="array" ref="V113">_xlfn.SWITCH(K113,200,_xlfn.XLOOKUP(J113,Other_R!$C$18:$N$18,Other_R!$C$20:$N$20) + _xlfn.XLOOKUP(B113&amp;"|"&amp;E113,
        Calculate_cap_emi_sens!$L$14:$L$21&amp;"|"&amp;Calculate_cap_emi_sens!$I$14:$I$21,
        Calculate_cap_emi_sens!$BK$14:$BK$21, "Not found", 0), LOOKUP(K113,Other_R!$C$24:$D$24,Other_R!$C$26:$D$26) + _xlfn.XLOOKUP(J113,Other_R!$C$18:$N$18,Other_R!$C$20:$N$20) + _xlfn.XLOOKUP(B113&amp;"|"&amp;E113,
        Calculate_cap_emi_sens!$L$14:$L$21&amp;"|"&amp;Calculate_cap_emi_sens!$I$14:$I$21,
        Calculate_cap_emi_sens!$BK$14:$BK$21, "Not found", 0))</f>
        <v>2175.5663315287975</v>
      </c>
      <c r="W113" s="5">
        <f>Results_proc_ener!L113</f>
        <v>111054.97956795919</v>
      </c>
      <c r="X113" s="5">
        <f>Results_proc_ener!M113</f>
        <v>50824.518000459248</v>
      </c>
      <c r="Y113" s="5">
        <f>Results_proc_ener!N113</f>
        <v>0</v>
      </c>
      <c r="Z113" s="5">
        <f>Results_proc_ener!O113</f>
        <v>60230.461567499944</v>
      </c>
      <c r="AA113" s="5">
        <f>Results_proc_ener!P113</f>
        <v>111054.97956795919</v>
      </c>
      <c r="AB113" s="5">
        <f>Results_proc_ener!Q113</f>
        <v>2772.0865834181241</v>
      </c>
      <c r="AC113" s="5">
        <f>Results_proc_ener!R113</f>
        <v>222.93683037083221</v>
      </c>
      <c r="AD113" s="5">
        <f>Results_proc_ener!S113</f>
        <v>6067.0288979999996</v>
      </c>
      <c r="AE113" s="5">
        <f>Results_proc_ener!T113</f>
        <v>85789.370241075623</v>
      </c>
    </row>
    <row r="114" spans="1:31" x14ac:dyDescent="0.25">
      <c r="A114" s="5"/>
      <c r="B114" s="5" t="str">
        <f t="shared" si="6"/>
        <v>Mod-Nom</v>
      </c>
      <c r="C114" s="5" t="s">
        <v>38</v>
      </c>
      <c r="D114" s="5" t="str">
        <f t="shared" si="5"/>
        <v>Nom</v>
      </c>
      <c r="E114" s="5" t="s">
        <v>3</v>
      </c>
      <c r="F114" s="5" t="s">
        <v>54</v>
      </c>
      <c r="G114" s="5" t="s">
        <v>54</v>
      </c>
      <c r="H114" s="5">
        <v>14</v>
      </c>
      <c r="I114" s="5"/>
      <c r="J114" s="5">
        <f t="shared" si="7"/>
        <v>14</v>
      </c>
      <c r="K114" s="5">
        <v>200</v>
      </c>
      <c r="L114" s="8" cm="1">
        <f t="array" ref="L114">_xlfn.SWITCH(K114,200,_xlfn.XLOOKUP(J114,Manufacture!$C$18:$N$18,Manufacture!$C$20:$N$20) + _xlfn.XLOOKUP(B114&amp;"|"&amp;E114,
        Calculate_cap_emi!$L$14:$L$21&amp;"|"&amp;Calculate_cap_emi!$I$14:$I$21,
        Calculate_cap_emi!$AI$14:$AI$21, "Not found", 0), LOOKUP(K114,Manufacture!$C$24:$D$24,Manufacture!$C$26:$D$26) + _xlfn.XLOOKUP(J114,Manufacture!$C$18:$N$18,Manufacture!$C$20:$N$20) + _xlfn.XLOOKUP(B114&amp;"|"&amp;E114,
        Calculate_cap_emi!$L$14:$L$21&amp;"|"&amp;Calculate_cap_emi!$I$14:$I$21,
        Calculate_cap_emi!$AI$14:$AI$21, "Not found", 0))</f>
        <v>3805.3336736010424</v>
      </c>
      <c r="M114" s="8">
        <f>_xlfn.XLOOKUP(J114,Manufacture!$C$18:$N$18,Manufacture!$C$20:$N$20)</f>
        <v>2067.610588235294</v>
      </c>
      <c r="N114" s="8" cm="1">
        <f t="array" ref="N114">_xlfn.SWITCH(K114,200,0,LOOKUP(K114,Manufacture!$C$24:$D$24,Manufacture!$C$26:$D$26))</f>
        <v>0</v>
      </c>
      <c r="O114" s="5" cm="1">
        <f t="array" ref="O114">_xlfn.XLOOKUP(B114&amp;"|"&amp;E114,
        Calculate_cap_emi!$L$14:$L$21&amp;"|"&amp;Calculate_cap_emi!$I$14:$I$21,
        Calculate_cap_emi!$AI$14:$AI$21, "Not found", 0)</f>
        <v>1737.7230853657481</v>
      </c>
      <c r="P114" s="8">
        <f t="shared" si="8"/>
        <v>3805.3336736010424</v>
      </c>
      <c r="Q114" s="8" cm="1">
        <f t="array" ref="Q114">_xlfn.SWITCH(K114,200,_xlfn.XLOOKUP(J114,Distribution!$C$18:$N$18,Distribution!$C$20:$N$20) + _xlfn.XLOOKUP(B114&amp;"|"&amp;E114,
        Calculate_cap_emi!$L$14:$L$21&amp;"|"&amp;Calculate_cap_emi!$I$14:$I$21,
        Calculate_cap_emi!$AP$14:$AP$21, "Not found", 0), LOOKUP(K114,Distribution!$C$24:$D$24,Distribution!$C$26:$D$26) + _xlfn.XLOOKUP(J114,Distribution!$C$18:$N$18,Distribution!$C$20:$N$20) + _xlfn.XLOOKUP(B114&amp;"|"&amp;E114,
        Calculate_cap_emi!$L$14:$L$21&amp;"|"&amp;Calculate_cap_emi!$I$14:$I$21,
        Calculate_cap_emi!$AP$14:$AP$21, "Not found", 0))</f>
        <v>133.97907705925701</v>
      </c>
      <c r="R114" s="8" cm="1">
        <f t="array" ref="R114">_xlfn.SWITCH(K114,200,_xlfn.XLOOKUP(J114,Installation!$C$18:$N$18,Installation!$C$20:$N$20) + _xlfn.XLOOKUP(B114&amp;"|"&amp;E114,
        Calculate_cap_emi!$L$14:$L$21&amp;"|"&amp;Calculate_cap_emi!$I$14:$I$21,
        Calculate_cap_emi!$AW$14:$AW$21, "Not found", 0), LOOKUP(K114,Installation!$C$24:$D$24,Installation!$C$26:$D$26) + _xlfn.XLOOKUP(J114,Installation!$C$18:$N$18,Installation!$C$20:$N$20) + _xlfn.XLOOKUP(B114&amp;"|"&amp;E114,
        Calculate_cap_emi!$L$14:$L$21&amp;"|"&amp;Calculate_cap_emi!$I$14:$I$21,
        Calculate_cap_emi!$AW$14:$AW$21, "Not found", 0))</f>
        <v>124.37662839775173</v>
      </c>
      <c r="S114" s="8" cm="1">
        <f t="array" ref="S114">_xlfn.SWITCH(K114,200,_xlfn.XLOOKUP(J114,EOL!$C$18:$N$18,EOL!$C$20:$N$20) + _xlfn.XLOOKUP(B114&amp;"|"&amp;E114,
        Calculate_cap_emi!$L$14:$L$21&amp;"|"&amp;Calculate_cap_emi!$I$14:$I$21,
        Calculate_cap_emi!$BD$14:$BD$21, "Not found", 0), LOOKUP(K114,EOL!$C$24:$D$24,EOL!$C$26:$D$26) + _xlfn.XLOOKUP(J114,EOL!$C$18:$N$18,EOL!$C$20:$N$20) + _xlfn.XLOOKUP(B114&amp;"|"&amp;E114,
        Calculate_cap_emi!$L$14:$L$21&amp;"|"&amp;Calculate_cap_emi!$I$14:$I$21,
        Calculate_cap_emi!$BD$14:$BD$21, "Not found", 0))</f>
        <v>651.49629919963218</v>
      </c>
      <c r="T114" s="8" cm="1">
        <f t="array" ref="T114">_xlfn.SWITCH(K114,200,_xlfn.XLOOKUP(J114,Other!$C$18:$N$18,Other!$C$20:$N$20) + _xlfn.XLOOKUP(B114&amp;"|"&amp;E114,
        Calculate_cap_emi!$L$14:$L$21&amp;"|"&amp;Calculate_cap_emi!$I$14:$I$21,
        Calculate_cap_emi!$BK$14:$BK$21, "Not found", 0), LOOKUP(K114,Other!$C$24:$D$24,Other!$C$26:$D$26) + _xlfn.XLOOKUP(J114,Other!$C$18:$N$18,Other!$C$20:$N$20) + _xlfn.XLOOKUP(B114&amp;"|"&amp;E114,
        Calculate_cap_emi!$L$14:$L$21&amp;"|"&amp;Calculate_cap_emi!$I$14:$I$21,
        Calculate_cap_emi!$BK$14:$BK$21, "Not found", 0))</f>
        <v>2722.5006751599881</v>
      </c>
      <c r="U114" s="8" cm="1">
        <f t="array" ref="U114">_xlfn.SWITCH(K114,200,_xlfn.XLOOKUP(J114,EOL_R!$C$18:$N$18,EOL_R!$C$20:$N$20) + _xlfn.XLOOKUP(B114&amp;"|"&amp;E114,
        Calculate_cap_emi_sens!$L$14:$L$21&amp;"|"&amp;Calculate_cap_emi_sens!$I$14:$I$21,
        Calculate_cap_emi_sens!$BD$14:$BD$21, "Not found", 0), LOOKUP(K114,EOL_R!$C$24:$D$24,EOL_R!$C$26:$D$26) + _xlfn.XLOOKUP(J114,EOL_R!$C$18:$N$18,EOL_R!$C$20:$N$20) + _xlfn.XLOOKUP(B114&amp;"|"&amp;E114,
        Calculate_cap_emi_sens!$L$14:$L$21&amp;"|"&amp;Calculate_cap_emi_sens!$I$14:$I$21,
        Calculate_cap_emi_sens!$BD$14:$BD$21, "Not found", 0))</f>
        <v>469.95016419501519</v>
      </c>
      <c r="V114" s="8" cm="1">
        <f t="array" ref="V114">_xlfn.SWITCH(K114,200,_xlfn.XLOOKUP(J114,Other_R!$C$18:$N$18,Other_R!$C$20:$N$20) + _xlfn.XLOOKUP(B114&amp;"|"&amp;E114,
        Calculate_cap_emi_sens!$L$14:$L$21&amp;"|"&amp;Calculate_cap_emi_sens!$I$14:$I$21,
        Calculate_cap_emi_sens!$BK$14:$BK$21, "Not found", 0), LOOKUP(K114,Other_R!$C$24:$D$24,Other_R!$C$26:$D$26) + _xlfn.XLOOKUP(J114,Other_R!$C$18:$N$18,Other_R!$C$20:$N$20) + _xlfn.XLOOKUP(B114&amp;"|"&amp;E114,
        Calculate_cap_emi_sens!$L$14:$L$21&amp;"|"&amp;Calculate_cap_emi_sens!$I$14:$I$21,
        Calculate_cap_emi_sens!$BK$14:$BK$21, "Not found", 0))</f>
        <v>2192.3999997343144</v>
      </c>
      <c r="W114" s="5">
        <f>Results_proc_ener!L114</f>
        <v>111764.65676855487</v>
      </c>
      <c r="X114" s="5">
        <f>Results_proc_ener!M114</f>
        <v>51534.195201054921</v>
      </c>
      <c r="Y114" s="5">
        <f>Results_proc_ener!N114</f>
        <v>0</v>
      </c>
      <c r="Z114" s="5">
        <f>Results_proc_ener!O114</f>
        <v>60230.461567499944</v>
      </c>
      <c r="AA114" s="5">
        <f>Results_proc_ener!P114</f>
        <v>111764.65676855487</v>
      </c>
      <c r="AB114" s="5">
        <f>Results_proc_ener!Q114</f>
        <v>2837.4951696884245</v>
      </c>
      <c r="AC114" s="5">
        <f>Results_proc_ener!R114</f>
        <v>227.85498689087672</v>
      </c>
      <c r="AD114" s="5">
        <f>Results_proc_ener!S114</f>
        <v>6067.0288979999996</v>
      </c>
      <c r="AE114" s="5">
        <f>Results_proc_ener!T114</f>
        <v>85833.149741001238</v>
      </c>
    </row>
    <row r="115" spans="1:31" x14ac:dyDescent="0.25">
      <c r="A115" s="5"/>
      <c r="B115" s="5" t="str">
        <f t="shared" si="6"/>
        <v>Mod-Nom</v>
      </c>
      <c r="C115" s="5" t="s">
        <v>38</v>
      </c>
      <c r="D115" s="5" t="str">
        <f t="shared" si="5"/>
        <v>Nom</v>
      </c>
      <c r="E115" s="5" t="s">
        <v>3</v>
      </c>
      <c r="F115" s="5" t="s">
        <v>55</v>
      </c>
      <c r="G115" s="5" t="s">
        <v>55</v>
      </c>
      <c r="H115" s="5">
        <v>5</v>
      </c>
      <c r="I115" s="5"/>
      <c r="J115" s="5">
        <f t="shared" si="7"/>
        <v>5</v>
      </c>
      <c r="K115" s="5">
        <v>500</v>
      </c>
      <c r="L115" s="8" cm="1">
        <f t="array" ref="L115">_xlfn.SWITCH(K115,200,_xlfn.XLOOKUP(J115,Manufacture!$C$18:$N$18,Manufacture!$C$20:$N$20) + _xlfn.XLOOKUP(B115&amp;"|"&amp;E115,
        Calculate_cap_emi!$L$14:$L$21&amp;"|"&amp;Calculate_cap_emi!$I$14:$I$21,
        Calculate_cap_emi!$AI$14:$AI$21, "Not found", 0), LOOKUP(K115,Manufacture!$C$24:$D$24,Manufacture!$C$26:$D$26) + _xlfn.XLOOKUP(J115,Manufacture!$C$18:$N$18,Manufacture!$C$20:$N$20) + _xlfn.XLOOKUP(B115&amp;"|"&amp;E115,
        Calculate_cap_emi!$L$14:$L$21&amp;"|"&amp;Calculate_cap_emi!$I$14:$I$21,
        Calculate_cap_emi!$AI$14:$AI$21, "Not found", 0))</f>
        <v>3785.0130853657483</v>
      </c>
      <c r="M115" s="8">
        <f>_xlfn.XLOOKUP(J115,Manufacture!$C$18:$N$18,Manufacture!$C$20:$N$20)</f>
        <v>1711.29</v>
      </c>
      <c r="N115" s="8" cm="1">
        <f t="array" ref="N115">_xlfn.SWITCH(K115,200,0,LOOKUP(K115,Manufacture!$C$24:$D$24,Manufacture!$C$26:$D$26))</f>
        <v>336</v>
      </c>
      <c r="O115" s="5" cm="1">
        <f t="array" ref="O115">_xlfn.XLOOKUP(B115&amp;"|"&amp;E115,
        Calculate_cap_emi!$L$14:$L$21&amp;"|"&amp;Calculate_cap_emi!$I$14:$I$21,
        Calculate_cap_emi!$AI$14:$AI$21, "Not found", 0)</f>
        <v>1737.7230853657481</v>
      </c>
      <c r="P115" s="8">
        <f>SUM(M115:O115)</f>
        <v>3785.0130853657483</v>
      </c>
      <c r="Q115" s="8" cm="1">
        <f t="array" ref="Q115">_xlfn.SWITCH(K115,200,_xlfn.XLOOKUP(J115,Distribution!$C$18:$N$18,Distribution!$C$20:$N$20) + _xlfn.XLOOKUP(B115&amp;"|"&amp;E115,
        Calculate_cap_emi!$L$14:$L$21&amp;"|"&amp;Calculate_cap_emi!$I$14:$I$21,
        Calculate_cap_emi!$AP$14:$AP$21, "Not found", 0), LOOKUP(K115,Distribution!$C$24:$D$24,Distribution!$C$26:$D$26) + _xlfn.XLOOKUP(J115,Distribution!$C$18:$N$18,Distribution!$C$20:$N$20) + _xlfn.XLOOKUP(B115&amp;"|"&amp;E115,
        Calculate_cap_emi!$L$14:$L$21&amp;"|"&amp;Calculate_cap_emi!$I$14:$I$21,
        Calculate_cap_emi!$AP$14:$AP$21, "Not found", 0))</f>
        <v>127.63414001295754</v>
      </c>
      <c r="R115" s="8" cm="1">
        <f t="array" ref="R115">_xlfn.SWITCH(K115,200,_xlfn.XLOOKUP(J115,Installation!$C$18:$N$18,Installation!$C$20:$N$20) + _xlfn.XLOOKUP(B115&amp;"|"&amp;E115,
        Calculate_cap_emi!$L$14:$L$21&amp;"|"&amp;Calculate_cap_emi!$I$14:$I$21,
        Calculate_cap_emi!$AW$14:$AW$21, "Not found", 0), LOOKUP(K115,Installation!$C$24:$D$24,Installation!$C$26:$D$26) + _xlfn.XLOOKUP(J115,Installation!$C$18:$N$18,Installation!$C$20:$N$20) + _xlfn.XLOOKUP(B115&amp;"|"&amp;E115,
        Calculate_cap_emi!$L$14:$L$21&amp;"|"&amp;Calculate_cap_emi!$I$14:$I$21,
        Calculate_cap_emi!$AW$14:$AW$21, "Not found", 0))</f>
        <v>113.69946951209722</v>
      </c>
      <c r="S115" s="8" cm="1">
        <f t="array" ref="S115">_xlfn.SWITCH(K115,200,_xlfn.XLOOKUP(J115,EOL!$C$18:$N$18,EOL!$C$20:$N$20) + _xlfn.XLOOKUP(B115&amp;"|"&amp;E115,
        Calculate_cap_emi!$L$14:$L$21&amp;"|"&amp;Calculate_cap_emi!$I$14:$I$21,
        Calculate_cap_emi!$BD$14:$BD$21, "Not found", 0), LOOKUP(K115,EOL!$C$24:$D$24,EOL!$C$26:$D$26) + _xlfn.XLOOKUP(J115,EOL!$C$18:$N$18,EOL!$C$20:$N$20) + _xlfn.XLOOKUP(B115&amp;"|"&amp;E115,
        Calculate_cap_emi!$L$14:$L$21&amp;"|"&amp;Calculate_cap_emi!$I$14:$I$21,
        Calculate_cap_emi!$BD$14:$BD$21, "Not found", 0))</f>
        <v>648.2569088253008</v>
      </c>
      <c r="T115" s="8" cm="1">
        <f t="array" ref="T115">_xlfn.SWITCH(K115,200,_xlfn.XLOOKUP(J115,Other!$C$18:$N$18,Other!$C$20:$N$20) + _xlfn.XLOOKUP(B115&amp;"|"&amp;E115,
        Calculate_cap_emi!$L$14:$L$21&amp;"|"&amp;Calculate_cap_emi!$I$14:$I$21,
        Calculate_cap_emi!$BK$14:$BK$21, "Not found", 0), LOOKUP(K115,Other!$C$24:$D$24,Other!$C$26:$D$26) + _xlfn.XLOOKUP(J115,Other!$C$18:$N$18,Other!$C$20:$N$20) + _xlfn.XLOOKUP(B115&amp;"|"&amp;E115,
        Calculate_cap_emi!$L$14:$L$21&amp;"|"&amp;Calculate_cap_emi!$I$14:$I$21,
        Calculate_cap_emi!$BK$14:$BK$21, "Not found", 0))</f>
        <v>2525.492925494726</v>
      </c>
      <c r="U115" s="8" cm="1">
        <f t="array" ref="U115">_xlfn.SWITCH(K115,200,_xlfn.XLOOKUP(J115,EOL_R!$C$18:$N$18,EOL_R!$C$20:$N$20) + _xlfn.XLOOKUP(B115&amp;"|"&amp;E115,
        Calculate_cap_emi_sens!$L$14:$L$21&amp;"|"&amp;Calculate_cap_emi_sens!$I$14:$I$21,
        Calculate_cap_emi_sens!$BD$14:$BD$21, "Not found", 0), LOOKUP(K115,EOL_R!$C$24:$D$24,EOL_R!$C$26:$D$26) + _xlfn.XLOOKUP(J115,EOL_R!$C$18:$N$18,EOL_R!$C$20:$N$20) + _xlfn.XLOOKUP(B115&amp;"|"&amp;E115,
        Calculate_cap_emi_sens!$L$14:$L$21&amp;"|"&amp;Calculate_cap_emi_sens!$I$14:$I$21,
        Calculate_cap_emi_sens!$BD$14:$BD$21, "Not found", 0))</f>
        <v>540.08209367002712</v>
      </c>
      <c r="V115" s="8" cm="1">
        <f t="array" ref="V115">_xlfn.SWITCH(K115,200,_xlfn.XLOOKUP(J115,Other_R!$C$18:$N$18,Other_R!$C$20:$N$20) + _xlfn.XLOOKUP(B115&amp;"|"&amp;E115,
        Calculate_cap_emi_sens!$L$14:$L$21&amp;"|"&amp;Calculate_cap_emi_sens!$I$14:$I$21,
        Calculate_cap_emi_sens!$BK$14:$BK$21, "Not found", 0), LOOKUP(K115,Other_R!$C$24:$D$24,Other_R!$C$26:$D$26) + _xlfn.XLOOKUP(J115,Other_R!$C$18:$N$18,Other_R!$C$20:$N$20) + _xlfn.XLOOKUP(B115&amp;"|"&amp;E115,
        Calculate_cap_emi_sens!$L$14:$L$21&amp;"|"&amp;Calculate_cap_emi_sens!$I$14:$I$21,
        Calculate_cap_emi_sens!$BK$14:$BK$21, "Not found", 0))</f>
        <v>2175.3716804692117</v>
      </c>
      <c r="W115" s="5">
        <f>Results_proc_ener!L115</f>
        <v>119184.70027496514</v>
      </c>
      <c r="X115" s="5">
        <f>Results_proc_ener!M115</f>
        <v>48340.647798374281</v>
      </c>
      <c r="Y115" s="5">
        <f>Results_proc_ener!N115</f>
        <v>10613.59090909091</v>
      </c>
      <c r="Z115" s="5">
        <f>Results_proc_ener!O115</f>
        <v>60230.461567499944</v>
      </c>
      <c r="AA115" s="5">
        <f>Results_proc_ener!P115</f>
        <v>119184.70027496514</v>
      </c>
      <c r="AB115" s="5">
        <f>Results_proc_ener!Q115</f>
        <v>2730.0105062970747</v>
      </c>
      <c r="AC115" s="5">
        <f>Results_proc_ener!R115</f>
        <v>226.72328255067677</v>
      </c>
      <c r="AD115" s="5">
        <f>Results_proc_ener!S115</f>
        <v>16566.074352545453</v>
      </c>
      <c r="AE115" s="5">
        <f>Results_proc_ener!T115</f>
        <v>85636.141991335971</v>
      </c>
    </row>
    <row r="116" spans="1:31" x14ac:dyDescent="0.25">
      <c r="A116" s="5"/>
      <c r="B116" s="5" t="str">
        <f t="shared" si="6"/>
        <v>Mod-Nom</v>
      </c>
      <c r="C116" s="5" t="s">
        <v>38</v>
      </c>
      <c r="D116" s="5" t="str">
        <f t="shared" si="5"/>
        <v>Nom</v>
      </c>
      <c r="E116" s="5" t="s">
        <v>3</v>
      </c>
      <c r="F116" s="5" t="s">
        <v>55</v>
      </c>
      <c r="G116" s="5" t="s">
        <v>55</v>
      </c>
      <c r="H116" s="5">
        <v>6</v>
      </c>
      <c r="I116" s="5"/>
      <c r="J116" s="5">
        <f t="shared" si="7"/>
        <v>6</v>
      </c>
      <c r="K116" s="5">
        <v>500</v>
      </c>
      <c r="L116" s="8" cm="1">
        <f t="array" ref="L116">_xlfn.SWITCH(K116,200,_xlfn.XLOOKUP(J116,Manufacture!$C$18:$N$18,Manufacture!$C$20:$N$20) + _xlfn.XLOOKUP(B116&amp;"|"&amp;E116,
        Calculate_cap_emi!$L$14:$L$21&amp;"|"&amp;Calculate_cap_emi!$I$14:$I$21,
        Calculate_cap_emi!$AI$14:$AI$21, "Not found", 0), LOOKUP(K116,Manufacture!$C$24:$D$24,Manufacture!$C$26:$D$26) + _xlfn.XLOOKUP(J116,Manufacture!$C$18:$N$18,Manufacture!$C$20:$N$20) + _xlfn.XLOOKUP(B116&amp;"|"&amp;E116,
        Calculate_cap_emi!$L$14:$L$21&amp;"|"&amp;Calculate_cap_emi!$I$14:$I$21,
        Calculate_cap_emi!$AI$14:$AI$21, "Not found", 0))</f>
        <v>3824.6042618363363</v>
      </c>
      <c r="M116" s="8">
        <f>_xlfn.XLOOKUP(J116,Manufacture!$C$18:$N$18,Manufacture!$C$20:$N$20)</f>
        <v>1750.8811764705879</v>
      </c>
      <c r="N116" s="8" cm="1">
        <f t="array" ref="N116">_xlfn.SWITCH(K116,200,0,LOOKUP(K116,Manufacture!$C$24:$D$24,Manufacture!$C$26:$D$26))</f>
        <v>336</v>
      </c>
      <c r="O116" s="5" cm="1">
        <f t="array" ref="O116">_xlfn.XLOOKUP(B116&amp;"|"&amp;E116,
        Calculate_cap_emi!$L$14:$L$21&amp;"|"&amp;Calculate_cap_emi!$I$14:$I$21,
        Calculate_cap_emi!$AI$14:$AI$21, "Not found", 0)</f>
        <v>1737.7230853657481</v>
      </c>
      <c r="P116" s="8">
        <f t="shared" si="8"/>
        <v>3824.6042618363363</v>
      </c>
      <c r="Q116" s="8" cm="1">
        <f t="array" ref="Q116">_xlfn.SWITCH(K116,200,_xlfn.XLOOKUP(J116,Distribution!$C$18:$N$18,Distribution!$C$20:$N$20) + _xlfn.XLOOKUP(B116&amp;"|"&amp;E116,
        Calculate_cap_emi!$L$14:$L$21&amp;"|"&amp;Calculate_cap_emi!$I$14:$I$21,
        Calculate_cap_emi!$AP$14:$AP$21, "Not found", 0), LOOKUP(K116,Distribution!$C$24:$D$24,Distribution!$C$26:$D$26) + _xlfn.XLOOKUP(J116,Distribution!$C$18:$N$18,Distribution!$C$20:$N$20) + _xlfn.XLOOKUP(B116&amp;"|"&amp;E116,
        Calculate_cap_emi!$L$14:$L$21&amp;"|"&amp;Calculate_cap_emi!$I$14:$I$21,
        Calculate_cap_emi!$AP$14:$AP$21, "Not found", 0))</f>
        <v>129.17835092719284</v>
      </c>
      <c r="R116" s="8" cm="1">
        <f t="array" ref="R116">_xlfn.SWITCH(K116,200,_xlfn.XLOOKUP(J116,Installation!$C$18:$N$18,Installation!$C$20:$N$20) + _xlfn.XLOOKUP(B116&amp;"|"&amp;E116,
        Calculate_cap_emi!$L$14:$L$21&amp;"|"&amp;Calculate_cap_emi!$I$14:$I$21,
        Calculate_cap_emi!$AW$14:$AW$21, "Not found", 0), LOOKUP(K116,Installation!$C$24:$D$24,Installation!$C$26:$D$26) + _xlfn.XLOOKUP(J116,Installation!$C$18:$N$18,Installation!$C$20:$N$20) + _xlfn.XLOOKUP(B116&amp;"|"&amp;E116,
        Calculate_cap_emi!$L$14:$L$21&amp;"|"&amp;Calculate_cap_emi!$I$14:$I$21,
        Calculate_cap_emi!$AW$14:$AW$21, "Not found", 0))</f>
        <v>116.15854777211948</v>
      </c>
      <c r="S116" s="8" cm="1">
        <f t="array" ref="S116">_xlfn.SWITCH(K116,200,_xlfn.XLOOKUP(J116,EOL!$C$18:$N$18,EOL!$C$20:$N$20) + _xlfn.XLOOKUP(B116&amp;"|"&amp;E116,
        Calculate_cap_emi!$L$14:$L$21&amp;"|"&amp;Calculate_cap_emi!$I$14:$I$21,
        Calculate_cap_emi!$BD$14:$BD$21, "Not found", 0), LOOKUP(K116,EOL!$C$24:$D$24,EOL!$C$26:$D$26) + _xlfn.XLOOKUP(J116,EOL!$C$18:$N$18,EOL!$C$20:$N$20) + _xlfn.XLOOKUP(B116&amp;"|"&amp;E116,
        Calculate_cap_emi!$L$14:$L$21&amp;"|"&amp;Calculate_cap_emi!$I$14:$I$21,
        Calculate_cap_emi!$BD$14:$BD$21, "Not found", 0))</f>
        <v>663.14714411941827</v>
      </c>
      <c r="T116" s="8" cm="1">
        <f t="array" ref="T116">_xlfn.SWITCH(K116,200,_xlfn.XLOOKUP(J116,Other!$C$18:$N$18,Other!$C$20:$N$20) + _xlfn.XLOOKUP(B116&amp;"|"&amp;E116,
        Calculate_cap_emi!$L$14:$L$21&amp;"|"&amp;Calculate_cap_emi!$I$14:$I$21,
        Calculate_cap_emi!$BK$14:$BK$21, "Not found", 0), LOOKUP(K116,Other!$C$24:$D$24,Other!$C$26:$D$26) + _xlfn.XLOOKUP(J116,Other!$C$18:$N$18,Other!$C$20:$N$20) + _xlfn.XLOOKUP(B116&amp;"|"&amp;E116,
        Calculate_cap_emi!$L$14:$L$21&amp;"|"&amp;Calculate_cap_emi!$I$14:$I$21,
        Calculate_cap_emi!$BK$14:$BK$21, "Not found", 0))</f>
        <v>2547.382675457533</v>
      </c>
      <c r="U116" s="8" cm="1">
        <f t="array" ref="U116">_xlfn.SWITCH(K116,200,_xlfn.XLOOKUP(J116,EOL_R!$C$18:$N$18,EOL_R!$C$20:$N$20) + _xlfn.XLOOKUP(B116&amp;"|"&amp;E116,
        Calculate_cap_emi_sens!$L$14:$L$21&amp;"|"&amp;Calculate_cap_emi_sens!$I$14:$I$21,
        Calculate_cap_emi_sens!$BD$14:$BD$21, "Not found", 0), LOOKUP(K116,EOL_R!$C$24:$D$24,EOL_R!$C$26:$D$26) + _xlfn.XLOOKUP(J116,EOL_R!$C$18:$N$18,EOL_R!$C$20:$N$20) + _xlfn.XLOOKUP(B116&amp;"|"&amp;E116,
        Calculate_cap_emi_sens!$L$14:$L$21&amp;"|"&amp;Calculate_cap_emi_sens!$I$14:$I$21,
        Calculate_cap_emi_sens!$BD$14:$BD$21, "Not found", 0))</f>
        <v>541.97998146589839</v>
      </c>
      <c r="V116" s="8" cm="1">
        <f t="array" ref="V116">_xlfn.SWITCH(K116,200,_xlfn.XLOOKUP(J116,Other_R!$C$18:$N$18,Other_R!$C$20:$N$20) + _xlfn.XLOOKUP(B116&amp;"|"&amp;E116,
        Calculate_cap_emi_sens!$L$14:$L$21&amp;"|"&amp;Calculate_cap_emi_sens!$I$14:$I$21,
        Calculate_cap_emi_sens!$BK$14:$BK$21, "Not found", 0), LOOKUP(K116,Other_R!$C$24:$D$24,Other_R!$C$26:$D$26) + _xlfn.XLOOKUP(J116,Other_R!$C$18:$N$18,Other_R!$C$20:$N$20) + _xlfn.XLOOKUP(B116&amp;"|"&amp;E116,
        Calculate_cap_emi_sens!$L$14:$L$21&amp;"|"&amp;Calculate_cap_emi_sens!$I$14:$I$21,
        Calculate_cap_emi_sens!$BK$14:$BK$21, "Not found", 0))</f>
        <v>2165.3912758934771</v>
      </c>
      <c r="W116" s="5">
        <f>Results_proc_ener!L116</f>
        <v>119539.53887526298</v>
      </c>
      <c r="X116" s="5">
        <f>Results_proc_ener!M116</f>
        <v>48695.486398672118</v>
      </c>
      <c r="Y116" s="5">
        <f>Results_proc_ener!N116</f>
        <v>10613.59090909091</v>
      </c>
      <c r="Z116" s="5">
        <f>Results_proc_ener!O116</f>
        <v>60230.461567499944</v>
      </c>
      <c r="AA116" s="5">
        <f>Results_proc_ener!P116</f>
        <v>119539.53887526298</v>
      </c>
      <c r="AB116" s="5">
        <f>Results_proc_ener!Q116</f>
        <v>2762.7147994322245</v>
      </c>
      <c r="AC116" s="5">
        <f>Results_proc_ener!R116</f>
        <v>229.18236081069904</v>
      </c>
      <c r="AD116" s="5">
        <f>Results_proc_ener!S116</f>
        <v>16566.074352545453</v>
      </c>
      <c r="AE116" s="5">
        <f>Results_proc_ener!T116</f>
        <v>85658.031741298779</v>
      </c>
    </row>
    <row r="117" spans="1:31" x14ac:dyDescent="0.25">
      <c r="A117" s="5"/>
      <c r="B117" s="5" t="str">
        <f t="shared" si="6"/>
        <v>Mod-Nom</v>
      </c>
      <c r="C117" s="5" t="s">
        <v>38</v>
      </c>
      <c r="D117" s="5" t="str">
        <f t="shared" si="5"/>
        <v>Nom</v>
      </c>
      <c r="E117" s="5" t="s">
        <v>3</v>
      </c>
      <c r="F117" s="5" t="s">
        <v>55</v>
      </c>
      <c r="G117" s="5" t="s">
        <v>55</v>
      </c>
      <c r="H117" s="5">
        <v>8.5</v>
      </c>
      <c r="I117" s="5"/>
      <c r="J117" s="5">
        <f t="shared" si="7"/>
        <v>9</v>
      </c>
      <c r="K117" s="5">
        <v>500</v>
      </c>
      <c r="L117" s="8" cm="1">
        <f t="array" ref="L117">_xlfn.SWITCH(K117,200,_xlfn.XLOOKUP(J117,Manufacture!$C$18:$N$18,Manufacture!$C$20:$N$20) + _xlfn.XLOOKUP(B117&amp;"|"&amp;E117,
        Calculate_cap_emi!$L$14:$L$21&amp;"|"&amp;Calculate_cap_emi!$I$14:$I$21,
        Calculate_cap_emi!$AI$14:$AI$21, "Not found", 0), LOOKUP(K117,Manufacture!$C$24:$D$24,Manufacture!$C$26:$D$26) + _xlfn.XLOOKUP(J117,Manufacture!$C$18:$N$18,Manufacture!$C$20:$N$20) + _xlfn.XLOOKUP(B117&amp;"|"&amp;E117,
        Calculate_cap_emi!$L$14:$L$21&amp;"|"&amp;Calculate_cap_emi!$I$14:$I$21,
        Calculate_cap_emi!$AI$14:$AI$21, "Not found", 0))</f>
        <v>3943.3777912481009</v>
      </c>
      <c r="M117" s="8">
        <f>_xlfn.XLOOKUP(J117,Manufacture!$C$18:$N$18,Manufacture!$C$20:$N$20)</f>
        <v>1869.654705882353</v>
      </c>
      <c r="N117" s="8" cm="1">
        <f t="array" ref="N117">_xlfn.SWITCH(K117,200,0,LOOKUP(K117,Manufacture!$C$24:$D$24,Manufacture!$C$26:$D$26))</f>
        <v>336</v>
      </c>
      <c r="O117" s="5" cm="1">
        <f t="array" ref="O117">_xlfn.XLOOKUP(B117&amp;"|"&amp;E117,
        Calculate_cap_emi!$L$14:$L$21&amp;"|"&amp;Calculate_cap_emi!$I$14:$I$21,
        Calculate_cap_emi!$AI$14:$AI$21, "Not found", 0)</f>
        <v>1737.7230853657481</v>
      </c>
      <c r="P117" s="8">
        <f t="shared" si="8"/>
        <v>3943.3777912481009</v>
      </c>
      <c r="Q117" s="8" cm="1">
        <f t="array" ref="Q117">_xlfn.SWITCH(K117,200,_xlfn.XLOOKUP(J117,Distribution!$C$18:$N$18,Distribution!$C$20:$N$20) + _xlfn.XLOOKUP(B117&amp;"|"&amp;E117,
        Calculate_cap_emi!$L$14:$L$21&amp;"|"&amp;Calculate_cap_emi!$I$14:$I$21,
        Calculate_cap_emi!$AP$14:$AP$21, "Not found", 0), LOOKUP(K117,Distribution!$C$24:$D$24,Distribution!$C$26:$D$26) + _xlfn.XLOOKUP(J117,Distribution!$C$18:$N$18,Distribution!$C$20:$N$20) + _xlfn.XLOOKUP(B117&amp;"|"&amp;E117,
        Calculate_cap_emi!$L$14:$L$21&amp;"|"&amp;Calculate_cap_emi!$I$14:$I$21,
        Calculate_cap_emi!$AP$14:$AP$21, "Not found", 0))</f>
        <v>133.81098366989875</v>
      </c>
      <c r="R117" s="8" cm="1">
        <f t="array" ref="R117">_xlfn.SWITCH(K117,200,_xlfn.XLOOKUP(J117,Installation!$C$18:$N$18,Installation!$C$20:$N$20) + _xlfn.XLOOKUP(B117&amp;"|"&amp;E117,
        Calculate_cap_emi!$L$14:$L$21&amp;"|"&amp;Calculate_cap_emi!$I$14:$I$21,
        Calculate_cap_emi!$AW$14:$AW$21, "Not found", 0), LOOKUP(K117,Installation!$C$24:$D$24,Installation!$C$26:$D$26) + _xlfn.XLOOKUP(J117,Installation!$C$18:$N$18,Installation!$C$20:$N$20) + _xlfn.XLOOKUP(B117&amp;"|"&amp;E117,
        Calculate_cap_emi!$L$14:$L$21&amp;"|"&amp;Calculate_cap_emi!$I$14:$I$21,
        Calculate_cap_emi!$AW$14:$AW$21, "Not found", 0))</f>
        <v>123.53578255218599</v>
      </c>
      <c r="S117" s="8" cm="1">
        <f t="array" ref="S117">_xlfn.SWITCH(K117,200,_xlfn.XLOOKUP(J117,EOL!$C$18:$N$18,EOL!$C$20:$N$20) + _xlfn.XLOOKUP(B117&amp;"|"&amp;E117,
        Calculate_cap_emi!$L$14:$L$21&amp;"|"&amp;Calculate_cap_emi!$I$14:$I$21,
        Calculate_cap_emi!$BD$14:$BD$21, "Not found", 0), LOOKUP(K117,EOL!$C$24:$D$24,EOL!$C$26:$D$26) + _xlfn.XLOOKUP(J117,EOL!$C$18:$N$18,EOL!$C$20:$N$20) + _xlfn.XLOOKUP(B117&amp;"|"&amp;E117,
        Calculate_cap_emi!$L$14:$L$21&amp;"|"&amp;Calculate_cap_emi!$I$14:$I$21,
        Calculate_cap_emi!$BD$14:$BD$21, "Not found", 0))</f>
        <v>707.81785000177138</v>
      </c>
      <c r="T117" s="8" cm="1">
        <f t="array" ref="T117">_xlfn.SWITCH(K117,200,_xlfn.XLOOKUP(J117,Other!$C$18:$N$18,Other!$C$20:$N$20) + _xlfn.XLOOKUP(B117&amp;"|"&amp;E117,
        Calculate_cap_emi!$L$14:$L$21&amp;"|"&amp;Calculate_cap_emi!$I$14:$I$21,
        Calculate_cap_emi!$BK$14:$BK$21, "Not found", 0), LOOKUP(K117,Other!$C$24:$D$24,Other!$C$26:$D$26) + _xlfn.XLOOKUP(J117,Other!$C$18:$N$18,Other!$C$20:$N$20) + _xlfn.XLOOKUP(B117&amp;"|"&amp;E117,
        Calculate_cap_emi!$L$14:$L$21&amp;"|"&amp;Calculate_cap_emi!$I$14:$I$21,
        Calculate_cap_emi!$BK$14:$BK$21, "Not found", 0))</f>
        <v>2613.0519253459534</v>
      </c>
      <c r="U117" s="8" cm="1">
        <f t="array" ref="U117">_xlfn.SWITCH(K117,200,_xlfn.XLOOKUP(J117,EOL_R!$C$18:$N$18,EOL_R!$C$20:$N$20) + _xlfn.XLOOKUP(B117&amp;"|"&amp;E117,
        Calculate_cap_emi_sens!$L$14:$L$21&amp;"|"&amp;Calculate_cap_emi_sens!$I$14:$I$21,
        Calculate_cap_emi_sens!$BD$14:$BD$21, "Not found", 0), LOOKUP(K117,EOL_R!$C$24:$D$24,EOL_R!$C$26:$D$26) + _xlfn.XLOOKUP(J117,EOL_R!$C$18:$N$18,EOL_R!$C$20:$N$20) + _xlfn.XLOOKUP(B117&amp;"|"&amp;E117,
        Calculate_cap_emi_sens!$L$14:$L$21&amp;"|"&amp;Calculate_cap_emi_sens!$I$14:$I$21,
        Calculate_cap_emi_sens!$BD$14:$BD$21, "Not found", 0))</f>
        <v>557.75699164056982</v>
      </c>
      <c r="V117" s="8" cm="1">
        <f t="array" ref="V117">_xlfn.SWITCH(K117,200,_xlfn.XLOOKUP(J117,Other_R!$C$18:$N$18,Other_R!$C$20:$N$20) + _xlfn.XLOOKUP(B117&amp;"|"&amp;E117,
        Calculate_cap_emi_sens!$L$14:$L$21&amp;"|"&amp;Calculate_cap_emi_sens!$I$14:$I$21,
        Calculate_cap_emi_sens!$BK$14:$BK$21, "Not found", 0), LOOKUP(K117,Other_R!$C$24:$D$24,Other_R!$C$26:$D$26) + _xlfn.XLOOKUP(J117,Other_R!$C$18:$N$18,Other_R!$C$20:$N$20) + _xlfn.XLOOKUP(B117&amp;"|"&amp;E117,
        Calculate_cap_emi_sens!$L$14:$L$21&amp;"|"&amp;Calculate_cap_emi_sens!$I$14:$I$21,
        Calculate_cap_emi_sens!$BK$14:$BK$21, "Not found", 0))</f>
        <v>2160.1844545008848</v>
      </c>
      <c r="W117" s="5">
        <f>Results_proc_ener!L117</f>
        <v>120604.05467615648</v>
      </c>
      <c r="X117" s="5">
        <f>Results_proc_ener!M117</f>
        <v>49760.002199565621</v>
      </c>
      <c r="Y117" s="5">
        <f>Results_proc_ener!N117</f>
        <v>10613.59090909091</v>
      </c>
      <c r="Z117" s="5">
        <f>Results_proc_ener!O117</f>
        <v>60230.461567499944</v>
      </c>
      <c r="AA117" s="5">
        <f>Results_proc_ener!P117</f>
        <v>120604.05467615648</v>
      </c>
      <c r="AB117" s="5">
        <f>Results_proc_ener!Q117</f>
        <v>2860.8276788376743</v>
      </c>
      <c r="AC117" s="5">
        <f>Results_proc_ener!R117</f>
        <v>236.55959559076553</v>
      </c>
      <c r="AD117" s="5">
        <f>Results_proc_ener!S117</f>
        <v>16566.074352545453</v>
      </c>
      <c r="AE117" s="5">
        <f>Results_proc_ener!T117</f>
        <v>85723.700991187201</v>
      </c>
    </row>
    <row r="118" spans="1:31" x14ac:dyDescent="0.25">
      <c r="A118" s="5"/>
      <c r="B118" s="5" t="str">
        <f t="shared" si="6"/>
        <v>Mod-Nom</v>
      </c>
      <c r="C118" s="5" t="s">
        <v>38</v>
      </c>
      <c r="D118" s="5" t="str">
        <f t="shared" si="5"/>
        <v>Nom</v>
      </c>
      <c r="E118" s="5" t="s">
        <v>3</v>
      </c>
      <c r="F118" s="5" t="s">
        <v>55</v>
      </c>
      <c r="G118" s="5" t="s">
        <v>55</v>
      </c>
      <c r="H118" s="5">
        <v>14</v>
      </c>
      <c r="I118" s="5"/>
      <c r="J118" s="5">
        <f t="shared" si="7"/>
        <v>14</v>
      </c>
      <c r="K118" s="5">
        <v>500</v>
      </c>
      <c r="L118" s="8" cm="1">
        <f t="array" ref="L118">_xlfn.SWITCH(K118,200,_xlfn.XLOOKUP(J118,Manufacture!$C$18:$N$18,Manufacture!$C$20:$N$20) + _xlfn.XLOOKUP(B118&amp;"|"&amp;E118,
        Calculate_cap_emi!$L$14:$L$21&amp;"|"&amp;Calculate_cap_emi!$I$14:$I$21,
        Calculate_cap_emi!$AI$14:$AI$21, "Not found", 0), LOOKUP(K118,Manufacture!$C$24:$D$24,Manufacture!$C$26:$D$26) + _xlfn.XLOOKUP(J118,Manufacture!$C$18:$N$18,Manufacture!$C$20:$N$20) + _xlfn.XLOOKUP(B118&amp;"|"&amp;E118,
        Calculate_cap_emi!$L$14:$L$21&amp;"|"&amp;Calculate_cap_emi!$I$14:$I$21,
        Calculate_cap_emi!$AI$14:$AI$21, "Not found", 0))</f>
        <v>4141.3336736010424</v>
      </c>
      <c r="M118" s="8">
        <f>_xlfn.XLOOKUP(J118,Manufacture!$C$18:$N$18,Manufacture!$C$20:$N$20)</f>
        <v>2067.610588235294</v>
      </c>
      <c r="N118" s="8" cm="1">
        <f t="array" ref="N118">_xlfn.SWITCH(K118,200,0,LOOKUP(K118,Manufacture!$C$24:$D$24,Manufacture!$C$26:$D$26))</f>
        <v>336</v>
      </c>
      <c r="O118" s="5" cm="1">
        <f t="array" ref="O118">_xlfn.XLOOKUP(B118&amp;"|"&amp;E118,
        Calculate_cap_emi!$L$14:$L$21&amp;"|"&amp;Calculate_cap_emi!$I$14:$I$21,
        Calculate_cap_emi!$AI$14:$AI$21, "Not found", 0)</f>
        <v>1737.7230853657481</v>
      </c>
      <c r="P118" s="8">
        <f t="shared" si="8"/>
        <v>4141.3336736010424</v>
      </c>
      <c r="Q118" s="8" cm="1">
        <f t="array" ref="Q118">_xlfn.SWITCH(K118,200,_xlfn.XLOOKUP(J118,Distribution!$C$18:$N$18,Distribution!$C$20:$N$20) + _xlfn.XLOOKUP(B118&amp;"|"&amp;E118,
        Calculate_cap_emi!$L$14:$L$21&amp;"|"&amp;Calculate_cap_emi!$I$14:$I$21,
        Calculate_cap_emi!$AP$14:$AP$21, "Not found", 0), LOOKUP(K118,Distribution!$C$24:$D$24,Distribution!$C$26:$D$26) + _xlfn.XLOOKUP(J118,Distribution!$C$18:$N$18,Distribution!$C$20:$N$20) + _xlfn.XLOOKUP(B118&amp;"|"&amp;E118,
        Calculate_cap_emi!$L$14:$L$21&amp;"|"&amp;Calculate_cap_emi!$I$14:$I$21,
        Calculate_cap_emi!$AP$14:$AP$21, "Not found", 0))</f>
        <v>141.53203824107518</v>
      </c>
      <c r="R118" s="8" cm="1">
        <f t="array" ref="R118">_xlfn.SWITCH(K118,200,_xlfn.XLOOKUP(J118,Installation!$C$18:$N$18,Installation!$C$20:$N$20) + _xlfn.XLOOKUP(B118&amp;"|"&amp;E118,
        Calculate_cap_emi!$L$14:$L$21&amp;"|"&amp;Calculate_cap_emi!$I$14:$I$21,
        Calculate_cap_emi!$AW$14:$AW$21, "Not found", 0), LOOKUP(K118,Installation!$C$24:$D$24,Installation!$C$26:$D$26) + _xlfn.XLOOKUP(J118,Installation!$C$18:$N$18,Installation!$C$20:$N$20) + _xlfn.XLOOKUP(B118&amp;"|"&amp;E118,
        Calculate_cap_emi!$L$14:$L$21&amp;"|"&amp;Calculate_cap_emi!$I$14:$I$21,
        Calculate_cap_emi!$AW$14:$AW$21, "Not found", 0))</f>
        <v>135.83117385229718</v>
      </c>
      <c r="S118" s="8" cm="1">
        <f t="array" ref="S118">_xlfn.SWITCH(K118,200,_xlfn.XLOOKUP(J118,EOL!$C$18:$N$18,EOL!$C$20:$N$20) + _xlfn.XLOOKUP(B118&amp;"|"&amp;E118,
        Calculate_cap_emi!$L$14:$L$21&amp;"|"&amp;Calculate_cap_emi!$I$14:$I$21,
        Calculate_cap_emi!$BD$14:$BD$21, "Not found", 0), LOOKUP(K118,EOL!$C$24:$D$24,EOL!$C$26:$D$26) + _xlfn.XLOOKUP(J118,EOL!$C$18:$N$18,EOL!$C$20:$N$20) + _xlfn.XLOOKUP(B118&amp;"|"&amp;E118,
        Calculate_cap_emi!$L$14:$L$21&amp;"|"&amp;Calculate_cap_emi!$I$14:$I$21,
        Calculate_cap_emi!$BD$14:$BD$21, "Not found", 0))</f>
        <v>782.26902647235954</v>
      </c>
      <c r="T118" s="8" cm="1">
        <f t="array" ref="T118">_xlfn.SWITCH(K118,200,_xlfn.XLOOKUP(J118,Other!$C$18:$N$18,Other!$C$20:$N$20) + _xlfn.XLOOKUP(B118&amp;"|"&amp;E118,
        Calculate_cap_emi!$L$14:$L$21&amp;"|"&amp;Calculate_cap_emi!$I$14:$I$21,
        Calculate_cap_emi!$BK$14:$BK$21, "Not found", 0), LOOKUP(K118,Other!$C$24:$D$24,Other!$C$26:$D$26) + _xlfn.XLOOKUP(J118,Other!$C$18:$N$18,Other!$C$20:$N$20) + _xlfn.XLOOKUP(B118&amp;"|"&amp;E118,
        Calculate_cap_emi!$L$14:$L$21&amp;"|"&amp;Calculate_cap_emi!$I$14:$I$21,
        Calculate_cap_emi!$BK$14:$BK$21, "Not found", 0))</f>
        <v>2722.5006751599881</v>
      </c>
      <c r="U118" s="8" cm="1">
        <f t="array" ref="U118">_xlfn.SWITCH(K118,200,_xlfn.XLOOKUP(J118,EOL_R!$C$18:$N$18,EOL_R!$C$20:$N$20) + _xlfn.XLOOKUP(B118&amp;"|"&amp;E118,
        Calculate_cap_emi_sens!$L$14:$L$21&amp;"|"&amp;Calculate_cap_emi_sens!$I$14:$I$21,
        Calculate_cap_emi_sens!$BD$14:$BD$21, "Not found", 0), LOOKUP(K118,EOL_R!$C$24:$D$24,EOL_R!$C$26:$D$26) + _xlfn.XLOOKUP(J118,EOL_R!$C$18:$N$18,EOL_R!$C$20:$N$20) + _xlfn.XLOOKUP(B118&amp;"|"&amp;E118,
        Calculate_cap_emi_sens!$L$14:$L$21&amp;"|"&amp;Calculate_cap_emi_sens!$I$14:$I$21,
        Calculate_cap_emi_sens!$BD$14:$BD$21, "Not found", 0))</f>
        <v>600.72289146774244</v>
      </c>
      <c r="V118" s="8" cm="1">
        <f t="array" ref="V118">_xlfn.SWITCH(K118,200,_xlfn.XLOOKUP(J118,Other_R!$C$18:$N$18,Other_R!$C$20:$N$20) + _xlfn.XLOOKUP(B118&amp;"|"&amp;E118,
        Calculate_cap_emi_sens!$L$14:$L$21&amp;"|"&amp;Calculate_cap_emi_sens!$I$14:$I$21,
        Calculate_cap_emi_sens!$BK$14:$BK$21, "Not found", 0), LOOKUP(K118,Other_R!$C$24:$D$24,Other_R!$C$26:$D$26) + _xlfn.XLOOKUP(J118,Other_R!$C$18:$N$18,Other_R!$C$20:$N$20) + _xlfn.XLOOKUP(B118&amp;"|"&amp;E118,
        Calculate_cap_emi_sens!$L$14:$L$21&amp;"|"&amp;Calculate_cap_emi_sens!$I$14:$I$21,
        Calculate_cap_emi_sens!$BK$14:$BK$21, "Not found", 0))</f>
        <v>2192.3999997343144</v>
      </c>
      <c r="W118" s="5">
        <f>Results_proc_ener!L118</f>
        <v>122378.24767764578</v>
      </c>
      <c r="X118" s="5">
        <f>Results_proc_ener!M118</f>
        <v>51534.195201054921</v>
      </c>
      <c r="Y118" s="5">
        <f>Results_proc_ener!N118</f>
        <v>10613.59090909091</v>
      </c>
      <c r="Z118" s="5">
        <f>Results_proc_ener!O118</f>
        <v>60230.461567499944</v>
      </c>
      <c r="AA118" s="5">
        <f>Results_proc_ener!P118</f>
        <v>122378.24767764578</v>
      </c>
      <c r="AB118" s="5">
        <f>Results_proc_ener!Q118</f>
        <v>3024.3491445134241</v>
      </c>
      <c r="AC118" s="5">
        <f>Results_proc_ener!R118</f>
        <v>248.85498689087672</v>
      </c>
      <c r="AD118" s="5">
        <f>Results_proc_ener!S118</f>
        <v>16566.074352545453</v>
      </c>
      <c r="AE118" s="5">
        <f>Results_proc_ener!T118</f>
        <v>85833.149741001238</v>
      </c>
    </row>
    <row r="119" spans="1:31" x14ac:dyDescent="0.25">
      <c r="A119" s="5"/>
      <c r="B119" s="5" t="str">
        <f t="shared" si="6"/>
        <v>Mod-Nom</v>
      </c>
      <c r="C119" s="5" t="s">
        <v>38</v>
      </c>
      <c r="D119" s="5" t="str">
        <f t="shared" si="5"/>
        <v>Nom</v>
      </c>
      <c r="E119" s="5" t="s">
        <v>3</v>
      </c>
      <c r="F119" s="5" t="s">
        <v>57</v>
      </c>
      <c r="G119" s="5" t="s">
        <v>57</v>
      </c>
      <c r="H119" s="5">
        <v>5</v>
      </c>
      <c r="I119" s="5"/>
      <c r="J119" s="5">
        <f t="shared" si="7"/>
        <v>5</v>
      </c>
      <c r="K119" s="5">
        <v>1000</v>
      </c>
      <c r="L119" s="8" cm="1">
        <f t="array" ref="L119">_xlfn.SWITCH(K119,200,_xlfn.XLOOKUP(J119,Manufacture!$C$18:$N$18,Manufacture!$C$20:$N$20) + _xlfn.XLOOKUP(B119&amp;"|"&amp;E119,
        Calculate_cap_emi!$L$14:$L$21&amp;"|"&amp;Calculate_cap_emi!$I$14:$I$21,
        Calculate_cap_emi!$AI$14:$AI$21, "Not found", 0), LOOKUP(K119,Manufacture!$C$24:$D$24,Manufacture!$C$26:$D$26) + _xlfn.XLOOKUP(J119,Manufacture!$C$18:$N$18,Manufacture!$C$20:$N$20) + _xlfn.XLOOKUP(B119&amp;"|"&amp;E119,
        Calculate_cap_emi!$L$14:$L$21&amp;"|"&amp;Calculate_cap_emi!$I$14:$I$21,
        Calculate_cap_emi!$AI$14:$AI$21, "Not found", 0))</f>
        <v>4108.6039944566573</v>
      </c>
      <c r="M119" s="8">
        <f>_xlfn.XLOOKUP(J119,Manufacture!$C$18:$N$18,Manufacture!$C$20:$N$20)</f>
        <v>1711.29</v>
      </c>
      <c r="N119" s="8" cm="1">
        <f t="array" ref="N119">_xlfn.SWITCH(K119,200,0,LOOKUP(K119,Manufacture!$C$24:$D$24,Manufacture!$C$26:$D$26))</f>
        <v>659.59090909090912</v>
      </c>
      <c r="O119" s="5" cm="1">
        <f t="array" ref="O119">_xlfn.XLOOKUP(B119&amp;"|"&amp;E119,
        Calculate_cap_emi!$L$14:$L$21&amp;"|"&amp;Calculate_cap_emi!$I$14:$I$21,
        Calculate_cap_emi!$AI$14:$AI$21, "Not found", 0)</f>
        <v>1737.7230853657481</v>
      </c>
      <c r="P119" s="8">
        <f>SUM(M119:O119)</f>
        <v>4108.6039944566573</v>
      </c>
      <c r="Q119" s="8" cm="1">
        <f t="array" ref="Q119">_xlfn.SWITCH(K119,200,_xlfn.XLOOKUP(J119,Distribution!$C$18:$N$18,Distribution!$C$20:$N$20) + _xlfn.XLOOKUP(B119&amp;"|"&amp;E119,
        Calculate_cap_emi!$L$14:$L$21&amp;"|"&amp;Calculate_cap_emi!$I$14:$I$21,
        Calculate_cap_emi!$AP$14:$AP$21, "Not found", 0), LOOKUP(K119,Distribution!$C$24:$D$24,Distribution!$C$26:$D$26) + _xlfn.XLOOKUP(J119,Distribution!$C$18:$N$18,Distribution!$C$20:$N$20) + _xlfn.XLOOKUP(B119&amp;"|"&amp;E119,
        Calculate_cap_emi!$L$14:$L$21&amp;"|"&amp;Calculate_cap_emi!$I$14:$I$21,
        Calculate_cap_emi!$AP$14:$AP$21, "Not found", 0))</f>
        <v>134.93371152932119</v>
      </c>
      <c r="R119" s="8" cm="1">
        <f t="array" ref="R119">_xlfn.SWITCH(K119,200,_xlfn.XLOOKUP(J119,Installation!$C$18:$N$18,Installation!$C$20:$N$20) + _xlfn.XLOOKUP(B119&amp;"|"&amp;E119,
        Calculate_cap_emi!$L$14:$L$21&amp;"|"&amp;Calculate_cap_emi!$I$14:$I$21,
        Calculate_cap_emi!$AW$14:$AW$21, "Not found", 0), LOOKUP(K119,Installation!$C$24:$D$24,Installation!$C$26:$D$26) + _xlfn.XLOOKUP(J119,Installation!$C$18:$N$18,Installation!$C$20:$N$20) + _xlfn.XLOOKUP(B119&amp;"|"&amp;E119,
        Calculate_cap_emi!$L$14:$L$21&amp;"|"&amp;Calculate_cap_emi!$I$14:$I$21,
        Calculate_cap_emi!$AW$14:$AW$21, "Not found", 0))</f>
        <v>113.69946951209722</v>
      </c>
      <c r="S119" s="8" cm="1">
        <f t="array" ref="S119">_xlfn.SWITCH(K119,200,_xlfn.XLOOKUP(J119,EOL!$C$18:$N$18,EOL!$C$20:$N$20) + _xlfn.XLOOKUP(B119&amp;"|"&amp;E119,
        Calculate_cap_emi!$L$14:$L$21&amp;"|"&amp;Calculate_cap_emi!$I$14:$I$21,
        Calculate_cap_emi!$BD$14:$BD$21, "Not found", 0), LOOKUP(K119,EOL!$C$24:$D$24,EOL!$C$26:$D$26) + _xlfn.XLOOKUP(J119,EOL!$C$18:$N$18,EOL!$C$20:$N$20) + _xlfn.XLOOKUP(B119&amp;"|"&amp;E119,
        Calculate_cap_emi!$L$14:$L$21&amp;"|"&amp;Calculate_cap_emi!$I$14:$I$21,
        Calculate_cap_emi!$BD$14:$BD$21, "Not found", 0))</f>
        <v>786.66599973439168</v>
      </c>
      <c r="T119" s="8" cm="1">
        <f t="array" ref="T119">_xlfn.SWITCH(K119,200,_xlfn.XLOOKUP(J119,Other!$C$18:$N$18,Other!$C$20:$N$20) + _xlfn.XLOOKUP(B119&amp;"|"&amp;E119,
        Calculate_cap_emi!$L$14:$L$21&amp;"|"&amp;Calculate_cap_emi!$I$14:$I$21,
        Calculate_cap_emi!$BK$14:$BK$21, "Not found", 0), LOOKUP(K119,Other!$C$24:$D$24,Other!$C$26:$D$26) + _xlfn.XLOOKUP(J119,Other!$C$18:$N$18,Other!$C$20:$N$20) + _xlfn.XLOOKUP(B119&amp;"|"&amp;E119,
        Calculate_cap_emi!$L$14:$L$21&amp;"|"&amp;Calculate_cap_emi!$I$14:$I$21,
        Calculate_cap_emi!$BK$14:$BK$21, "Not found", 0))</f>
        <v>2525.492925494726</v>
      </c>
      <c r="U119" s="8" cm="1">
        <f t="array" ref="U119">_xlfn.SWITCH(K119,200,_xlfn.XLOOKUP(J119,EOL_R!$C$18:$N$18,EOL_R!$C$20:$N$20) + _xlfn.XLOOKUP(B119&amp;"|"&amp;E119,
        Calculate_cap_emi_sens!$L$14:$L$21&amp;"|"&amp;Calculate_cap_emi_sens!$I$14:$I$21,
        Calculate_cap_emi_sens!$BD$14:$BD$21, "Not found", 0), LOOKUP(K119,EOL_R!$C$24:$D$24,EOL_R!$C$26:$D$26) + _xlfn.XLOOKUP(J119,EOL_R!$C$18:$N$18,EOL_R!$C$20:$N$20) + _xlfn.XLOOKUP(B119&amp;"|"&amp;E119,
        Calculate_cap_emi_sens!$L$14:$L$21&amp;"|"&amp;Calculate_cap_emi_sens!$I$14:$I$21,
        Calculate_cap_emi_sens!$BD$14:$BD$21, "Not found", 0))</f>
        <v>678.491184579118</v>
      </c>
      <c r="V119" s="8" cm="1">
        <f t="array" ref="V119">_xlfn.SWITCH(K119,200,_xlfn.XLOOKUP(J119,Other_R!$C$18:$N$18,Other_R!$C$20:$N$20) + _xlfn.XLOOKUP(B119&amp;"|"&amp;E119,
        Calculate_cap_emi_sens!$L$14:$L$21&amp;"|"&amp;Calculate_cap_emi_sens!$I$14:$I$21,
        Calculate_cap_emi_sens!$BK$14:$BK$21, "Not found", 0), LOOKUP(K119,Other_R!$C$24:$D$24,Other_R!$C$26:$D$26) + _xlfn.XLOOKUP(J119,Other_R!$C$18:$N$18,Other_R!$C$20:$N$20) + _xlfn.XLOOKUP(B119&amp;"|"&amp;E119,
        Calculate_cap_emi_sens!$L$14:$L$21&amp;"|"&amp;Calculate_cap_emi_sens!$I$14:$I$21,
        Calculate_cap_emi_sens!$BK$14:$BK$21, "Not found", 0))</f>
        <v>2175.3716804692117</v>
      </c>
      <c r="W119" s="5">
        <f>Results_proc_ener!L119</f>
        <v>129144.42754769241</v>
      </c>
      <c r="X119" s="5">
        <f>Results_proc_ener!M119</f>
        <v>48340.647798374281</v>
      </c>
      <c r="Y119" s="5">
        <f>Results_proc_ener!N119</f>
        <v>20573.31818181818</v>
      </c>
      <c r="Z119" s="5">
        <f>Results_proc_ener!O119</f>
        <v>60230.461567499944</v>
      </c>
      <c r="AA119" s="5">
        <f>Results_proc_ener!P119</f>
        <v>129144.42754769241</v>
      </c>
      <c r="AB119" s="5">
        <f>Results_proc_ener!Q119</f>
        <v>2910.5958316440747</v>
      </c>
      <c r="AC119" s="5">
        <f>Results_proc_ener!R119</f>
        <v>232.45055527794949</v>
      </c>
      <c r="AD119" s="5">
        <f>Results_proc_ener!S119</f>
        <v>26702.392534363637</v>
      </c>
      <c r="AE119" s="5">
        <f>Results_proc_ener!T119</f>
        <v>85636.141991335971</v>
      </c>
    </row>
    <row r="120" spans="1:31" x14ac:dyDescent="0.25">
      <c r="A120" s="5"/>
      <c r="B120" s="5" t="str">
        <f t="shared" si="6"/>
        <v>Mod-Nom</v>
      </c>
      <c r="C120" s="5" t="s">
        <v>38</v>
      </c>
      <c r="D120" s="5" t="str">
        <f t="shared" si="5"/>
        <v>Nom</v>
      </c>
      <c r="E120" s="5" t="s">
        <v>3</v>
      </c>
      <c r="F120" s="5" t="s">
        <v>57</v>
      </c>
      <c r="G120" s="5" t="s">
        <v>57</v>
      </c>
      <c r="H120" s="5">
        <v>6</v>
      </c>
      <c r="I120" s="5"/>
      <c r="J120" s="5">
        <f t="shared" si="7"/>
        <v>6</v>
      </c>
      <c r="K120" s="5">
        <v>1000</v>
      </c>
      <c r="L120" s="8" cm="1">
        <f t="array" ref="L120">_xlfn.SWITCH(K120,200,_xlfn.XLOOKUP(J120,Manufacture!$C$18:$N$18,Manufacture!$C$20:$N$20) + _xlfn.XLOOKUP(B120&amp;"|"&amp;E120,
        Calculate_cap_emi!$L$14:$L$21&amp;"|"&amp;Calculate_cap_emi!$I$14:$I$21,
        Calculate_cap_emi!$AI$14:$AI$21, "Not found", 0), LOOKUP(K120,Manufacture!$C$24:$D$24,Manufacture!$C$26:$D$26) + _xlfn.XLOOKUP(J120,Manufacture!$C$18:$N$18,Manufacture!$C$20:$N$20) + _xlfn.XLOOKUP(B120&amp;"|"&amp;E120,
        Calculate_cap_emi!$L$14:$L$21&amp;"|"&amp;Calculate_cap_emi!$I$14:$I$21,
        Calculate_cap_emi!$AI$14:$AI$21, "Not found", 0))</f>
        <v>4148.1951709272453</v>
      </c>
      <c r="M120" s="8">
        <f>_xlfn.XLOOKUP(J120,Manufacture!$C$18:$N$18,Manufacture!$C$20:$N$20)</f>
        <v>1750.8811764705879</v>
      </c>
      <c r="N120" s="8" cm="1">
        <f t="array" ref="N120">_xlfn.SWITCH(K120,200,0,LOOKUP(K120,Manufacture!$C$24:$D$24,Manufacture!$C$26:$D$26))</f>
        <v>659.59090909090912</v>
      </c>
      <c r="O120" s="5" cm="1">
        <f t="array" ref="O120">_xlfn.XLOOKUP(B120&amp;"|"&amp;E120,
        Calculate_cap_emi!$L$14:$L$21&amp;"|"&amp;Calculate_cap_emi!$I$14:$I$21,
        Calculate_cap_emi!$AI$14:$AI$21, "Not found", 0)</f>
        <v>1737.7230853657481</v>
      </c>
      <c r="P120" s="8">
        <f t="shared" si="8"/>
        <v>4148.1951709272453</v>
      </c>
      <c r="Q120" s="8" cm="1">
        <f t="array" ref="Q120">_xlfn.SWITCH(K120,200,_xlfn.XLOOKUP(J120,Distribution!$C$18:$N$18,Distribution!$C$20:$N$20) + _xlfn.XLOOKUP(B120&amp;"|"&amp;E120,
        Calculate_cap_emi!$L$14:$L$21&amp;"|"&amp;Calculate_cap_emi!$I$14:$I$21,
        Calculate_cap_emi!$AP$14:$AP$21, "Not found", 0), LOOKUP(K120,Distribution!$C$24:$D$24,Distribution!$C$26:$D$26) + _xlfn.XLOOKUP(J120,Distribution!$C$18:$N$18,Distribution!$C$20:$N$20) + _xlfn.XLOOKUP(B120&amp;"|"&amp;E120,
        Calculate_cap_emi!$L$14:$L$21&amp;"|"&amp;Calculate_cap_emi!$I$14:$I$21,
        Calculate_cap_emi!$AP$14:$AP$21, "Not found", 0))</f>
        <v>136.47792244355648</v>
      </c>
      <c r="R120" s="8" cm="1">
        <f t="array" ref="R120">_xlfn.SWITCH(K120,200,_xlfn.XLOOKUP(J120,Installation!$C$18:$N$18,Installation!$C$20:$N$20) + _xlfn.XLOOKUP(B120&amp;"|"&amp;E120,
        Calculate_cap_emi!$L$14:$L$21&amp;"|"&amp;Calculate_cap_emi!$I$14:$I$21,
        Calculate_cap_emi!$AW$14:$AW$21, "Not found", 0), LOOKUP(K120,Installation!$C$24:$D$24,Installation!$C$26:$D$26) + _xlfn.XLOOKUP(J120,Installation!$C$18:$N$18,Installation!$C$20:$N$20) + _xlfn.XLOOKUP(B120&amp;"|"&amp;E120,
        Calculate_cap_emi!$L$14:$L$21&amp;"|"&amp;Calculate_cap_emi!$I$14:$I$21,
        Calculate_cap_emi!$AW$14:$AW$21, "Not found", 0))</f>
        <v>116.15854777211948</v>
      </c>
      <c r="S120" s="8" cm="1">
        <f t="array" ref="S120">_xlfn.SWITCH(K120,200,_xlfn.XLOOKUP(J120,EOL!$C$18:$N$18,EOL!$C$20:$N$20) + _xlfn.XLOOKUP(B120&amp;"|"&amp;E120,
        Calculate_cap_emi!$L$14:$L$21&amp;"|"&amp;Calculate_cap_emi!$I$14:$I$21,
        Calculate_cap_emi!$BD$14:$BD$21, "Not found", 0), LOOKUP(K120,EOL!$C$24:$D$24,EOL!$C$26:$D$26) + _xlfn.XLOOKUP(J120,EOL!$C$18:$N$18,EOL!$C$20:$N$20) + _xlfn.XLOOKUP(B120&amp;"|"&amp;E120,
        Calculate_cap_emi!$L$14:$L$21&amp;"|"&amp;Calculate_cap_emi!$I$14:$I$21,
        Calculate_cap_emi!$BD$14:$BD$21, "Not found", 0))</f>
        <v>801.55623502850926</v>
      </c>
      <c r="T120" s="8" cm="1">
        <f t="array" ref="T120">_xlfn.SWITCH(K120,200,_xlfn.XLOOKUP(J120,Other!$C$18:$N$18,Other!$C$20:$N$20) + _xlfn.XLOOKUP(B120&amp;"|"&amp;E120,
        Calculate_cap_emi!$L$14:$L$21&amp;"|"&amp;Calculate_cap_emi!$I$14:$I$21,
        Calculate_cap_emi!$BK$14:$BK$21, "Not found", 0), LOOKUP(K120,Other!$C$24:$D$24,Other!$C$26:$D$26) + _xlfn.XLOOKUP(J120,Other!$C$18:$N$18,Other!$C$20:$N$20) + _xlfn.XLOOKUP(B120&amp;"|"&amp;E120,
        Calculate_cap_emi!$L$14:$L$21&amp;"|"&amp;Calculate_cap_emi!$I$14:$I$21,
        Calculate_cap_emi!$BK$14:$BK$21, "Not found", 0))</f>
        <v>2547.382675457533</v>
      </c>
      <c r="U120" s="8" cm="1">
        <f t="array" ref="U120">_xlfn.SWITCH(K120,200,_xlfn.XLOOKUP(J120,EOL_R!$C$18:$N$18,EOL_R!$C$20:$N$20) + _xlfn.XLOOKUP(B120&amp;"|"&amp;E120,
        Calculate_cap_emi_sens!$L$14:$L$21&amp;"|"&amp;Calculate_cap_emi_sens!$I$14:$I$21,
        Calculate_cap_emi_sens!$BD$14:$BD$21, "Not found", 0), LOOKUP(K120,EOL_R!$C$24:$D$24,EOL_R!$C$26:$D$26) + _xlfn.XLOOKUP(J120,EOL_R!$C$18:$N$18,EOL_R!$C$20:$N$20) + _xlfn.XLOOKUP(B120&amp;"|"&amp;E120,
        Calculate_cap_emi_sens!$L$14:$L$21&amp;"|"&amp;Calculate_cap_emi_sens!$I$14:$I$21,
        Calculate_cap_emi_sens!$BD$14:$BD$21, "Not found", 0))</f>
        <v>680.38907237498927</v>
      </c>
      <c r="V120" s="8" cm="1">
        <f t="array" ref="V120">_xlfn.SWITCH(K120,200,_xlfn.XLOOKUP(J120,Other_R!$C$18:$N$18,Other_R!$C$20:$N$20) + _xlfn.XLOOKUP(B120&amp;"|"&amp;E120,
        Calculate_cap_emi_sens!$L$14:$L$21&amp;"|"&amp;Calculate_cap_emi_sens!$I$14:$I$21,
        Calculate_cap_emi_sens!$BK$14:$BK$21, "Not found", 0), LOOKUP(K120,Other_R!$C$24:$D$24,Other_R!$C$26:$D$26) + _xlfn.XLOOKUP(J120,Other_R!$C$18:$N$18,Other_R!$C$20:$N$20) + _xlfn.XLOOKUP(B120&amp;"|"&amp;E120,
        Calculate_cap_emi_sens!$L$14:$L$21&amp;"|"&amp;Calculate_cap_emi_sens!$I$14:$I$21,
        Calculate_cap_emi_sens!$BK$14:$BK$21, "Not found", 0))</f>
        <v>2165.3912758934771</v>
      </c>
      <c r="W120" s="5">
        <f>Results_proc_ener!L120</f>
        <v>129499.26614799025</v>
      </c>
      <c r="X120" s="5">
        <f>Results_proc_ener!M120</f>
        <v>48695.486398672118</v>
      </c>
      <c r="Y120" s="5">
        <f>Results_proc_ener!N120</f>
        <v>20573.31818181818</v>
      </c>
      <c r="Z120" s="5">
        <f>Results_proc_ener!O120</f>
        <v>60230.461567499944</v>
      </c>
      <c r="AA120" s="5">
        <f>Results_proc_ener!P120</f>
        <v>129499.26614799025</v>
      </c>
      <c r="AB120" s="5">
        <f>Results_proc_ener!Q120</f>
        <v>2943.3001247792245</v>
      </c>
      <c r="AC120" s="5">
        <f>Results_proc_ener!R120</f>
        <v>234.90963353797176</v>
      </c>
      <c r="AD120" s="5">
        <f>Results_proc_ener!S120</f>
        <v>26702.392534363637</v>
      </c>
      <c r="AE120" s="5">
        <f>Results_proc_ener!T120</f>
        <v>85658.031741298779</v>
      </c>
    </row>
    <row r="121" spans="1:31" x14ac:dyDescent="0.25">
      <c r="A121" s="5"/>
      <c r="B121" s="5" t="str">
        <f t="shared" si="6"/>
        <v>Mod-Nom</v>
      </c>
      <c r="C121" s="5" t="s">
        <v>38</v>
      </c>
      <c r="D121" s="5" t="str">
        <f t="shared" si="5"/>
        <v>Nom</v>
      </c>
      <c r="E121" s="5" t="s">
        <v>3</v>
      </c>
      <c r="F121" s="5" t="s">
        <v>57</v>
      </c>
      <c r="G121" s="5" t="s">
        <v>57</v>
      </c>
      <c r="H121" s="5">
        <v>8.5</v>
      </c>
      <c r="I121" s="5"/>
      <c r="J121" s="5">
        <f t="shared" si="7"/>
        <v>9</v>
      </c>
      <c r="K121" s="5">
        <v>1000</v>
      </c>
      <c r="L121" s="8" cm="1">
        <f t="array" ref="L121">_xlfn.SWITCH(K121,200,_xlfn.XLOOKUP(J121,Manufacture!$C$18:$N$18,Manufacture!$C$20:$N$20) + _xlfn.XLOOKUP(B121&amp;"|"&amp;E121,
        Calculate_cap_emi!$L$14:$L$21&amp;"|"&amp;Calculate_cap_emi!$I$14:$I$21,
        Calculate_cap_emi!$AI$14:$AI$21, "Not found", 0), LOOKUP(K121,Manufacture!$C$24:$D$24,Manufacture!$C$26:$D$26) + _xlfn.XLOOKUP(J121,Manufacture!$C$18:$N$18,Manufacture!$C$20:$N$20) + _xlfn.XLOOKUP(B121&amp;"|"&amp;E121,
        Calculate_cap_emi!$L$14:$L$21&amp;"|"&amp;Calculate_cap_emi!$I$14:$I$21,
        Calculate_cap_emi!$AI$14:$AI$21, "Not found", 0))</f>
        <v>4266.96870033901</v>
      </c>
      <c r="M121" s="8">
        <f>_xlfn.XLOOKUP(J121,Manufacture!$C$18:$N$18,Manufacture!$C$20:$N$20)</f>
        <v>1869.654705882353</v>
      </c>
      <c r="N121" s="8" cm="1">
        <f t="array" ref="N121">_xlfn.SWITCH(K121,200,0,LOOKUP(K121,Manufacture!$C$24:$D$24,Manufacture!$C$26:$D$26))</f>
        <v>659.59090909090912</v>
      </c>
      <c r="O121" s="5" cm="1">
        <f t="array" ref="O121">_xlfn.XLOOKUP(B121&amp;"|"&amp;E121,
        Calculate_cap_emi!$L$14:$L$21&amp;"|"&amp;Calculate_cap_emi!$I$14:$I$21,
        Calculate_cap_emi!$AI$14:$AI$21, "Not found", 0)</f>
        <v>1737.7230853657481</v>
      </c>
      <c r="P121" s="8">
        <f t="shared" si="8"/>
        <v>4266.96870033901</v>
      </c>
      <c r="Q121" s="8" cm="1">
        <f t="array" ref="Q121">_xlfn.SWITCH(K121,200,_xlfn.XLOOKUP(J121,Distribution!$C$18:$N$18,Distribution!$C$20:$N$20) + _xlfn.XLOOKUP(B121&amp;"|"&amp;E121,
        Calculate_cap_emi!$L$14:$L$21&amp;"|"&amp;Calculate_cap_emi!$I$14:$I$21,
        Calculate_cap_emi!$AP$14:$AP$21, "Not found", 0), LOOKUP(K121,Distribution!$C$24:$D$24,Distribution!$C$26:$D$26) + _xlfn.XLOOKUP(J121,Distribution!$C$18:$N$18,Distribution!$C$20:$N$20) + _xlfn.XLOOKUP(B121&amp;"|"&amp;E121,
        Calculate_cap_emi!$L$14:$L$21&amp;"|"&amp;Calculate_cap_emi!$I$14:$I$21,
        Calculate_cap_emi!$AP$14:$AP$21, "Not found", 0))</f>
        <v>141.11055518626239</v>
      </c>
      <c r="R121" s="8" cm="1">
        <f t="array" ref="R121">_xlfn.SWITCH(K121,200,_xlfn.XLOOKUP(J121,Installation!$C$18:$N$18,Installation!$C$20:$N$20) + _xlfn.XLOOKUP(B121&amp;"|"&amp;E121,
        Calculate_cap_emi!$L$14:$L$21&amp;"|"&amp;Calculate_cap_emi!$I$14:$I$21,
        Calculate_cap_emi!$AW$14:$AW$21, "Not found", 0), LOOKUP(K121,Installation!$C$24:$D$24,Installation!$C$26:$D$26) + _xlfn.XLOOKUP(J121,Installation!$C$18:$N$18,Installation!$C$20:$N$20) + _xlfn.XLOOKUP(B121&amp;"|"&amp;E121,
        Calculate_cap_emi!$L$14:$L$21&amp;"|"&amp;Calculate_cap_emi!$I$14:$I$21,
        Calculate_cap_emi!$AW$14:$AW$21, "Not found", 0))</f>
        <v>123.53578255218599</v>
      </c>
      <c r="S121" s="8" cm="1">
        <f t="array" ref="S121">_xlfn.SWITCH(K121,200,_xlfn.XLOOKUP(J121,EOL!$C$18:$N$18,EOL!$C$20:$N$20) + _xlfn.XLOOKUP(B121&amp;"|"&amp;E121,
        Calculate_cap_emi!$L$14:$L$21&amp;"|"&amp;Calculate_cap_emi!$I$14:$I$21,
        Calculate_cap_emi!$BD$14:$BD$21, "Not found", 0), LOOKUP(K121,EOL!$C$24:$D$24,EOL!$C$26:$D$26) + _xlfn.XLOOKUP(J121,EOL!$C$18:$N$18,EOL!$C$20:$N$20) + _xlfn.XLOOKUP(B121&amp;"|"&amp;E121,
        Calculate_cap_emi!$L$14:$L$21&amp;"|"&amp;Calculate_cap_emi!$I$14:$I$21,
        Calculate_cap_emi!$BD$14:$BD$21, "Not found", 0))</f>
        <v>846.22694091086225</v>
      </c>
      <c r="T121" s="8" cm="1">
        <f t="array" ref="T121">_xlfn.SWITCH(K121,200,_xlfn.XLOOKUP(J121,Other!$C$18:$N$18,Other!$C$20:$N$20) + _xlfn.XLOOKUP(B121&amp;"|"&amp;E121,
        Calculate_cap_emi!$L$14:$L$21&amp;"|"&amp;Calculate_cap_emi!$I$14:$I$21,
        Calculate_cap_emi!$BK$14:$BK$21, "Not found", 0), LOOKUP(K121,Other!$C$24:$D$24,Other!$C$26:$D$26) + _xlfn.XLOOKUP(J121,Other!$C$18:$N$18,Other!$C$20:$N$20) + _xlfn.XLOOKUP(B121&amp;"|"&amp;E121,
        Calculate_cap_emi!$L$14:$L$21&amp;"|"&amp;Calculate_cap_emi!$I$14:$I$21,
        Calculate_cap_emi!$BK$14:$BK$21, "Not found", 0))</f>
        <v>2613.0519253459534</v>
      </c>
      <c r="U121" s="8" cm="1">
        <f t="array" ref="U121">_xlfn.SWITCH(K121,200,_xlfn.XLOOKUP(J121,EOL_R!$C$18:$N$18,EOL_R!$C$20:$N$20) + _xlfn.XLOOKUP(B121&amp;"|"&amp;E121,
        Calculate_cap_emi_sens!$L$14:$L$21&amp;"|"&amp;Calculate_cap_emi_sens!$I$14:$I$21,
        Calculate_cap_emi_sens!$BD$14:$BD$21, "Not found", 0), LOOKUP(K121,EOL_R!$C$24:$D$24,EOL_R!$C$26:$D$26) + _xlfn.XLOOKUP(J121,EOL_R!$C$18:$N$18,EOL_R!$C$20:$N$20) + _xlfn.XLOOKUP(B121&amp;"|"&amp;E121,
        Calculate_cap_emi_sens!$L$14:$L$21&amp;"|"&amp;Calculate_cap_emi_sens!$I$14:$I$21,
        Calculate_cap_emi_sens!$BD$14:$BD$21, "Not found", 0))</f>
        <v>696.16608254966081</v>
      </c>
      <c r="V121" s="8" cm="1">
        <f t="array" ref="V121">_xlfn.SWITCH(K121,200,_xlfn.XLOOKUP(J121,Other_R!$C$18:$N$18,Other_R!$C$20:$N$20) + _xlfn.XLOOKUP(B121&amp;"|"&amp;E121,
        Calculate_cap_emi_sens!$L$14:$L$21&amp;"|"&amp;Calculate_cap_emi_sens!$I$14:$I$21,
        Calculate_cap_emi_sens!$BK$14:$BK$21, "Not found", 0), LOOKUP(K121,Other_R!$C$24:$D$24,Other_R!$C$26:$D$26) + _xlfn.XLOOKUP(J121,Other_R!$C$18:$N$18,Other_R!$C$20:$N$20) + _xlfn.XLOOKUP(B121&amp;"|"&amp;E121,
        Calculate_cap_emi_sens!$L$14:$L$21&amp;"|"&amp;Calculate_cap_emi_sens!$I$14:$I$21,
        Calculate_cap_emi_sens!$BK$14:$BK$21, "Not found", 0))</f>
        <v>2160.1844545008848</v>
      </c>
      <c r="W121" s="5">
        <f>Results_proc_ener!L121</f>
        <v>130563.78194888376</v>
      </c>
      <c r="X121" s="5">
        <f>Results_proc_ener!M121</f>
        <v>49760.002199565621</v>
      </c>
      <c r="Y121" s="5">
        <f>Results_proc_ener!N121</f>
        <v>20573.31818181818</v>
      </c>
      <c r="Z121" s="5">
        <f>Results_proc_ener!O121</f>
        <v>60230.461567499944</v>
      </c>
      <c r="AA121" s="5">
        <f>Results_proc_ener!P121</f>
        <v>130563.78194888376</v>
      </c>
      <c r="AB121" s="5">
        <f>Results_proc_ener!Q121</f>
        <v>3041.4130041846747</v>
      </c>
      <c r="AC121" s="5">
        <f>Results_proc_ener!R121</f>
        <v>242.28686831803827</v>
      </c>
      <c r="AD121" s="5">
        <f>Results_proc_ener!S121</f>
        <v>26702.392534363637</v>
      </c>
      <c r="AE121" s="5">
        <f>Results_proc_ener!T121</f>
        <v>85723.700991187201</v>
      </c>
    </row>
    <row r="122" spans="1:31" x14ac:dyDescent="0.25">
      <c r="A122" s="5"/>
      <c r="B122" s="5" t="str">
        <f t="shared" si="6"/>
        <v>Mod-Nom</v>
      </c>
      <c r="C122" s="5" t="s">
        <v>38</v>
      </c>
      <c r="D122" s="5" t="str">
        <f t="shared" si="5"/>
        <v>Nom</v>
      </c>
      <c r="E122" s="5" t="s">
        <v>3</v>
      </c>
      <c r="F122" s="5" t="s">
        <v>57</v>
      </c>
      <c r="G122" s="5" t="s">
        <v>57</v>
      </c>
      <c r="H122" s="5">
        <v>11.2</v>
      </c>
      <c r="I122" s="5"/>
      <c r="J122" s="5">
        <f t="shared" si="7"/>
        <v>12</v>
      </c>
      <c r="K122" s="5">
        <v>1000</v>
      </c>
      <c r="L122" s="8" cm="1">
        <f t="array" ref="L122">_xlfn.SWITCH(K122,200,_xlfn.XLOOKUP(J122,Manufacture!$C$18:$N$18,Manufacture!$C$20:$N$20) + _xlfn.XLOOKUP(B122&amp;"|"&amp;E122,
        Calculate_cap_emi!$L$14:$L$21&amp;"|"&amp;Calculate_cap_emi!$I$14:$I$21,
        Calculate_cap_emi!$AI$14:$AI$21, "Not found", 0), LOOKUP(K122,Manufacture!$C$24:$D$24,Manufacture!$C$26:$D$26) + _xlfn.XLOOKUP(J122,Manufacture!$C$18:$N$18,Manufacture!$C$20:$N$20) + _xlfn.XLOOKUP(B122&amp;"|"&amp;E122,
        Calculate_cap_emi!$L$14:$L$21&amp;"|"&amp;Calculate_cap_emi!$I$14:$I$21,
        Calculate_cap_emi!$AI$14:$AI$21, "Not found", 0))</f>
        <v>4385.7422297507746</v>
      </c>
      <c r="M122" s="8">
        <f>_xlfn.XLOOKUP(J122,Manufacture!$C$18:$N$18,Manufacture!$C$20:$N$20)</f>
        <v>1988.4282352941175</v>
      </c>
      <c r="N122" s="8" cm="1">
        <f t="array" ref="N122">_xlfn.SWITCH(K122,200,0,LOOKUP(K122,Manufacture!$C$24:$D$24,Manufacture!$C$26:$D$26))</f>
        <v>659.59090909090912</v>
      </c>
      <c r="O122" s="5" cm="1">
        <f t="array" ref="O122">_xlfn.XLOOKUP(B122&amp;"|"&amp;E122,
        Calculate_cap_emi!$L$14:$L$21&amp;"|"&amp;Calculate_cap_emi!$I$14:$I$21,
        Calculate_cap_emi!$AI$14:$AI$21, "Not found", 0)</f>
        <v>1737.7230853657481</v>
      </c>
      <c r="P122" s="8">
        <f t="shared" si="8"/>
        <v>4385.7422297507746</v>
      </c>
      <c r="Q122" s="8" cm="1">
        <f t="array" ref="Q122">_xlfn.SWITCH(K122,200,_xlfn.XLOOKUP(J122,Distribution!$C$18:$N$18,Distribution!$C$20:$N$20) + _xlfn.XLOOKUP(B122&amp;"|"&amp;E122,
        Calculate_cap_emi!$L$14:$L$21&amp;"|"&amp;Calculate_cap_emi!$I$14:$I$21,
        Calculate_cap_emi!$AP$14:$AP$21, "Not found", 0), LOOKUP(K122,Distribution!$C$24:$D$24,Distribution!$C$26:$D$26) + _xlfn.XLOOKUP(J122,Distribution!$C$18:$N$18,Distribution!$C$20:$N$20) + _xlfn.XLOOKUP(B122&amp;"|"&amp;E122,
        Calculate_cap_emi!$L$14:$L$21&amp;"|"&amp;Calculate_cap_emi!$I$14:$I$21,
        Calculate_cap_emi!$AP$14:$AP$21, "Not found", 0))</f>
        <v>145.74318792896827</v>
      </c>
      <c r="R122" s="8" cm="1">
        <f t="array" ref="R122">_xlfn.SWITCH(K122,200,_xlfn.XLOOKUP(J122,Installation!$C$18:$N$18,Installation!$C$20:$N$20) + _xlfn.XLOOKUP(B122&amp;"|"&amp;E122,
        Calculate_cap_emi!$L$14:$L$21&amp;"|"&amp;Calculate_cap_emi!$I$14:$I$21,
        Calculate_cap_emi!$AW$14:$AW$21, "Not found", 0), LOOKUP(K122,Installation!$C$24:$D$24,Installation!$C$26:$D$26) + _xlfn.XLOOKUP(J122,Installation!$C$18:$N$18,Installation!$C$20:$N$20) + _xlfn.XLOOKUP(B122&amp;"|"&amp;E122,
        Calculate_cap_emi!$L$14:$L$21&amp;"|"&amp;Calculate_cap_emi!$I$14:$I$21,
        Calculate_cap_emi!$AW$14:$AW$21, "Not found", 0))</f>
        <v>130.91301733225265</v>
      </c>
      <c r="S122" s="8" cm="1">
        <f t="array" ref="S122">_xlfn.SWITCH(K122,200,_xlfn.XLOOKUP(J122,EOL!$C$18:$N$18,EOL!$C$20:$N$20) + _xlfn.XLOOKUP(B122&amp;"|"&amp;E122,
        Calculate_cap_emi!$L$14:$L$21&amp;"|"&amp;Calculate_cap_emi!$I$14:$I$21,
        Calculate_cap_emi!$BD$14:$BD$21, "Not found", 0), LOOKUP(K122,EOL!$C$24:$D$24,EOL!$C$26:$D$26) + _xlfn.XLOOKUP(J122,EOL!$C$18:$N$18,EOL!$C$20:$N$20) + _xlfn.XLOOKUP(B122&amp;"|"&amp;E122,
        Calculate_cap_emi!$L$14:$L$21&amp;"|"&amp;Calculate_cap_emi!$I$14:$I$21,
        Calculate_cap_emi!$BD$14:$BD$21, "Not found", 0))</f>
        <v>890.89764679321513</v>
      </c>
      <c r="T122" s="8" cm="1">
        <f t="array" ref="T122">_xlfn.SWITCH(K122,200,_xlfn.XLOOKUP(J122,Other!$C$18:$N$18,Other!$C$20:$N$20) + _xlfn.XLOOKUP(B122&amp;"|"&amp;E122,
        Calculate_cap_emi!$L$14:$L$21&amp;"|"&amp;Calculate_cap_emi!$I$14:$I$21,
        Calculate_cap_emi!$BK$14:$BK$21, "Not found", 0), LOOKUP(K122,Other!$C$24:$D$24,Other!$C$26:$D$26) + _xlfn.XLOOKUP(J122,Other!$C$18:$N$18,Other!$C$20:$N$20) + _xlfn.XLOOKUP(B122&amp;"|"&amp;E122,
        Calculate_cap_emi!$L$14:$L$21&amp;"|"&amp;Calculate_cap_emi!$I$14:$I$21,
        Calculate_cap_emi!$BK$14:$BK$21, "Not found", 0))</f>
        <v>2678.7211752343746</v>
      </c>
      <c r="U122" s="8" cm="1">
        <f t="array" ref="U122">_xlfn.SWITCH(K122,200,_xlfn.XLOOKUP(J122,EOL_R!$C$18:$N$18,EOL_R!$C$20:$N$20) + _xlfn.XLOOKUP(B122&amp;"|"&amp;E122,
        Calculate_cap_emi_sens!$L$14:$L$21&amp;"|"&amp;Calculate_cap_emi_sens!$I$14:$I$21,
        Calculate_cap_emi_sens!$BD$14:$BD$21, "Not found", 0), LOOKUP(K122,EOL_R!$C$24:$D$24,EOL_R!$C$26:$D$26) + _xlfn.XLOOKUP(J122,EOL_R!$C$18:$N$18,EOL_R!$C$20:$N$20) + _xlfn.XLOOKUP(B122&amp;"|"&amp;E122,
        Calculate_cap_emi_sens!$L$14:$L$21&amp;"|"&amp;Calculate_cap_emi_sens!$I$14:$I$21,
        Calculate_cap_emi_sens!$BD$14:$BD$21, "Not found", 0))</f>
        <v>720.33638507854062</v>
      </c>
      <c r="V122" s="8" cm="1">
        <f t="array" ref="V122">_xlfn.SWITCH(K122,200,_xlfn.XLOOKUP(J122,Other_R!$C$18:$N$18,Other_R!$C$20:$N$20) + _xlfn.XLOOKUP(B122&amp;"|"&amp;E122,
        Calculate_cap_emi_sens!$L$14:$L$21&amp;"|"&amp;Calculate_cap_emi_sens!$I$14:$I$21,
        Calculate_cap_emi_sens!$BK$14:$BK$21, "Not found", 0), LOOKUP(K122,Other_R!$C$24:$D$24,Other_R!$C$26:$D$26) + _xlfn.XLOOKUP(J122,Other_R!$C$18:$N$18,Other_R!$C$20:$N$20) + _xlfn.XLOOKUP(B122&amp;"|"&amp;E122,
        Calculate_cap_emi_sens!$L$14:$L$21&amp;"|"&amp;Calculate_cap_emi_sens!$I$14:$I$21,
        Calculate_cap_emi_sens!$BK$14:$BK$21, "Not found", 0))</f>
        <v>2175.5663315287975</v>
      </c>
      <c r="W122" s="5">
        <f>Results_proc_ener!L122</f>
        <v>131628.29774977738</v>
      </c>
      <c r="X122" s="5">
        <f>Results_proc_ener!M122</f>
        <v>50824.518000459248</v>
      </c>
      <c r="Y122" s="5">
        <f>Results_proc_ener!N122</f>
        <v>20573.31818181818</v>
      </c>
      <c r="Z122" s="5">
        <f>Results_proc_ener!O122</f>
        <v>60230.461567499944</v>
      </c>
      <c r="AA122" s="5">
        <f>Results_proc_ener!P122</f>
        <v>131628.29774977738</v>
      </c>
      <c r="AB122" s="5">
        <f>Results_proc_ener!Q122</f>
        <v>3139.5258835901241</v>
      </c>
      <c r="AC122" s="5">
        <f>Results_proc_ener!R122</f>
        <v>249.66410309810493</v>
      </c>
      <c r="AD122" s="5">
        <f>Results_proc_ener!S122</f>
        <v>26702.392534363637</v>
      </c>
      <c r="AE122" s="5">
        <f>Results_proc_ener!T122</f>
        <v>85789.370241075623</v>
      </c>
    </row>
    <row r="123" spans="1:31" x14ac:dyDescent="0.25">
      <c r="A123" s="5"/>
      <c r="B123" s="5" t="str">
        <f t="shared" si="6"/>
        <v>Mod-Nom</v>
      </c>
      <c r="C123" s="5" t="s">
        <v>38</v>
      </c>
      <c r="D123" s="5" t="str">
        <f t="shared" si="5"/>
        <v>Nom</v>
      </c>
      <c r="E123" s="5" t="s">
        <v>3</v>
      </c>
      <c r="F123" s="5" t="s">
        <v>57</v>
      </c>
      <c r="G123" s="5" t="s">
        <v>57</v>
      </c>
      <c r="H123" s="5">
        <v>14</v>
      </c>
      <c r="I123" s="5"/>
      <c r="J123" s="5">
        <f t="shared" si="7"/>
        <v>14</v>
      </c>
      <c r="K123" s="5">
        <v>1000</v>
      </c>
      <c r="L123" s="8" cm="1">
        <f t="array" ref="L123">_xlfn.SWITCH(K123,200,_xlfn.XLOOKUP(J123,Manufacture!$C$18:$N$18,Manufacture!$C$20:$N$20) + _xlfn.XLOOKUP(B123&amp;"|"&amp;E123,
        Calculate_cap_emi!$L$14:$L$21&amp;"|"&amp;Calculate_cap_emi!$I$14:$I$21,
        Calculate_cap_emi!$AI$14:$AI$21, "Not found", 0), LOOKUP(K123,Manufacture!$C$24:$D$24,Manufacture!$C$26:$D$26) + _xlfn.XLOOKUP(J123,Manufacture!$C$18:$N$18,Manufacture!$C$20:$N$20) + _xlfn.XLOOKUP(B123&amp;"|"&amp;E123,
        Calculate_cap_emi!$L$14:$L$21&amp;"|"&amp;Calculate_cap_emi!$I$14:$I$21,
        Calculate_cap_emi!$AI$14:$AI$21, "Not found", 0))</f>
        <v>4464.9245826919514</v>
      </c>
      <c r="M123" s="8">
        <f>_xlfn.XLOOKUP(J123,Manufacture!$C$18:$N$18,Manufacture!$C$20:$N$20)</f>
        <v>2067.610588235294</v>
      </c>
      <c r="N123" s="8" cm="1">
        <f t="array" ref="N123">_xlfn.SWITCH(K123,200,0,LOOKUP(K123,Manufacture!$C$24:$D$24,Manufacture!$C$26:$D$26))</f>
        <v>659.59090909090912</v>
      </c>
      <c r="O123" s="5" cm="1">
        <f t="array" ref="O123">_xlfn.XLOOKUP(B123&amp;"|"&amp;E123,
        Calculate_cap_emi!$L$14:$L$21&amp;"|"&amp;Calculate_cap_emi!$I$14:$I$21,
        Calculate_cap_emi!$AI$14:$AI$21, "Not found", 0)</f>
        <v>1737.7230853657481</v>
      </c>
      <c r="P123" s="8">
        <f t="shared" si="8"/>
        <v>4464.9245826919514</v>
      </c>
      <c r="Q123" s="8" cm="1">
        <f t="array" ref="Q123">_xlfn.SWITCH(K123,200,_xlfn.XLOOKUP(J123,Distribution!$C$18:$N$18,Distribution!$C$20:$N$20) + _xlfn.XLOOKUP(B123&amp;"|"&amp;E123,
        Calculate_cap_emi!$L$14:$L$21&amp;"|"&amp;Calculate_cap_emi!$I$14:$I$21,
        Calculate_cap_emi!$AP$14:$AP$21, "Not found", 0), LOOKUP(K123,Distribution!$C$24:$D$24,Distribution!$C$26:$D$26) + _xlfn.XLOOKUP(J123,Distribution!$C$18:$N$18,Distribution!$C$20:$N$20) + _xlfn.XLOOKUP(B123&amp;"|"&amp;E123,
        Calculate_cap_emi!$L$14:$L$21&amp;"|"&amp;Calculate_cap_emi!$I$14:$I$21,
        Calculate_cap_emi!$AP$14:$AP$21, "Not found", 0))</f>
        <v>148.83160975743883</v>
      </c>
      <c r="R123" s="8" cm="1">
        <f t="array" ref="R123">_xlfn.SWITCH(K123,200,_xlfn.XLOOKUP(J123,Installation!$C$18:$N$18,Installation!$C$20:$N$20) + _xlfn.XLOOKUP(B123&amp;"|"&amp;E123,
        Calculate_cap_emi!$L$14:$L$21&amp;"|"&amp;Calculate_cap_emi!$I$14:$I$21,
        Calculate_cap_emi!$AW$14:$AW$21, "Not found", 0), LOOKUP(K123,Installation!$C$24:$D$24,Installation!$C$26:$D$26) + _xlfn.XLOOKUP(J123,Installation!$C$18:$N$18,Installation!$C$20:$N$20) + _xlfn.XLOOKUP(B123&amp;"|"&amp;E123,
        Calculate_cap_emi!$L$14:$L$21&amp;"|"&amp;Calculate_cap_emi!$I$14:$I$21,
        Calculate_cap_emi!$AW$14:$AW$21, "Not found", 0))</f>
        <v>135.83117385229718</v>
      </c>
      <c r="S123" s="8" cm="1">
        <f t="array" ref="S123">_xlfn.SWITCH(K123,200,_xlfn.XLOOKUP(J123,EOL!$C$18:$N$18,EOL!$C$20:$N$20) + _xlfn.XLOOKUP(B123&amp;"|"&amp;E123,
        Calculate_cap_emi!$L$14:$L$21&amp;"|"&amp;Calculate_cap_emi!$I$14:$I$21,
        Calculate_cap_emi!$BD$14:$BD$21, "Not found", 0), LOOKUP(K123,EOL!$C$24:$D$24,EOL!$C$26:$D$26) + _xlfn.XLOOKUP(J123,EOL!$C$18:$N$18,EOL!$C$20:$N$20) + _xlfn.XLOOKUP(B123&amp;"|"&amp;E123,
        Calculate_cap_emi!$L$14:$L$21&amp;"|"&amp;Calculate_cap_emi!$I$14:$I$21,
        Calculate_cap_emi!$BD$14:$BD$21, "Not found", 0))</f>
        <v>920.67811738145042</v>
      </c>
      <c r="T123" s="8" cm="1">
        <f t="array" ref="T123">_xlfn.SWITCH(K123,200,_xlfn.XLOOKUP(J123,Other!$C$18:$N$18,Other!$C$20:$N$20) + _xlfn.XLOOKUP(B123&amp;"|"&amp;E123,
        Calculate_cap_emi!$L$14:$L$21&amp;"|"&amp;Calculate_cap_emi!$I$14:$I$21,
        Calculate_cap_emi!$BK$14:$BK$21, "Not found", 0), LOOKUP(K123,Other!$C$24:$D$24,Other!$C$26:$D$26) + _xlfn.XLOOKUP(J123,Other!$C$18:$N$18,Other!$C$20:$N$20) + _xlfn.XLOOKUP(B123&amp;"|"&amp;E123,
        Calculate_cap_emi!$L$14:$L$21&amp;"|"&amp;Calculate_cap_emi!$I$14:$I$21,
        Calculate_cap_emi!$BK$14:$BK$21, "Not found", 0))</f>
        <v>2722.5006751599881</v>
      </c>
      <c r="U123" s="8" cm="1">
        <f t="array" ref="U123">_xlfn.SWITCH(K123,200,_xlfn.XLOOKUP(J123,EOL_R!$C$18:$N$18,EOL_R!$C$20:$N$20) + _xlfn.XLOOKUP(B123&amp;"|"&amp;E123,
        Calculate_cap_emi_sens!$L$14:$L$21&amp;"|"&amp;Calculate_cap_emi_sens!$I$14:$I$21,
        Calculate_cap_emi_sens!$BD$14:$BD$21, "Not found", 0), LOOKUP(K123,EOL_R!$C$24:$D$24,EOL_R!$C$26:$D$26) + _xlfn.XLOOKUP(J123,EOL_R!$C$18:$N$18,EOL_R!$C$20:$N$20) + _xlfn.XLOOKUP(B123&amp;"|"&amp;E123,
        Calculate_cap_emi_sens!$L$14:$L$21&amp;"|"&amp;Calculate_cap_emi_sens!$I$14:$I$21,
        Calculate_cap_emi_sens!$BD$14:$BD$21, "Not found", 0))</f>
        <v>739.13198237683332</v>
      </c>
      <c r="V123" s="8" cm="1">
        <f t="array" ref="V123">_xlfn.SWITCH(K123,200,_xlfn.XLOOKUP(J123,Other_R!$C$18:$N$18,Other_R!$C$20:$N$20) + _xlfn.XLOOKUP(B123&amp;"|"&amp;E123,
        Calculate_cap_emi_sens!$L$14:$L$21&amp;"|"&amp;Calculate_cap_emi_sens!$I$14:$I$21,
        Calculate_cap_emi_sens!$BK$14:$BK$21, "Not found", 0), LOOKUP(K123,Other_R!$C$24:$D$24,Other_R!$C$26:$D$26) + _xlfn.XLOOKUP(J123,Other_R!$C$18:$N$18,Other_R!$C$20:$N$20) + _xlfn.XLOOKUP(B123&amp;"|"&amp;E123,
        Calculate_cap_emi_sens!$L$14:$L$21&amp;"|"&amp;Calculate_cap_emi_sens!$I$14:$I$21,
        Calculate_cap_emi_sens!$BK$14:$BK$21, "Not found", 0))</f>
        <v>2192.3999997343144</v>
      </c>
      <c r="W123" s="5">
        <f>Results_proc_ener!L123</f>
        <v>132337.97495037306</v>
      </c>
      <c r="X123" s="5">
        <f>Results_proc_ener!M123</f>
        <v>51534.195201054921</v>
      </c>
      <c r="Y123" s="5">
        <f>Results_proc_ener!N123</f>
        <v>20573.31818181818</v>
      </c>
      <c r="Z123" s="5">
        <f>Results_proc_ener!O123</f>
        <v>60230.461567499944</v>
      </c>
      <c r="AA123" s="5">
        <f>Results_proc_ener!P123</f>
        <v>132337.97495037306</v>
      </c>
      <c r="AB123" s="5">
        <f>Results_proc_ener!Q123</f>
        <v>3204.9344698604245</v>
      </c>
      <c r="AC123" s="5">
        <f>Results_proc_ener!R123</f>
        <v>254.58225961814946</v>
      </c>
      <c r="AD123" s="5">
        <f>Results_proc_ener!S123</f>
        <v>26702.392534363637</v>
      </c>
      <c r="AE123" s="5">
        <f>Results_proc_ener!T123</f>
        <v>85833.149741001238</v>
      </c>
    </row>
    <row r="124" spans="1:31" x14ac:dyDescent="0.25">
      <c r="A124" s="5"/>
      <c r="B124" s="5" t="str">
        <f t="shared" si="6"/>
        <v>Mass-Nom</v>
      </c>
      <c r="C124" s="5" t="s">
        <v>37</v>
      </c>
      <c r="D124" s="5" t="str">
        <f t="shared" si="5"/>
        <v>Nom</v>
      </c>
      <c r="E124" s="5" t="s">
        <v>11</v>
      </c>
      <c r="F124" s="5" t="s">
        <v>54</v>
      </c>
      <c r="G124" s="5" t="s">
        <v>54</v>
      </c>
      <c r="H124" s="5">
        <v>8.5</v>
      </c>
      <c r="I124" s="5"/>
      <c r="J124" s="5">
        <f t="shared" si="7"/>
        <v>9</v>
      </c>
      <c r="K124" s="5">
        <v>200</v>
      </c>
      <c r="L124" s="8" cm="1">
        <f t="array" ref="L124">_xlfn.SWITCH(K124,200,_xlfn.XLOOKUP(J124,Manufacture!$C$18:$N$18,Manufacture!$C$20:$N$20) + _xlfn.XLOOKUP(B124&amp;"|"&amp;E124,
        Calculate_cap_emi!$L$14:$L$21&amp;"|"&amp;Calculate_cap_emi!$I$14:$I$21,
        Calculate_cap_emi!$AI$14:$AI$21, "Not found", 0), LOOKUP(K124,Manufacture!$C$24:$D$24,Manufacture!$C$26:$D$26) + _xlfn.XLOOKUP(J124,Manufacture!$C$18:$N$18,Manufacture!$C$20:$N$20) + _xlfn.XLOOKUP(B124&amp;"|"&amp;E124,
        Calculate_cap_emi!$L$14:$L$21&amp;"|"&amp;Calculate_cap_emi!$I$14:$I$21,
        Calculate_cap_emi!$AI$14:$AI$21, "Not found", 0))</f>
        <v>3693.8603020809642</v>
      </c>
      <c r="M124" s="8">
        <f>_xlfn.XLOOKUP(J124,Manufacture!$C$18:$N$18,Manufacture!$C$20:$N$20)</f>
        <v>1869.654705882353</v>
      </c>
      <c r="N124" s="8" cm="1">
        <f t="array" ref="N124">_xlfn.SWITCH(K124,200,0,LOOKUP(K124,Manufacture!$C$24:$D$24,Manufacture!$C$26:$D$26))</f>
        <v>0</v>
      </c>
      <c r="O124" s="5" cm="1">
        <f t="array" ref="O124">_xlfn.XLOOKUP(B124&amp;"|"&amp;E124,
        Calculate_cap_emi!$L$14:$L$21&amp;"|"&amp;Calculate_cap_emi!$I$14:$I$21,
        Calculate_cap_emi!$AI$14:$AI$21, "Not found", 0)</f>
        <v>1824.2055961986114</v>
      </c>
      <c r="P124" s="8">
        <f t="shared" si="8"/>
        <v>3693.8603020809642</v>
      </c>
      <c r="Q124" s="8" cm="1">
        <f t="array" ref="Q124">_xlfn.SWITCH(K124,200,_xlfn.XLOOKUP(J124,Distribution!$C$18:$N$18,Distribution!$C$20:$N$20) + _xlfn.XLOOKUP(B124&amp;"|"&amp;E124,
        Calculate_cap_emi!$L$14:$L$21&amp;"|"&amp;Calculate_cap_emi!$I$14:$I$21,
        Calculate_cap_emi!$AP$14:$AP$21, "Not found", 0), LOOKUP(K124,Distribution!$C$24:$D$24,Distribution!$C$26:$D$26) + _xlfn.XLOOKUP(J124,Distribution!$C$18:$N$18,Distribution!$C$20:$N$20) + _xlfn.XLOOKUP(B124&amp;"|"&amp;E124,
        Calculate_cap_emi!$L$14:$L$21&amp;"|"&amp;Calculate_cap_emi!$I$14:$I$21,
        Calculate_cap_emi!$AP$14:$AP$21, "Not found", 0))</f>
        <v>128.42994435621449</v>
      </c>
      <c r="R124" s="8" cm="1">
        <f t="array" ref="R124">_xlfn.SWITCH(K124,200,_xlfn.XLOOKUP(J124,Installation!$C$18:$N$18,Installation!$C$20:$N$20) + _xlfn.XLOOKUP(B124&amp;"|"&amp;E124,
        Calculate_cap_emi!$L$14:$L$21&amp;"|"&amp;Calculate_cap_emi!$I$14:$I$21,
        Calculate_cap_emi!$AW$14:$AW$21, "Not found", 0), LOOKUP(K124,Installation!$C$24:$D$24,Installation!$C$26:$D$26) + _xlfn.XLOOKUP(J124,Installation!$C$18:$N$18,Installation!$C$20:$N$20) + _xlfn.XLOOKUP(B124&amp;"|"&amp;E124,
        Calculate_cap_emi!$L$14:$L$21&amp;"|"&amp;Calculate_cap_emi!$I$14:$I$21,
        Calculate_cap_emi!$AW$14:$AW$21, "Not found", 0))</f>
        <v>118.01467807482803</v>
      </c>
      <c r="S124" s="8" cm="1">
        <f t="array" ref="S124">_xlfn.SWITCH(K124,200,_xlfn.XLOOKUP(J124,EOL!$C$18:$N$18,EOL!$C$20:$N$20) + _xlfn.XLOOKUP(B124&amp;"|"&amp;E124,
        Calculate_cap_emi!$L$14:$L$21&amp;"|"&amp;Calculate_cap_emi!$I$14:$I$21,
        Calculate_cap_emi!$BD$14:$BD$21, "Not found", 0), LOOKUP(K124,EOL!$C$24:$D$24,EOL!$C$26:$D$26) + _xlfn.XLOOKUP(J124,EOL!$C$18:$N$18,EOL!$C$20:$N$20) + _xlfn.XLOOKUP(B124&amp;"|"&amp;E124,
        Calculate_cap_emi!$L$14:$L$21&amp;"|"&amp;Calculate_cap_emi!$I$14:$I$21,
        Calculate_cap_emi!$BD$14:$BD$21, "Not found", 0))</f>
        <v>590.81243354591913</v>
      </c>
      <c r="T124" s="8" cm="1">
        <f t="array" ref="T124">_xlfn.SWITCH(K124,200,_xlfn.XLOOKUP(J124,Other!$C$18:$N$18,Other!$C$20:$N$20) + _xlfn.XLOOKUP(B124&amp;"|"&amp;E124,
        Calculate_cap_emi!$L$14:$L$21&amp;"|"&amp;Calculate_cap_emi!$I$14:$I$21,
        Calculate_cap_emi!$BK$14:$BK$21, "Not found", 0), LOOKUP(K124,Other!$C$24:$D$24,Other!$C$26:$D$26) + _xlfn.XLOOKUP(J124,Other!$C$18:$N$18,Other!$C$20:$N$20) + _xlfn.XLOOKUP(B124&amp;"|"&amp;E124,
        Calculate_cap_emi!$L$14:$L$21&amp;"|"&amp;Calculate_cap_emi!$I$14:$I$21,
        Calculate_cap_emi!$BK$14:$BK$21, "Not found", 0))</f>
        <v>2818.851378965328</v>
      </c>
      <c r="U124" s="8" cm="1">
        <f t="array" ref="U124">_xlfn.SWITCH(K124,200,_xlfn.XLOOKUP(J124,EOL_R!$C$18:$N$18,EOL_R!$C$20:$N$20) + _xlfn.XLOOKUP(B124&amp;"|"&amp;E124,
        Calculate_cap_emi_sens!$L$14:$L$21&amp;"|"&amp;Calculate_cap_emi_sens!$I$14:$I$21,
        Calculate_cap_emi_sens!$BD$14:$BD$21, "Not found", 0), LOOKUP(K124,EOL_R!$C$24:$D$24,EOL_R!$C$26:$D$26) + _xlfn.XLOOKUP(J124,EOL_R!$C$18:$N$18,EOL_R!$C$20:$N$20) + _xlfn.XLOOKUP(B124&amp;"|"&amp;E124,
        Calculate_cap_emi_sens!$L$14:$L$21&amp;"|"&amp;Calculate_cap_emi_sens!$I$14:$I$21,
        Calculate_cap_emi_sens!$BD$14:$BD$21, "Not found", 0))</f>
        <v>440.75157518471764</v>
      </c>
      <c r="V124" s="8" cm="1">
        <f t="array" ref="V124">_xlfn.SWITCH(K124,200,_xlfn.XLOOKUP(J124,Other_R!$C$18:$N$18,Other_R!$C$20:$N$20) + _xlfn.XLOOKUP(B124&amp;"|"&amp;E124,
        Calculate_cap_emi_sens!$L$14:$L$21&amp;"|"&amp;Calculate_cap_emi_sens!$I$14:$I$21,
        Calculate_cap_emi_sens!$BK$14:$BK$21, "Not found", 0), LOOKUP(K124,Other_R!$C$24:$D$24,Other_R!$C$26:$D$26) + _xlfn.XLOOKUP(J124,Other_R!$C$18:$N$18,Other_R!$C$20:$N$20) + _xlfn.XLOOKUP(B124&amp;"|"&amp;E124,
        Calculate_cap_emi_sens!$L$14:$L$21&amp;"|"&amp;Calculate_cap_emi_sens!$I$14:$I$21,
        Calculate_cap_emi_sens!$BK$14:$BK$21, "Not found", 0))</f>
        <v>2365.9839081202599</v>
      </c>
      <c r="W124" s="5">
        <f>Results_proc_ener!L124</f>
        <v>112500.09717481563</v>
      </c>
      <c r="X124" s="5">
        <f>Results_proc_ener!M124</f>
        <v>49760.002199565621</v>
      </c>
      <c r="Y124" s="5">
        <f>Results_proc_ener!N124</f>
        <v>0</v>
      </c>
      <c r="Z124" s="5">
        <f>Results_proc_ener!O124</f>
        <v>62740.094975250002</v>
      </c>
      <c r="AA124" s="5">
        <f>Results_proc_ener!P124</f>
        <v>112500.09717481563</v>
      </c>
      <c r="AB124" s="5">
        <f>Results_proc_ener!Q124</f>
        <v>2719.9720639434936</v>
      </c>
      <c r="AC124" s="5">
        <f>Results_proc_ener!R124</f>
        <v>280.54490153139051</v>
      </c>
      <c r="AD124" s="5">
        <f>Results_proc_ener!S124</f>
        <v>6276.8164913999999</v>
      </c>
      <c r="AE124" s="5">
        <f>Results_proc_ener!T124</f>
        <v>95266.356479287206</v>
      </c>
    </row>
    <row r="125" spans="1:31" x14ac:dyDescent="0.25">
      <c r="A125" s="5"/>
      <c r="B125" s="5" t="str">
        <f t="shared" si="6"/>
        <v>Mass-Nom</v>
      </c>
      <c r="C125" s="5" t="s">
        <v>37</v>
      </c>
      <c r="D125" s="5" t="str">
        <f t="shared" si="5"/>
        <v>Nom</v>
      </c>
      <c r="E125" s="5" t="s">
        <v>11</v>
      </c>
      <c r="F125" s="5" t="s">
        <v>54</v>
      </c>
      <c r="G125" s="5" t="s">
        <v>54</v>
      </c>
      <c r="H125" s="5">
        <v>11.2</v>
      </c>
      <c r="I125" s="5"/>
      <c r="J125" s="5">
        <f t="shared" si="7"/>
        <v>12</v>
      </c>
      <c r="K125" s="5">
        <v>200</v>
      </c>
      <c r="L125" s="8" cm="1">
        <f t="array" ref="L125">_xlfn.SWITCH(K125,200,_xlfn.XLOOKUP(J125,Manufacture!$C$18:$N$18,Manufacture!$C$20:$N$20) + _xlfn.XLOOKUP(B125&amp;"|"&amp;E125,
        Calculate_cap_emi!$L$14:$L$21&amp;"|"&amp;Calculate_cap_emi!$I$14:$I$21,
        Calculate_cap_emi!$AI$14:$AI$21, "Not found", 0), LOOKUP(K125,Manufacture!$C$24:$D$24,Manufacture!$C$26:$D$26) + _xlfn.XLOOKUP(J125,Manufacture!$C$18:$N$18,Manufacture!$C$20:$N$20) + _xlfn.XLOOKUP(B125&amp;"|"&amp;E125,
        Calculate_cap_emi!$L$14:$L$21&amp;"|"&amp;Calculate_cap_emi!$I$14:$I$21,
        Calculate_cap_emi!$AI$14:$AI$21, "Not found", 0))</f>
        <v>3812.6338314927289</v>
      </c>
      <c r="M125" s="8">
        <f>_xlfn.XLOOKUP(J125,Manufacture!$C$18:$N$18,Manufacture!$C$20:$N$20)</f>
        <v>1988.4282352941175</v>
      </c>
      <c r="N125" s="8" cm="1">
        <f t="array" ref="N125">_xlfn.SWITCH(K125,200,0,LOOKUP(K125,Manufacture!$C$24:$D$24,Manufacture!$C$26:$D$26))</f>
        <v>0</v>
      </c>
      <c r="O125" s="5" cm="1">
        <f t="array" ref="O125">_xlfn.XLOOKUP(B125&amp;"|"&amp;E125,
        Calculate_cap_emi!$L$14:$L$21&amp;"|"&amp;Calculate_cap_emi!$I$14:$I$21,
        Calculate_cap_emi!$AI$14:$AI$21, "Not found", 0)</f>
        <v>1824.2055961986114</v>
      </c>
      <c r="P125" s="8">
        <f t="shared" si="8"/>
        <v>3812.6338314927289</v>
      </c>
      <c r="Q125" s="8" cm="1">
        <f t="array" ref="Q125">_xlfn.SWITCH(K125,200,_xlfn.XLOOKUP(J125,Distribution!$C$18:$N$18,Distribution!$C$20:$N$20) + _xlfn.XLOOKUP(B125&amp;"|"&amp;E125,
        Calculate_cap_emi!$L$14:$L$21&amp;"|"&amp;Calculate_cap_emi!$I$14:$I$21,
        Calculate_cap_emi!$AP$14:$AP$21, "Not found", 0), LOOKUP(K125,Distribution!$C$24:$D$24,Distribution!$C$26:$D$26) + _xlfn.XLOOKUP(J125,Distribution!$C$18:$N$18,Distribution!$C$20:$N$20) + _xlfn.XLOOKUP(B125&amp;"|"&amp;E125,
        Calculate_cap_emi!$L$14:$L$21&amp;"|"&amp;Calculate_cap_emi!$I$14:$I$21,
        Calculate_cap_emi!$AP$14:$AP$21, "Not found", 0))</f>
        <v>133.06257709892037</v>
      </c>
      <c r="R125" s="8" cm="1">
        <f t="array" ref="R125">_xlfn.SWITCH(K125,200,_xlfn.XLOOKUP(J125,Installation!$C$18:$N$18,Installation!$C$20:$N$20) + _xlfn.XLOOKUP(B125&amp;"|"&amp;E125,
        Calculate_cap_emi!$L$14:$L$21&amp;"|"&amp;Calculate_cap_emi!$I$14:$I$21,
        Calculate_cap_emi!$AW$14:$AW$21, "Not found", 0), LOOKUP(K125,Installation!$C$24:$D$24,Installation!$C$26:$D$26) + _xlfn.XLOOKUP(J125,Installation!$C$18:$N$18,Installation!$C$20:$N$20) + _xlfn.XLOOKUP(B125&amp;"|"&amp;E125,
        Calculate_cap_emi!$L$14:$L$21&amp;"|"&amp;Calculate_cap_emi!$I$14:$I$21,
        Calculate_cap_emi!$AW$14:$AW$21, "Not found", 0))</f>
        <v>125.3919128548947</v>
      </c>
      <c r="S125" s="8" cm="1">
        <f t="array" ref="S125">_xlfn.SWITCH(K125,200,_xlfn.XLOOKUP(J125,EOL!$C$18:$N$18,EOL!$C$20:$N$20) + _xlfn.XLOOKUP(B125&amp;"|"&amp;E125,
        Calculate_cap_emi!$L$14:$L$21&amp;"|"&amp;Calculate_cap_emi!$I$14:$I$21,
        Calculate_cap_emi!$BD$14:$BD$21, "Not found", 0), LOOKUP(K125,EOL!$C$24:$D$24,EOL!$C$26:$D$26) + _xlfn.XLOOKUP(J125,EOL!$C$18:$N$18,EOL!$C$20:$N$20) + _xlfn.XLOOKUP(B125&amp;"|"&amp;E125,
        Calculate_cap_emi!$L$14:$L$21&amp;"|"&amp;Calculate_cap_emi!$I$14:$I$21,
        Calculate_cap_emi!$BD$14:$BD$21, "Not found", 0))</f>
        <v>635.48313942827201</v>
      </c>
      <c r="T125" s="8" cm="1">
        <f t="array" ref="T125">_xlfn.SWITCH(K125,200,_xlfn.XLOOKUP(J125,Other!$C$18:$N$18,Other!$C$20:$N$20) + _xlfn.XLOOKUP(B125&amp;"|"&amp;E125,
        Calculate_cap_emi!$L$14:$L$21&amp;"|"&amp;Calculate_cap_emi!$I$14:$I$21,
        Calculate_cap_emi!$BK$14:$BK$21, "Not found", 0), LOOKUP(K125,Other!$C$24:$D$24,Other!$C$26:$D$26) + _xlfn.XLOOKUP(J125,Other!$C$18:$N$18,Other!$C$20:$N$20) + _xlfn.XLOOKUP(B125&amp;"|"&amp;E125,
        Calculate_cap_emi!$L$14:$L$21&amp;"|"&amp;Calculate_cap_emi!$I$14:$I$21,
        Calculate_cap_emi!$BK$14:$BK$21, "Not found", 0))</f>
        <v>2884.5206288537497</v>
      </c>
      <c r="U125" s="8" cm="1">
        <f t="array" ref="U125">_xlfn.SWITCH(K125,200,_xlfn.XLOOKUP(J125,EOL_R!$C$18:$N$18,EOL_R!$C$20:$N$20) + _xlfn.XLOOKUP(B125&amp;"|"&amp;E125,
        Calculate_cap_emi_sens!$L$14:$L$21&amp;"|"&amp;Calculate_cap_emi_sens!$I$14:$I$21,
        Calculate_cap_emi_sens!$BD$14:$BD$21, "Not found", 0), LOOKUP(K125,EOL_R!$C$24:$D$24,EOL_R!$C$26:$D$26) + _xlfn.XLOOKUP(J125,EOL_R!$C$18:$N$18,EOL_R!$C$20:$N$20) + _xlfn.XLOOKUP(B125&amp;"|"&amp;E125,
        Calculate_cap_emi_sens!$L$14:$L$21&amp;"|"&amp;Calculate_cap_emi_sens!$I$14:$I$21,
        Calculate_cap_emi_sens!$BD$14:$BD$21, "Not found", 0))</f>
        <v>464.9218777135975</v>
      </c>
      <c r="V125" s="8" cm="1">
        <f t="array" ref="V125">_xlfn.SWITCH(K125,200,_xlfn.XLOOKUP(J125,Other_R!$C$18:$N$18,Other_R!$C$20:$N$20) + _xlfn.XLOOKUP(B125&amp;"|"&amp;E125,
        Calculate_cap_emi_sens!$L$14:$L$21&amp;"|"&amp;Calculate_cap_emi_sens!$I$14:$I$21,
        Calculate_cap_emi_sens!$BK$14:$BK$21, "Not found", 0), LOOKUP(K125,Other_R!$C$24:$D$24,Other_R!$C$26:$D$26) + _xlfn.XLOOKUP(J125,Other_R!$C$18:$N$18,Other_R!$C$20:$N$20) + _xlfn.XLOOKUP(B125&amp;"|"&amp;E125,
        Calculate_cap_emi_sens!$L$14:$L$21&amp;"|"&amp;Calculate_cap_emi_sens!$I$14:$I$21,
        Calculate_cap_emi_sens!$BK$14:$BK$21, "Not found", 0))</f>
        <v>2381.3657851481726</v>
      </c>
      <c r="W125" s="5">
        <f>Results_proc_ener!L125</f>
        <v>113564.61297570926</v>
      </c>
      <c r="X125" s="5">
        <f>Results_proc_ener!M125</f>
        <v>50824.518000459248</v>
      </c>
      <c r="Y125" s="5">
        <f>Results_proc_ener!N125</f>
        <v>0</v>
      </c>
      <c r="Z125" s="5">
        <f>Results_proc_ener!O125</f>
        <v>62740.094975250002</v>
      </c>
      <c r="AA125" s="5">
        <f>Results_proc_ener!P125</f>
        <v>113564.61297570926</v>
      </c>
      <c r="AB125" s="5">
        <f>Results_proc_ener!Q125</f>
        <v>2818.0849433489439</v>
      </c>
      <c r="AC125" s="5">
        <f>Results_proc_ener!R125</f>
        <v>287.92213631145717</v>
      </c>
      <c r="AD125" s="5">
        <f>Results_proc_ener!S125</f>
        <v>6276.8164913999999</v>
      </c>
      <c r="AE125" s="5">
        <f>Results_proc_ener!T125</f>
        <v>95332.025729175628</v>
      </c>
    </row>
    <row r="126" spans="1:31" x14ac:dyDescent="0.25">
      <c r="A126" s="5"/>
      <c r="B126" s="5" t="str">
        <f t="shared" si="6"/>
        <v>Mass-Nom</v>
      </c>
      <c r="C126" s="5" t="s">
        <v>37</v>
      </c>
      <c r="D126" s="5" t="str">
        <f t="shared" si="5"/>
        <v>Nom</v>
      </c>
      <c r="E126" s="5" t="s">
        <v>11</v>
      </c>
      <c r="F126" s="5" t="s">
        <v>54</v>
      </c>
      <c r="G126" s="5" t="s">
        <v>54</v>
      </c>
      <c r="H126" s="5">
        <v>14</v>
      </c>
      <c r="I126" s="5"/>
      <c r="J126" s="5">
        <f t="shared" si="7"/>
        <v>14</v>
      </c>
      <c r="K126" s="5">
        <v>200</v>
      </c>
      <c r="L126" s="8" cm="1">
        <f t="array" ref="L126">_xlfn.SWITCH(K126,200,_xlfn.XLOOKUP(J126,Manufacture!$C$18:$N$18,Manufacture!$C$20:$N$20) + _xlfn.XLOOKUP(B126&amp;"|"&amp;E126,
        Calculate_cap_emi!$L$14:$L$21&amp;"|"&amp;Calculate_cap_emi!$I$14:$I$21,
        Calculate_cap_emi!$AI$14:$AI$21, "Not found", 0), LOOKUP(K126,Manufacture!$C$24:$D$24,Manufacture!$C$26:$D$26) + _xlfn.XLOOKUP(J126,Manufacture!$C$18:$N$18,Manufacture!$C$20:$N$20) + _xlfn.XLOOKUP(B126&amp;"|"&amp;E126,
        Calculate_cap_emi!$L$14:$L$21&amp;"|"&amp;Calculate_cap_emi!$I$14:$I$21,
        Calculate_cap_emi!$AI$14:$AI$21, "Not found", 0))</f>
        <v>3891.8161844339056</v>
      </c>
      <c r="M126" s="8">
        <f>_xlfn.XLOOKUP(J126,Manufacture!$C$18:$N$18,Manufacture!$C$20:$N$20)</f>
        <v>2067.610588235294</v>
      </c>
      <c r="N126" s="8" cm="1">
        <f t="array" ref="N126">_xlfn.SWITCH(K126,200,0,LOOKUP(K126,Manufacture!$C$24:$D$24,Manufacture!$C$26:$D$26))</f>
        <v>0</v>
      </c>
      <c r="O126" s="5" cm="1">
        <f t="array" ref="O126">_xlfn.XLOOKUP(B126&amp;"|"&amp;E126,
        Calculate_cap_emi!$L$14:$L$21&amp;"|"&amp;Calculate_cap_emi!$I$14:$I$21,
        Calculate_cap_emi!$AI$14:$AI$21, "Not found", 0)</f>
        <v>1824.2055961986114</v>
      </c>
      <c r="P126" s="8">
        <f t="shared" si="8"/>
        <v>3891.8161844339056</v>
      </c>
      <c r="Q126" s="8" cm="1">
        <f t="array" ref="Q126">_xlfn.SWITCH(K126,200,_xlfn.XLOOKUP(J126,Distribution!$C$18:$N$18,Distribution!$C$20:$N$20) + _xlfn.XLOOKUP(B126&amp;"|"&amp;E126,
        Calculate_cap_emi!$L$14:$L$21&amp;"|"&amp;Calculate_cap_emi!$I$14:$I$21,
        Calculate_cap_emi!$AP$14:$AP$21, "Not found", 0), LOOKUP(K126,Distribution!$C$24:$D$24,Distribution!$C$26:$D$26) + _xlfn.XLOOKUP(J126,Distribution!$C$18:$N$18,Distribution!$C$20:$N$20) + _xlfn.XLOOKUP(B126&amp;"|"&amp;E126,
        Calculate_cap_emi!$L$14:$L$21&amp;"|"&amp;Calculate_cap_emi!$I$14:$I$21,
        Calculate_cap_emi!$AP$14:$AP$21, "Not found", 0))</f>
        <v>136.15099892739093</v>
      </c>
      <c r="R126" s="8" cm="1">
        <f t="array" ref="R126">_xlfn.SWITCH(K126,200,_xlfn.XLOOKUP(J126,Installation!$C$18:$N$18,Installation!$C$20:$N$20) + _xlfn.XLOOKUP(B126&amp;"|"&amp;E126,
        Calculate_cap_emi!$L$14:$L$21&amp;"|"&amp;Calculate_cap_emi!$I$14:$I$21,
        Calculate_cap_emi!$AW$14:$AW$21, "Not found", 0), LOOKUP(K126,Installation!$C$24:$D$24,Installation!$C$26:$D$26) + _xlfn.XLOOKUP(J126,Installation!$C$18:$N$18,Installation!$C$20:$N$20) + _xlfn.XLOOKUP(B126&amp;"|"&amp;E126,
        Calculate_cap_emi!$L$14:$L$21&amp;"|"&amp;Calculate_cap_emi!$I$14:$I$21,
        Calculate_cap_emi!$AW$14:$AW$21, "Not found", 0))</f>
        <v>130.31006937493922</v>
      </c>
      <c r="S126" s="8" cm="1">
        <f t="array" ref="S126">_xlfn.SWITCH(K126,200,_xlfn.XLOOKUP(J126,EOL!$C$18:$N$18,EOL!$C$20:$N$20) + _xlfn.XLOOKUP(B126&amp;"|"&amp;E126,
        Calculate_cap_emi!$L$14:$L$21&amp;"|"&amp;Calculate_cap_emi!$I$14:$I$21,
        Calculate_cap_emi!$BD$14:$BD$21, "Not found", 0), LOOKUP(K126,EOL!$C$24:$D$24,EOL!$C$26:$D$26) + _xlfn.XLOOKUP(J126,EOL!$C$18:$N$18,EOL!$C$20:$N$20) + _xlfn.XLOOKUP(B126&amp;"|"&amp;E126,
        Calculate_cap_emi!$L$14:$L$21&amp;"|"&amp;Calculate_cap_emi!$I$14:$I$21,
        Calculate_cap_emi!$BD$14:$BD$21, "Not found", 0))</f>
        <v>665.2636100165073</v>
      </c>
      <c r="T126" s="8" cm="1">
        <f t="array" ref="T126">_xlfn.SWITCH(K126,200,_xlfn.XLOOKUP(J126,Other!$C$18:$N$18,Other!$C$20:$N$20) + _xlfn.XLOOKUP(B126&amp;"|"&amp;E126,
        Calculate_cap_emi!$L$14:$L$21&amp;"|"&amp;Calculate_cap_emi!$I$14:$I$21,
        Calculate_cap_emi!$BK$14:$BK$21, "Not found", 0), LOOKUP(K126,Other!$C$24:$D$24,Other!$C$26:$D$26) + _xlfn.XLOOKUP(J126,Other!$C$18:$N$18,Other!$C$20:$N$20) + _xlfn.XLOOKUP(B126&amp;"|"&amp;E126,
        Calculate_cap_emi!$L$14:$L$21&amp;"|"&amp;Calculate_cap_emi!$I$14:$I$21,
        Calculate_cap_emi!$BK$14:$BK$21, "Not found", 0))</f>
        <v>2928.3001287793631</v>
      </c>
      <c r="U126" s="8" cm="1">
        <f t="array" ref="U126">_xlfn.SWITCH(K126,200,_xlfn.XLOOKUP(J126,EOL_R!$C$18:$N$18,EOL_R!$C$20:$N$20) + _xlfn.XLOOKUP(B126&amp;"|"&amp;E126,
        Calculate_cap_emi_sens!$L$14:$L$21&amp;"|"&amp;Calculate_cap_emi_sens!$I$14:$I$21,
        Calculate_cap_emi_sens!$BD$14:$BD$21, "Not found", 0), LOOKUP(K126,EOL_R!$C$24:$D$24,EOL_R!$C$26:$D$26) + _xlfn.XLOOKUP(J126,EOL_R!$C$18:$N$18,EOL_R!$C$20:$N$20) + _xlfn.XLOOKUP(B126&amp;"|"&amp;E126,
        Calculate_cap_emi_sens!$L$14:$L$21&amp;"|"&amp;Calculate_cap_emi_sens!$I$14:$I$21,
        Calculate_cap_emi_sens!$BD$14:$BD$21, "Not found", 0))</f>
        <v>483.7174750118902</v>
      </c>
      <c r="V126" s="8" cm="1">
        <f t="array" ref="V126">_xlfn.SWITCH(K126,200,_xlfn.XLOOKUP(J126,Other_R!$C$18:$N$18,Other_R!$C$20:$N$20) + _xlfn.XLOOKUP(B126&amp;"|"&amp;E126,
        Calculate_cap_emi_sens!$L$14:$L$21&amp;"|"&amp;Calculate_cap_emi_sens!$I$14:$I$21,
        Calculate_cap_emi_sens!$BK$14:$BK$21, "Not found", 0), LOOKUP(K126,Other_R!$C$24:$D$24,Other_R!$C$26:$D$26) + _xlfn.XLOOKUP(J126,Other_R!$C$18:$N$18,Other_R!$C$20:$N$20) + _xlfn.XLOOKUP(B126&amp;"|"&amp;E126,
        Calculate_cap_emi_sens!$L$14:$L$21&amp;"|"&amp;Calculate_cap_emi_sens!$I$14:$I$21,
        Calculate_cap_emi_sens!$BK$14:$BK$21, "Not found", 0))</f>
        <v>2398.1994533536899</v>
      </c>
      <c r="W126" s="5">
        <f>Results_proc_ener!L126</f>
        <v>114274.29017630493</v>
      </c>
      <c r="X126" s="5">
        <f>Results_proc_ener!M126</f>
        <v>51534.195201054921</v>
      </c>
      <c r="Y126" s="5">
        <f>Results_proc_ener!N126</f>
        <v>0</v>
      </c>
      <c r="Z126" s="5">
        <f>Results_proc_ener!O126</f>
        <v>62740.094975250002</v>
      </c>
      <c r="AA126" s="5">
        <f>Results_proc_ener!P126</f>
        <v>114274.29017630493</v>
      </c>
      <c r="AB126" s="5">
        <f>Results_proc_ener!Q126</f>
        <v>2883.4935296192434</v>
      </c>
      <c r="AC126" s="5">
        <f>Results_proc_ener!R126</f>
        <v>292.8402928315017</v>
      </c>
      <c r="AD126" s="5">
        <f>Results_proc_ener!S126</f>
        <v>6276.8164913999999</v>
      </c>
      <c r="AE126" s="5">
        <f>Results_proc_ener!T126</f>
        <v>95375.805229101243</v>
      </c>
    </row>
    <row r="127" spans="1:31" x14ac:dyDescent="0.25">
      <c r="A127" s="5"/>
      <c r="B127" s="5" t="str">
        <f>CONCATENATE(C127, "-", "Nom")</f>
        <v>Mass-Nom</v>
      </c>
      <c r="C127" s="5" t="s">
        <v>37</v>
      </c>
      <c r="D127" s="5" t="str">
        <f>_xlfn.TEXTAFTER(B127, "-", 1)</f>
        <v>Nom</v>
      </c>
      <c r="E127" s="5" t="s">
        <v>11</v>
      </c>
      <c r="F127" s="5" t="s">
        <v>55</v>
      </c>
      <c r="G127" s="5" t="s">
        <v>55</v>
      </c>
      <c r="H127" s="5">
        <v>5</v>
      </c>
      <c r="I127" s="5"/>
      <c r="J127" s="5">
        <f t="shared" si="7"/>
        <v>5</v>
      </c>
      <c r="K127" s="5">
        <v>500</v>
      </c>
      <c r="L127" s="8" cm="1">
        <f t="array" ref="L127">_xlfn.SWITCH(K127,200,_xlfn.XLOOKUP(J127,Manufacture!$C$18:$N$18,Manufacture!$C$20:$N$20) + _xlfn.XLOOKUP(B127&amp;"|"&amp;E127,
        Calculate_cap_emi!$L$14:$L$21&amp;"|"&amp;Calculate_cap_emi!$I$14:$I$21,
        Calculate_cap_emi!$AI$14:$AI$21, "Not found", 0), LOOKUP(K127,Manufacture!$C$24:$D$24,Manufacture!$C$26:$D$26) + _xlfn.XLOOKUP(J127,Manufacture!$C$18:$N$18,Manufacture!$C$20:$N$20) + _xlfn.XLOOKUP(B127&amp;"|"&amp;E127,
        Calculate_cap_emi!$L$14:$L$21&amp;"|"&amp;Calculate_cap_emi!$I$14:$I$21,
        Calculate_cap_emi!$AI$14:$AI$21, "Not found", 0))</f>
        <v>3871.4955961986116</v>
      </c>
      <c r="M127" s="8">
        <f>_xlfn.XLOOKUP(J127,Manufacture!$C$18:$N$18,Manufacture!$C$20:$N$20)</f>
        <v>1711.29</v>
      </c>
      <c r="N127" s="8" cm="1">
        <f t="array" ref="N127">_xlfn.SWITCH(K127,200,0,LOOKUP(K127,Manufacture!$C$24:$D$24,Manufacture!$C$26:$D$26))</f>
        <v>336</v>
      </c>
      <c r="O127" s="5" cm="1">
        <f t="array" ref="O127">_xlfn.XLOOKUP(B127&amp;"|"&amp;E127,
        Calculate_cap_emi!$L$14:$L$21&amp;"|"&amp;Calculate_cap_emi!$I$14:$I$21,
        Calculate_cap_emi!$AI$14:$AI$21, "Not found", 0)</f>
        <v>1824.2055961986114</v>
      </c>
      <c r="P127" s="8">
        <f t="shared" si="8"/>
        <v>3871.4955961986116</v>
      </c>
      <c r="Q127" s="8" cm="1">
        <f t="array" ref="Q127">_xlfn.SWITCH(K127,200,_xlfn.XLOOKUP(J127,Distribution!$C$18:$N$18,Distribution!$C$20:$N$20) + _xlfn.XLOOKUP(B127&amp;"|"&amp;E127,
        Calculate_cap_emi!$L$14:$L$21&amp;"|"&amp;Calculate_cap_emi!$I$14:$I$21,
        Calculate_cap_emi!$AP$14:$AP$21, "Not found", 0), LOOKUP(K127,Distribution!$C$24:$D$24,Distribution!$C$26:$D$26) + _xlfn.XLOOKUP(J127,Distribution!$C$18:$N$18,Distribution!$C$20:$N$20) + _xlfn.XLOOKUP(B127&amp;"|"&amp;E127,
        Calculate_cap_emi!$L$14:$L$21&amp;"|"&amp;Calculate_cap_emi!$I$14:$I$21,
        Calculate_cap_emi!$AP$14:$AP$21, "Not found", 0))</f>
        <v>129.80606188109149</v>
      </c>
      <c r="R127" s="8" cm="1">
        <f t="array" ref="R127">_xlfn.SWITCH(K127,200,_xlfn.XLOOKUP(J127,Installation!$C$18:$N$18,Installation!$C$20:$N$20) + _xlfn.XLOOKUP(B127&amp;"|"&amp;E127,
        Calculate_cap_emi!$L$14:$L$21&amp;"|"&amp;Calculate_cap_emi!$I$14:$I$21,
        Calculate_cap_emi!$AW$14:$AW$21, "Not found", 0), LOOKUP(K127,Installation!$C$24:$D$24,Installation!$C$26:$D$26) + _xlfn.XLOOKUP(J127,Installation!$C$18:$N$18,Installation!$C$20:$N$20) + _xlfn.XLOOKUP(B127&amp;"|"&amp;E127,
        Calculate_cap_emi!$L$14:$L$21&amp;"|"&amp;Calculate_cap_emi!$I$14:$I$21,
        Calculate_cap_emi!$AW$14:$AW$21, "Not found", 0))</f>
        <v>119.63291048928471</v>
      </c>
      <c r="S127" s="8" cm="1">
        <f t="array" ref="S127">_xlfn.SWITCH(K127,200,_xlfn.XLOOKUP(J127,EOL!$C$18:$N$18,EOL!$C$20:$N$20) + _xlfn.XLOOKUP(B127&amp;"|"&amp;E127,
        Calculate_cap_emi!$L$14:$L$21&amp;"|"&amp;Calculate_cap_emi!$I$14:$I$21,
        Calculate_cap_emi!$BD$14:$BD$21, "Not found", 0), LOOKUP(K127,EOL!$C$24:$D$24,EOL!$C$26:$D$26) + _xlfn.XLOOKUP(J127,EOL!$C$18:$N$18,EOL!$C$20:$N$20) + _xlfn.XLOOKUP(B127&amp;"|"&amp;E127,
        Calculate_cap_emi!$L$14:$L$21&amp;"|"&amp;Calculate_cap_emi!$I$14:$I$21,
        Calculate_cap_emi!$BD$14:$BD$21, "Not found", 0))</f>
        <v>662.02421964217581</v>
      </c>
      <c r="T127" s="8" cm="1">
        <f t="array" ref="T127">_xlfn.SWITCH(K127,200,_xlfn.XLOOKUP(J127,Other!$C$18:$N$18,Other!$C$20:$N$20) + _xlfn.XLOOKUP(B127&amp;"|"&amp;E127,
        Calculate_cap_emi!$L$14:$L$21&amp;"|"&amp;Calculate_cap_emi!$I$14:$I$21,
        Calculate_cap_emi!$BK$14:$BK$21, "Not found", 0), LOOKUP(K127,Other!$C$24:$D$24,Other!$C$26:$D$26) + _xlfn.XLOOKUP(J127,Other!$C$18:$N$18,Other!$C$20:$N$20) + _xlfn.XLOOKUP(B127&amp;"|"&amp;E127,
        Calculate_cap_emi!$L$14:$L$21&amp;"|"&amp;Calculate_cap_emi!$I$14:$I$21,
        Calculate_cap_emi!$BK$14:$BK$21, "Not found", 0))</f>
        <v>2731.2923791141011</v>
      </c>
      <c r="U127" s="8" cm="1">
        <f t="array" ref="U127">_xlfn.SWITCH(K127,200,_xlfn.XLOOKUP(J127,EOL_R!$C$18:$N$18,EOL_R!$C$20:$N$20) + _xlfn.XLOOKUP(B127&amp;"|"&amp;E127,
        Calculate_cap_emi_sens!$L$14:$L$21&amp;"|"&amp;Calculate_cap_emi_sens!$I$14:$I$21,
        Calculate_cap_emi_sens!$BD$14:$BD$21, "Not found", 0), LOOKUP(K127,EOL_R!$C$24:$D$24,EOL_R!$C$26:$D$26) + _xlfn.XLOOKUP(J127,EOL_R!$C$18:$N$18,EOL_R!$C$20:$N$20) + _xlfn.XLOOKUP(B127&amp;"|"&amp;E127,
        Calculate_cap_emi_sens!$L$14:$L$21&amp;"|"&amp;Calculate_cap_emi_sens!$I$14:$I$21,
        Calculate_cap_emi_sens!$BD$14:$BD$21, "Not found", 0))</f>
        <v>553.84940448690213</v>
      </c>
      <c r="V127" s="8" cm="1">
        <f t="array" ref="V127">_xlfn.SWITCH(K127,200,_xlfn.XLOOKUP(J127,Other_R!$C$18:$N$18,Other_R!$C$20:$N$20) + _xlfn.XLOOKUP(B127&amp;"|"&amp;E127,
        Calculate_cap_emi_sens!$L$14:$L$21&amp;"|"&amp;Calculate_cap_emi_sens!$I$14:$I$21,
        Calculate_cap_emi_sens!$BK$14:$BK$21, "Not found", 0), LOOKUP(K127,Other_R!$C$24:$D$24,Other_R!$C$26:$D$26) + _xlfn.XLOOKUP(J127,Other_R!$C$18:$N$18,Other_R!$C$20:$N$20) + _xlfn.XLOOKUP(B127&amp;"|"&amp;E127,
        Calculate_cap_emi_sens!$L$14:$L$21&amp;"|"&amp;Calculate_cap_emi_sens!$I$14:$I$21,
        Calculate_cap_emi_sens!$BK$14:$BK$21, "Not found", 0))</f>
        <v>2381.1711340885868</v>
      </c>
      <c r="W127" s="5">
        <f>Results_proc_ener!L127</f>
        <v>121694.33368271519</v>
      </c>
      <c r="X127" s="5">
        <f>Results_proc_ener!M127</f>
        <v>48340.647798374281</v>
      </c>
      <c r="Y127" s="5">
        <f>Results_proc_ener!N127</f>
        <v>10613.59090909091</v>
      </c>
      <c r="Z127" s="5">
        <f>Results_proc_ener!O127</f>
        <v>62740.094975250002</v>
      </c>
      <c r="AA127" s="5">
        <f>Results_proc_ener!P127</f>
        <v>121694.33368271519</v>
      </c>
      <c r="AB127" s="5">
        <f>Results_proc_ener!Q127</f>
        <v>2776.008866227894</v>
      </c>
      <c r="AC127" s="5">
        <f>Results_proc_ener!R127</f>
        <v>291.70858849130173</v>
      </c>
      <c r="AD127" s="5">
        <f>Results_proc_ener!S127</f>
        <v>16775.861945945453</v>
      </c>
      <c r="AE127" s="5">
        <f>Results_proc_ener!T127</f>
        <v>95178.797479435976</v>
      </c>
    </row>
    <row r="128" spans="1:31" x14ac:dyDescent="0.25">
      <c r="A128" s="5"/>
      <c r="B128" s="5" t="str">
        <f t="shared" si="6"/>
        <v>Mass-Nom</v>
      </c>
      <c r="C128" s="5" t="s">
        <v>37</v>
      </c>
      <c r="D128" s="5" t="str">
        <f t="shared" si="5"/>
        <v>Nom</v>
      </c>
      <c r="E128" s="5" t="s">
        <v>11</v>
      </c>
      <c r="F128" s="5" t="s">
        <v>55</v>
      </c>
      <c r="G128" s="5" t="s">
        <v>55</v>
      </c>
      <c r="H128" s="5">
        <v>6</v>
      </c>
      <c r="I128" s="5"/>
      <c r="J128" s="5">
        <f t="shared" si="7"/>
        <v>6</v>
      </c>
      <c r="K128" s="5">
        <v>500</v>
      </c>
      <c r="L128" s="8" cm="1">
        <f t="array" ref="L128">_xlfn.SWITCH(K128,200,_xlfn.XLOOKUP(J128,Manufacture!$C$18:$N$18,Manufacture!$C$20:$N$20) + _xlfn.XLOOKUP(B128&amp;"|"&amp;E128,
        Calculate_cap_emi!$L$14:$L$21&amp;"|"&amp;Calculate_cap_emi!$I$14:$I$21,
        Calculate_cap_emi!$AI$14:$AI$21, "Not found", 0), LOOKUP(K128,Manufacture!$C$24:$D$24,Manufacture!$C$26:$D$26) + _xlfn.XLOOKUP(J128,Manufacture!$C$18:$N$18,Manufacture!$C$20:$N$20) + _xlfn.XLOOKUP(B128&amp;"|"&amp;E128,
        Calculate_cap_emi!$L$14:$L$21&amp;"|"&amp;Calculate_cap_emi!$I$14:$I$21,
        Calculate_cap_emi!$AI$14:$AI$21, "Not found", 0))</f>
        <v>3911.0867726691995</v>
      </c>
      <c r="M128" s="8">
        <f>_xlfn.XLOOKUP(J128,Manufacture!$C$18:$N$18,Manufacture!$C$20:$N$20)</f>
        <v>1750.8811764705879</v>
      </c>
      <c r="N128" s="8" cm="1">
        <f t="array" ref="N128">_xlfn.SWITCH(K128,200,0,LOOKUP(K128,Manufacture!$C$24:$D$24,Manufacture!$C$26:$D$26))</f>
        <v>336</v>
      </c>
      <c r="O128" s="5" cm="1">
        <f t="array" ref="O128">_xlfn.XLOOKUP(B128&amp;"|"&amp;E128,
        Calculate_cap_emi!$L$14:$L$21&amp;"|"&amp;Calculate_cap_emi!$I$14:$I$21,
        Calculate_cap_emi!$AI$14:$AI$21, "Not found", 0)</f>
        <v>1824.2055961986114</v>
      </c>
      <c r="P128" s="8">
        <f t="shared" si="8"/>
        <v>3911.0867726691995</v>
      </c>
      <c r="Q128" s="8" cm="1">
        <f t="array" ref="Q128">_xlfn.SWITCH(K128,200,_xlfn.XLOOKUP(J128,Distribution!$C$18:$N$18,Distribution!$C$20:$N$20) + _xlfn.XLOOKUP(B128&amp;"|"&amp;E128,
        Calculate_cap_emi!$L$14:$L$21&amp;"|"&amp;Calculate_cap_emi!$I$14:$I$21,
        Calculate_cap_emi!$AP$14:$AP$21, "Not found", 0), LOOKUP(K128,Distribution!$C$24:$D$24,Distribution!$C$26:$D$26) + _xlfn.XLOOKUP(J128,Distribution!$C$18:$N$18,Distribution!$C$20:$N$20) + _xlfn.XLOOKUP(B128&amp;"|"&amp;E128,
        Calculate_cap_emi!$L$14:$L$21&amp;"|"&amp;Calculate_cap_emi!$I$14:$I$21,
        Calculate_cap_emi!$AP$14:$AP$21, "Not found", 0))</f>
        <v>131.35027279532679</v>
      </c>
      <c r="R128" s="8" cm="1">
        <f t="array" ref="R128">_xlfn.SWITCH(K128,200,_xlfn.XLOOKUP(J128,Installation!$C$18:$N$18,Installation!$C$20:$N$20) + _xlfn.XLOOKUP(B128&amp;"|"&amp;E128,
        Calculate_cap_emi!$L$14:$L$21&amp;"|"&amp;Calculate_cap_emi!$I$14:$I$21,
        Calculate_cap_emi!$AW$14:$AW$21, "Not found", 0), LOOKUP(K128,Installation!$C$24:$D$24,Installation!$C$26:$D$26) + _xlfn.XLOOKUP(J128,Installation!$C$18:$N$18,Installation!$C$20:$N$20) + _xlfn.XLOOKUP(B128&amp;"|"&amp;E128,
        Calculate_cap_emi!$L$14:$L$21&amp;"|"&amp;Calculate_cap_emi!$I$14:$I$21,
        Calculate_cap_emi!$AW$14:$AW$21, "Not found", 0))</f>
        <v>122.09198874930696</v>
      </c>
      <c r="S128" s="8" cm="1">
        <f t="array" ref="S128">_xlfn.SWITCH(K128,200,_xlfn.XLOOKUP(J128,EOL!$C$18:$N$18,EOL!$C$20:$N$20) + _xlfn.XLOOKUP(B128&amp;"|"&amp;E128,
        Calculate_cap_emi!$L$14:$L$21&amp;"|"&amp;Calculate_cap_emi!$I$14:$I$21,
        Calculate_cap_emi!$BD$14:$BD$21, "Not found", 0), LOOKUP(K128,EOL!$C$24:$D$24,EOL!$C$26:$D$26) + _xlfn.XLOOKUP(J128,EOL!$C$18:$N$18,EOL!$C$20:$N$20) + _xlfn.XLOOKUP(B128&amp;"|"&amp;E128,
        Calculate_cap_emi!$L$14:$L$21&amp;"|"&amp;Calculate_cap_emi!$I$14:$I$21,
        Calculate_cap_emi!$BD$14:$BD$21, "Not found", 0))</f>
        <v>676.9144549362934</v>
      </c>
      <c r="T128" s="8" cm="1">
        <f t="array" ref="T128">_xlfn.SWITCH(K128,200,_xlfn.XLOOKUP(J128,Other!$C$18:$N$18,Other!$C$20:$N$20) + _xlfn.XLOOKUP(B128&amp;"|"&amp;E128,
        Calculate_cap_emi!$L$14:$L$21&amp;"|"&amp;Calculate_cap_emi!$I$14:$I$21,
        Calculate_cap_emi!$BK$14:$BK$21, "Not found", 0), LOOKUP(K128,Other!$C$24:$D$24,Other!$C$26:$D$26) + _xlfn.XLOOKUP(J128,Other!$C$18:$N$18,Other!$C$20:$N$20) + _xlfn.XLOOKUP(B128&amp;"|"&amp;E128,
        Calculate_cap_emi!$L$14:$L$21&amp;"|"&amp;Calculate_cap_emi!$I$14:$I$21,
        Calculate_cap_emi!$BK$14:$BK$21, "Not found", 0))</f>
        <v>2753.1821290769076</v>
      </c>
      <c r="U128" s="8" cm="1">
        <f t="array" ref="U128">_xlfn.SWITCH(K128,200,_xlfn.XLOOKUP(J128,EOL_R!$C$18:$N$18,EOL_R!$C$20:$N$20) + _xlfn.XLOOKUP(B128&amp;"|"&amp;E128,
        Calculate_cap_emi_sens!$L$14:$L$21&amp;"|"&amp;Calculate_cap_emi_sens!$I$14:$I$21,
        Calculate_cap_emi_sens!$BD$14:$BD$21, "Not found", 0), LOOKUP(K128,EOL_R!$C$24:$D$24,EOL_R!$C$26:$D$26) + _xlfn.XLOOKUP(J128,EOL_R!$C$18:$N$18,EOL_R!$C$20:$N$20) + _xlfn.XLOOKUP(B128&amp;"|"&amp;E128,
        Calculate_cap_emi_sens!$L$14:$L$21&amp;"|"&amp;Calculate_cap_emi_sens!$I$14:$I$21,
        Calculate_cap_emi_sens!$BD$14:$BD$21, "Not found", 0))</f>
        <v>555.74729228277351</v>
      </c>
      <c r="V128" s="8" cm="1">
        <f t="array" ref="V128">_xlfn.SWITCH(K128,200,_xlfn.XLOOKUP(J128,Other_R!$C$18:$N$18,Other_R!$C$20:$N$20) + _xlfn.XLOOKUP(B128&amp;"|"&amp;E128,
        Calculate_cap_emi_sens!$L$14:$L$21&amp;"|"&amp;Calculate_cap_emi_sens!$I$14:$I$21,
        Calculate_cap_emi_sens!$BK$14:$BK$21, "Not found", 0), LOOKUP(K128,Other_R!$C$24:$D$24,Other_R!$C$26:$D$26) + _xlfn.XLOOKUP(J128,Other_R!$C$18:$N$18,Other_R!$C$20:$N$20) + _xlfn.XLOOKUP(B128&amp;"|"&amp;E128,
        Calculate_cap_emi_sens!$L$14:$L$21&amp;"|"&amp;Calculate_cap_emi_sens!$I$14:$I$21,
        Calculate_cap_emi_sens!$BK$14:$BK$21, "Not found", 0))</f>
        <v>2371.1907295128522</v>
      </c>
      <c r="W128" s="5">
        <f>Results_proc_ener!L128</f>
        <v>122049.17228301303</v>
      </c>
      <c r="X128" s="5">
        <f>Results_proc_ener!M128</f>
        <v>48695.486398672118</v>
      </c>
      <c r="Y128" s="5">
        <f>Results_proc_ener!N128</f>
        <v>10613.59090909091</v>
      </c>
      <c r="Z128" s="5">
        <f>Results_proc_ener!O128</f>
        <v>62740.094975250002</v>
      </c>
      <c r="AA128" s="5">
        <f>Results_proc_ener!P128</f>
        <v>122049.17228301303</v>
      </c>
      <c r="AB128" s="5">
        <f>Results_proc_ener!Q128</f>
        <v>2808.7131593630438</v>
      </c>
      <c r="AC128" s="5">
        <f>Results_proc_ener!R128</f>
        <v>294.16766675132402</v>
      </c>
      <c r="AD128" s="5">
        <f>Results_proc_ener!S128</f>
        <v>16775.861945945453</v>
      </c>
      <c r="AE128" s="5">
        <f>Results_proc_ener!T128</f>
        <v>95200.687229398784</v>
      </c>
    </row>
    <row r="129" spans="1:31" x14ac:dyDescent="0.25">
      <c r="A129" s="5"/>
      <c r="B129" s="5" t="str">
        <f t="shared" si="6"/>
        <v>Mass-Nom</v>
      </c>
      <c r="C129" s="5" t="s">
        <v>37</v>
      </c>
      <c r="D129" s="5" t="str">
        <f t="shared" si="5"/>
        <v>Nom</v>
      </c>
      <c r="E129" s="5" t="s">
        <v>11</v>
      </c>
      <c r="F129" s="5" t="s">
        <v>55</v>
      </c>
      <c r="G129" s="5" t="s">
        <v>55</v>
      </c>
      <c r="H129" s="5">
        <v>8.5</v>
      </c>
      <c r="I129" s="5"/>
      <c r="J129" s="5">
        <f t="shared" si="7"/>
        <v>9</v>
      </c>
      <c r="K129" s="5">
        <v>500</v>
      </c>
      <c r="L129" s="8" cm="1">
        <f t="array" ref="L129">_xlfn.SWITCH(K129,200,_xlfn.XLOOKUP(J129,Manufacture!$C$18:$N$18,Manufacture!$C$20:$N$20) + _xlfn.XLOOKUP(B129&amp;"|"&amp;E129,
        Calculate_cap_emi!$L$14:$L$21&amp;"|"&amp;Calculate_cap_emi!$I$14:$I$21,
        Calculate_cap_emi!$AI$14:$AI$21, "Not found", 0), LOOKUP(K129,Manufacture!$C$24:$D$24,Manufacture!$C$26:$D$26) + _xlfn.XLOOKUP(J129,Manufacture!$C$18:$N$18,Manufacture!$C$20:$N$20) + _xlfn.XLOOKUP(B129&amp;"|"&amp;E129,
        Calculate_cap_emi!$L$14:$L$21&amp;"|"&amp;Calculate_cap_emi!$I$14:$I$21,
        Calculate_cap_emi!$AI$14:$AI$21, "Not found", 0))</f>
        <v>4029.8603020809642</v>
      </c>
      <c r="M129" s="8">
        <f>_xlfn.XLOOKUP(J129,Manufacture!$C$18:$N$18,Manufacture!$C$20:$N$20)</f>
        <v>1869.654705882353</v>
      </c>
      <c r="N129" s="8" cm="1">
        <f t="array" ref="N129">_xlfn.SWITCH(K129,200,0,LOOKUP(K129,Manufacture!$C$24:$D$24,Manufacture!$C$26:$D$26))</f>
        <v>336</v>
      </c>
      <c r="O129" s="5" cm="1">
        <f t="array" ref="O129">_xlfn.XLOOKUP(B129&amp;"|"&amp;E129,
        Calculate_cap_emi!$L$14:$L$21&amp;"|"&amp;Calculate_cap_emi!$I$14:$I$21,
        Calculate_cap_emi!$AI$14:$AI$21, "Not found", 0)</f>
        <v>1824.2055961986114</v>
      </c>
      <c r="P129" s="8">
        <f t="shared" si="8"/>
        <v>4029.8603020809642</v>
      </c>
      <c r="Q129" s="8" cm="1">
        <f t="array" ref="Q129">_xlfn.SWITCH(K129,200,_xlfn.XLOOKUP(J129,Distribution!$C$18:$N$18,Distribution!$C$20:$N$20) + _xlfn.XLOOKUP(B129&amp;"|"&amp;E129,
        Calculate_cap_emi!$L$14:$L$21&amp;"|"&amp;Calculate_cap_emi!$I$14:$I$21,
        Calculate_cap_emi!$AP$14:$AP$21, "Not found", 0), LOOKUP(K129,Distribution!$C$24:$D$24,Distribution!$C$26:$D$26) + _xlfn.XLOOKUP(J129,Distribution!$C$18:$N$18,Distribution!$C$20:$N$20) + _xlfn.XLOOKUP(B129&amp;"|"&amp;E129,
        Calculate_cap_emi!$L$14:$L$21&amp;"|"&amp;Calculate_cap_emi!$I$14:$I$21,
        Calculate_cap_emi!$AP$14:$AP$21, "Not found", 0))</f>
        <v>135.98290553803267</v>
      </c>
      <c r="R129" s="8" cm="1">
        <f t="array" ref="R129">_xlfn.SWITCH(K129,200,_xlfn.XLOOKUP(J129,Installation!$C$18:$N$18,Installation!$C$20:$N$20) + _xlfn.XLOOKUP(B129&amp;"|"&amp;E129,
        Calculate_cap_emi!$L$14:$L$21&amp;"|"&amp;Calculate_cap_emi!$I$14:$I$21,
        Calculate_cap_emi!$AW$14:$AW$21, "Not found", 0), LOOKUP(K129,Installation!$C$24:$D$24,Installation!$C$26:$D$26) + _xlfn.XLOOKUP(J129,Installation!$C$18:$N$18,Installation!$C$20:$N$20) + _xlfn.XLOOKUP(B129&amp;"|"&amp;E129,
        Calculate_cap_emi!$L$14:$L$21&amp;"|"&amp;Calculate_cap_emi!$I$14:$I$21,
        Calculate_cap_emi!$AW$14:$AW$21, "Not found", 0))</f>
        <v>129.46922352937349</v>
      </c>
      <c r="S129" s="8" cm="1">
        <f t="array" ref="S129">_xlfn.SWITCH(K129,200,_xlfn.XLOOKUP(J129,EOL!$C$18:$N$18,EOL!$C$20:$N$20) + _xlfn.XLOOKUP(B129&amp;"|"&amp;E129,
        Calculate_cap_emi!$L$14:$L$21&amp;"|"&amp;Calculate_cap_emi!$I$14:$I$21,
        Calculate_cap_emi!$BD$14:$BD$21, "Not found", 0), LOOKUP(K129,EOL!$C$24:$D$24,EOL!$C$26:$D$26) + _xlfn.XLOOKUP(J129,EOL!$C$18:$N$18,EOL!$C$20:$N$20) + _xlfn.XLOOKUP(B129&amp;"|"&amp;E129,
        Calculate_cap_emi!$L$14:$L$21&amp;"|"&amp;Calculate_cap_emi!$I$14:$I$21,
        Calculate_cap_emi!$BD$14:$BD$21, "Not found", 0))</f>
        <v>721.5851608186465</v>
      </c>
      <c r="T129" s="8" cm="1">
        <f t="array" ref="T129">_xlfn.SWITCH(K129,200,_xlfn.XLOOKUP(J129,Other!$C$18:$N$18,Other!$C$20:$N$20) + _xlfn.XLOOKUP(B129&amp;"|"&amp;E129,
        Calculate_cap_emi!$L$14:$L$21&amp;"|"&amp;Calculate_cap_emi!$I$14:$I$21,
        Calculate_cap_emi!$BK$14:$BK$21, "Not found", 0), LOOKUP(K129,Other!$C$24:$D$24,Other!$C$26:$D$26) + _xlfn.XLOOKUP(J129,Other!$C$18:$N$18,Other!$C$20:$N$20) + _xlfn.XLOOKUP(B129&amp;"|"&amp;E129,
        Calculate_cap_emi!$L$14:$L$21&amp;"|"&amp;Calculate_cap_emi!$I$14:$I$21,
        Calculate_cap_emi!$BK$14:$BK$21, "Not found", 0))</f>
        <v>2818.851378965328</v>
      </c>
      <c r="U129" s="8" cm="1">
        <f t="array" ref="U129">_xlfn.SWITCH(K129,200,_xlfn.XLOOKUP(J129,EOL_R!$C$18:$N$18,EOL_R!$C$20:$N$20) + _xlfn.XLOOKUP(B129&amp;"|"&amp;E129,
        Calculate_cap_emi_sens!$L$14:$L$21&amp;"|"&amp;Calculate_cap_emi_sens!$I$14:$I$21,
        Calculate_cap_emi_sens!$BD$14:$BD$21, "Not found", 0), LOOKUP(K129,EOL_R!$C$24:$D$24,EOL_R!$C$26:$D$26) + _xlfn.XLOOKUP(J129,EOL_R!$C$18:$N$18,EOL_R!$C$20:$N$20) + _xlfn.XLOOKUP(B129&amp;"|"&amp;E129,
        Calculate_cap_emi_sens!$L$14:$L$21&amp;"|"&amp;Calculate_cap_emi_sens!$I$14:$I$21,
        Calculate_cap_emi_sens!$BD$14:$BD$21, "Not found", 0))</f>
        <v>571.52430245744495</v>
      </c>
      <c r="V129" s="8" cm="1">
        <f t="array" ref="V129">_xlfn.SWITCH(K129,200,_xlfn.XLOOKUP(J129,Other_R!$C$18:$N$18,Other_R!$C$20:$N$20) + _xlfn.XLOOKUP(B129&amp;"|"&amp;E129,
        Calculate_cap_emi_sens!$L$14:$L$21&amp;"|"&amp;Calculate_cap_emi_sens!$I$14:$I$21,
        Calculate_cap_emi_sens!$BK$14:$BK$21, "Not found", 0), LOOKUP(K129,Other_R!$C$24:$D$24,Other_R!$C$26:$D$26) + _xlfn.XLOOKUP(J129,Other_R!$C$18:$N$18,Other_R!$C$20:$N$20) + _xlfn.XLOOKUP(B129&amp;"|"&amp;E129,
        Calculate_cap_emi_sens!$L$14:$L$21&amp;"|"&amp;Calculate_cap_emi_sens!$I$14:$I$21,
        Calculate_cap_emi_sens!$BK$14:$BK$21, "Not found", 0))</f>
        <v>2365.9839081202599</v>
      </c>
      <c r="W129" s="5">
        <f>Results_proc_ener!L129</f>
        <v>123113.68808390654</v>
      </c>
      <c r="X129" s="5">
        <f>Results_proc_ener!M129</f>
        <v>49760.002199565621</v>
      </c>
      <c r="Y129" s="5">
        <f>Results_proc_ener!N129</f>
        <v>10613.59090909091</v>
      </c>
      <c r="Z129" s="5">
        <f>Results_proc_ener!O129</f>
        <v>62740.094975250002</v>
      </c>
      <c r="AA129" s="5">
        <f>Results_proc_ener!P129</f>
        <v>123113.68808390654</v>
      </c>
      <c r="AB129" s="5">
        <f>Results_proc_ener!Q129</f>
        <v>2906.8260387684941</v>
      </c>
      <c r="AC129" s="5">
        <f>Results_proc_ener!R129</f>
        <v>301.54490153139051</v>
      </c>
      <c r="AD129" s="5">
        <f>Results_proc_ener!S129</f>
        <v>16775.861945945453</v>
      </c>
      <c r="AE129" s="5">
        <f>Results_proc_ener!T129</f>
        <v>95266.356479287206</v>
      </c>
    </row>
    <row r="130" spans="1:31" x14ac:dyDescent="0.25">
      <c r="A130" s="5"/>
      <c r="B130" s="5" t="str">
        <f t="shared" si="6"/>
        <v>Mass-Nom</v>
      </c>
      <c r="C130" s="5" t="s">
        <v>37</v>
      </c>
      <c r="D130" s="5" t="str">
        <f t="shared" si="5"/>
        <v>Nom</v>
      </c>
      <c r="E130" s="5" t="s">
        <v>11</v>
      </c>
      <c r="F130" s="5" t="s">
        <v>55</v>
      </c>
      <c r="G130" s="5" t="s">
        <v>55</v>
      </c>
      <c r="H130" s="5">
        <v>14</v>
      </c>
      <c r="I130" s="5"/>
      <c r="J130" s="5">
        <f t="shared" si="7"/>
        <v>14</v>
      </c>
      <c r="K130" s="5">
        <v>500</v>
      </c>
      <c r="L130" s="8" cm="1">
        <f t="array" ref="L130">_xlfn.SWITCH(K130,200,_xlfn.XLOOKUP(J130,Manufacture!$C$18:$N$18,Manufacture!$C$20:$N$20) + _xlfn.XLOOKUP(B130&amp;"|"&amp;E130,
        Calculate_cap_emi!$L$14:$L$21&amp;"|"&amp;Calculate_cap_emi!$I$14:$I$21,
        Calculate_cap_emi!$AI$14:$AI$21, "Not found", 0), LOOKUP(K130,Manufacture!$C$24:$D$24,Manufacture!$C$26:$D$26) + _xlfn.XLOOKUP(J130,Manufacture!$C$18:$N$18,Manufacture!$C$20:$N$20) + _xlfn.XLOOKUP(B130&amp;"|"&amp;E130,
        Calculate_cap_emi!$L$14:$L$21&amp;"|"&amp;Calculate_cap_emi!$I$14:$I$21,
        Calculate_cap_emi!$AI$14:$AI$21, "Not found", 0))</f>
        <v>4227.8161844339056</v>
      </c>
      <c r="M130" s="8">
        <f>_xlfn.XLOOKUP(J130,Manufacture!$C$18:$N$18,Manufacture!$C$20:$N$20)</f>
        <v>2067.610588235294</v>
      </c>
      <c r="N130" s="8" cm="1">
        <f t="array" ref="N130">_xlfn.SWITCH(K130,200,0,LOOKUP(K130,Manufacture!$C$24:$D$24,Manufacture!$C$26:$D$26))</f>
        <v>336</v>
      </c>
      <c r="O130" s="5" cm="1">
        <f t="array" ref="O130">_xlfn.XLOOKUP(B130&amp;"|"&amp;E130,
        Calculate_cap_emi!$L$14:$L$21&amp;"|"&amp;Calculate_cap_emi!$I$14:$I$21,
        Calculate_cap_emi!$AI$14:$AI$21, "Not found", 0)</f>
        <v>1824.2055961986114</v>
      </c>
      <c r="P130" s="8">
        <f t="shared" si="8"/>
        <v>4227.8161844339056</v>
      </c>
      <c r="Q130" s="8" cm="1">
        <f t="array" ref="Q130">_xlfn.SWITCH(K130,200,_xlfn.XLOOKUP(J130,Distribution!$C$18:$N$18,Distribution!$C$20:$N$20) + _xlfn.XLOOKUP(B130&amp;"|"&amp;E130,
        Calculate_cap_emi!$L$14:$L$21&amp;"|"&amp;Calculate_cap_emi!$I$14:$I$21,
        Calculate_cap_emi!$AP$14:$AP$21, "Not found", 0), LOOKUP(K130,Distribution!$C$24:$D$24,Distribution!$C$26:$D$26) + _xlfn.XLOOKUP(J130,Distribution!$C$18:$N$18,Distribution!$C$20:$N$20) + _xlfn.XLOOKUP(B130&amp;"|"&amp;E130,
        Calculate_cap_emi!$L$14:$L$21&amp;"|"&amp;Calculate_cap_emi!$I$14:$I$21,
        Calculate_cap_emi!$AP$14:$AP$21, "Not found", 0))</f>
        <v>143.70396010920911</v>
      </c>
      <c r="R130" s="8" cm="1">
        <f t="array" ref="R130">_xlfn.SWITCH(K130,200,_xlfn.XLOOKUP(J130,Installation!$C$18:$N$18,Installation!$C$20:$N$20) + _xlfn.XLOOKUP(B130&amp;"|"&amp;E130,
        Calculate_cap_emi!$L$14:$L$21&amp;"|"&amp;Calculate_cap_emi!$I$14:$I$21,
        Calculate_cap_emi!$AW$14:$AW$21, "Not found", 0), LOOKUP(K130,Installation!$C$24:$D$24,Installation!$C$26:$D$26) + _xlfn.XLOOKUP(J130,Installation!$C$18:$N$18,Installation!$C$20:$N$20) + _xlfn.XLOOKUP(B130&amp;"|"&amp;E130,
        Calculate_cap_emi!$L$14:$L$21&amp;"|"&amp;Calculate_cap_emi!$I$14:$I$21,
        Calculate_cap_emi!$AW$14:$AW$21, "Not found", 0))</f>
        <v>141.76461482948469</v>
      </c>
      <c r="S130" s="8" cm="1">
        <f t="array" ref="S130">_xlfn.SWITCH(K130,200,_xlfn.XLOOKUP(J130,EOL!$C$18:$N$18,EOL!$C$20:$N$20) + _xlfn.XLOOKUP(B130&amp;"|"&amp;E130,
        Calculate_cap_emi!$L$14:$L$21&amp;"|"&amp;Calculate_cap_emi!$I$14:$I$21,
        Calculate_cap_emi!$BD$14:$BD$21, "Not found", 0), LOOKUP(K130,EOL!$C$24:$D$24,EOL!$C$26:$D$26) + _xlfn.XLOOKUP(J130,EOL!$C$18:$N$18,EOL!$C$20:$N$20) + _xlfn.XLOOKUP(B130&amp;"|"&amp;E130,
        Calculate_cap_emi!$L$14:$L$21&amp;"|"&amp;Calculate_cap_emi!$I$14:$I$21,
        Calculate_cap_emi!$BD$14:$BD$21, "Not found", 0))</f>
        <v>796.03633728923455</v>
      </c>
      <c r="T130" s="8" cm="1">
        <f t="array" ref="T130">_xlfn.SWITCH(K130,200,_xlfn.XLOOKUP(J130,Other!$C$18:$N$18,Other!$C$20:$N$20) + _xlfn.XLOOKUP(B130&amp;"|"&amp;E130,
        Calculate_cap_emi!$L$14:$L$21&amp;"|"&amp;Calculate_cap_emi!$I$14:$I$21,
        Calculate_cap_emi!$BK$14:$BK$21, "Not found", 0), LOOKUP(K130,Other!$C$24:$D$24,Other!$C$26:$D$26) + _xlfn.XLOOKUP(J130,Other!$C$18:$N$18,Other!$C$20:$N$20) + _xlfn.XLOOKUP(B130&amp;"|"&amp;E130,
        Calculate_cap_emi!$L$14:$L$21&amp;"|"&amp;Calculate_cap_emi!$I$14:$I$21,
        Calculate_cap_emi!$BK$14:$BK$21, "Not found", 0))</f>
        <v>2928.3001287793631</v>
      </c>
      <c r="U130" s="8" cm="1">
        <f t="array" ref="U130">_xlfn.SWITCH(K130,200,_xlfn.XLOOKUP(J130,EOL_R!$C$18:$N$18,EOL_R!$C$20:$N$20) + _xlfn.XLOOKUP(B130&amp;"|"&amp;E130,
        Calculate_cap_emi_sens!$L$14:$L$21&amp;"|"&amp;Calculate_cap_emi_sens!$I$14:$I$21,
        Calculate_cap_emi_sens!$BD$14:$BD$21, "Not found", 0), LOOKUP(K130,EOL_R!$C$24:$D$24,EOL_R!$C$26:$D$26) + _xlfn.XLOOKUP(J130,EOL_R!$C$18:$N$18,EOL_R!$C$20:$N$20) + _xlfn.XLOOKUP(B130&amp;"|"&amp;E130,
        Calculate_cap_emi_sens!$L$14:$L$21&amp;"|"&amp;Calculate_cap_emi_sens!$I$14:$I$21,
        Calculate_cap_emi_sens!$BD$14:$BD$21, "Not found", 0))</f>
        <v>614.49020228461745</v>
      </c>
      <c r="V130" s="8" cm="1">
        <f t="array" ref="V130">_xlfn.SWITCH(K130,200,_xlfn.XLOOKUP(J130,Other_R!$C$18:$N$18,Other_R!$C$20:$N$20) + _xlfn.XLOOKUP(B130&amp;"|"&amp;E130,
        Calculate_cap_emi_sens!$L$14:$L$21&amp;"|"&amp;Calculate_cap_emi_sens!$I$14:$I$21,
        Calculate_cap_emi_sens!$BK$14:$BK$21, "Not found", 0), LOOKUP(K130,Other_R!$C$24:$D$24,Other_R!$C$26:$D$26) + _xlfn.XLOOKUP(J130,Other_R!$C$18:$N$18,Other_R!$C$20:$N$20) + _xlfn.XLOOKUP(B130&amp;"|"&amp;E130,
        Calculate_cap_emi_sens!$L$14:$L$21&amp;"|"&amp;Calculate_cap_emi_sens!$I$14:$I$21,
        Calculate_cap_emi_sens!$BK$14:$BK$21, "Not found", 0))</f>
        <v>2398.1994533536899</v>
      </c>
      <c r="W130" s="5">
        <f>Results_proc_ener!L130</f>
        <v>124887.88108539584</v>
      </c>
      <c r="X130" s="5">
        <f>Results_proc_ener!M130</f>
        <v>51534.195201054921</v>
      </c>
      <c r="Y130" s="5">
        <f>Results_proc_ener!N130</f>
        <v>10613.59090909091</v>
      </c>
      <c r="Z130" s="5">
        <f>Results_proc_ener!O130</f>
        <v>62740.094975250002</v>
      </c>
      <c r="AA130" s="5">
        <f>Results_proc_ener!P130</f>
        <v>124887.88108539584</v>
      </c>
      <c r="AB130" s="5">
        <f>Results_proc_ener!Q130</f>
        <v>3070.3475044442439</v>
      </c>
      <c r="AC130" s="5">
        <f>Results_proc_ener!R130</f>
        <v>313.8402928315017</v>
      </c>
      <c r="AD130" s="5">
        <f>Results_proc_ener!S130</f>
        <v>16775.861945945453</v>
      </c>
      <c r="AE130" s="5">
        <f>Results_proc_ener!T130</f>
        <v>95375.805229101243</v>
      </c>
    </row>
    <row r="131" spans="1:31" x14ac:dyDescent="0.25">
      <c r="A131" s="5"/>
      <c r="B131" s="5" t="str">
        <f>CONCATENATE(C131, "-", "Nom")</f>
        <v>Mass-Nom</v>
      </c>
      <c r="C131" s="5" t="s">
        <v>37</v>
      </c>
      <c r="D131" s="5" t="str">
        <f>_xlfn.TEXTAFTER(B131, "-", 1)</f>
        <v>Nom</v>
      </c>
      <c r="E131" s="5" t="s">
        <v>11</v>
      </c>
      <c r="F131" s="5" t="s">
        <v>57</v>
      </c>
      <c r="G131" s="5" t="s">
        <v>57</v>
      </c>
      <c r="H131" s="5">
        <v>5</v>
      </c>
      <c r="I131" s="5"/>
      <c r="J131" s="5">
        <f t="shared" si="7"/>
        <v>5</v>
      </c>
      <c r="K131" s="5">
        <v>1000</v>
      </c>
      <c r="L131" s="8" cm="1">
        <f t="array" ref="L131">_xlfn.SWITCH(K131,200,_xlfn.XLOOKUP(J131,Manufacture!$C$18:$N$18,Manufacture!$C$20:$N$20) + _xlfn.XLOOKUP(B131&amp;"|"&amp;E131,
        Calculate_cap_emi!$L$14:$L$21&amp;"|"&amp;Calculate_cap_emi!$I$14:$I$21,
        Calculate_cap_emi!$AI$14:$AI$21, "Not found", 0), LOOKUP(K131,Manufacture!$C$24:$D$24,Manufacture!$C$26:$D$26) + _xlfn.XLOOKUP(J131,Manufacture!$C$18:$N$18,Manufacture!$C$20:$N$20) + _xlfn.XLOOKUP(B131&amp;"|"&amp;E131,
        Calculate_cap_emi!$L$14:$L$21&amp;"|"&amp;Calculate_cap_emi!$I$14:$I$21,
        Calculate_cap_emi!$AI$14:$AI$21, "Not found", 0))</f>
        <v>4195.0865052895206</v>
      </c>
      <c r="M131" s="8">
        <f>_xlfn.XLOOKUP(J131,Manufacture!$C$18:$N$18,Manufacture!$C$20:$N$20)</f>
        <v>1711.29</v>
      </c>
      <c r="N131" s="8" cm="1">
        <f t="array" ref="N131">_xlfn.SWITCH(K131,200,0,LOOKUP(K131,Manufacture!$C$24:$D$24,Manufacture!$C$26:$D$26))</f>
        <v>659.59090909090912</v>
      </c>
      <c r="O131" s="5" cm="1">
        <f t="array" ref="O131">_xlfn.XLOOKUP(B131&amp;"|"&amp;E131,
        Calculate_cap_emi!$L$14:$L$21&amp;"|"&amp;Calculate_cap_emi!$I$14:$I$21,
        Calculate_cap_emi!$AI$14:$AI$21, "Not found", 0)</f>
        <v>1824.2055961986114</v>
      </c>
      <c r="P131" s="8">
        <f t="shared" si="8"/>
        <v>4195.0865052895206</v>
      </c>
      <c r="Q131" s="8" cm="1">
        <f t="array" ref="Q131">_xlfn.SWITCH(K131,200,_xlfn.XLOOKUP(J131,Distribution!$C$18:$N$18,Distribution!$C$20:$N$20) + _xlfn.XLOOKUP(B131&amp;"|"&amp;E131,
        Calculate_cap_emi!$L$14:$L$21&amp;"|"&amp;Calculate_cap_emi!$I$14:$I$21,
        Calculate_cap_emi!$AP$14:$AP$21, "Not found", 0), LOOKUP(K131,Distribution!$C$24:$D$24,Distribution!$C$26:$D$26) + _xlfn.XLOOKUP(J131,Distribution!$C$18:$N$18,Distribution!$C$20:$N$20) + _xlfn.XLOOKUP(B131&amp;"|"&amp;E131,
        Calculate_cap_emi!$L$14:$L$21&amp;"|"&amp;Calculate_cap_emi!$I$14:$I$21,
        Calculate_cap_emi!$AP$14:$AP$21, "Not found", 0))</f>
        <v>137.10563339745514</v>
      </c>
      <c r="R131" s="8" cm="1">
        <f t="array" ref="R131">_xlfn.SWITCH(K131,200,_xlfn.XLOOKUP(J131,Installation!$C$18:$N$18,Installation!$C$20:$N$20) + _xlfn.XLOOKUP(B131&amp;"|"&amp;E131,
        Calculate_cap_emi!$L$14:$L$21&amp;"|"&amp;Calculate_cap_emi!$I$14:$I$21,
        Calculate_cap_emi!$AW$14:$AW$21, "Not found", 0), LOOKUP(K131,Installation!$C$24:$D$24,Installation!$C$26:$D$26) + _xlfn.XLOOKUP(J131,Installation!$C$18:$N$18,Installation!$C$20:$N$20) + _xlfn.XLOOKUP(B131&amp;"|"&amp;E131,
        Calculate_cap_emi!$L$14:$L$21&amp;"|"&amp;Calculate_cap_emi!$I$14:$I$21,
        Calculate_cap_emi!$AW$14:$AW$21, "Not found", 0))</f>
        <v>119.63291048928471</v>
      </c>
      <c r="S131" s="8" cm="1">
        <f t="array" ref="S131">_xlfn.SWITCH(K131,200,_xlfn.XLOOKUP(J131,EOL!$C$18:$N$18,EOL!$C$20:$N$20) + _xlfn.XLOOKUP(B131&amp;"|"&amp;E131,
        Calculate_cap_emi!$L$14:$L$21&amp;"|"&amp;Calculate_cap_emi!$I$14:$I$21,
        Calculate_cap_emi!$BD$14:$BD$21, "Not found", 0), LOOKUP(K131,EOL!$C$24:$D$24,EOL!$C$26:$D$26) + _xlfn.XLOOKUP(J131,EOL!$C$18:$N$18,EOL!$C$20:$N$20) + _xlfn.XLOOKUP(B131&amp;"|"&amp;E131,
        Calculate_cap_emi!$L$14:$L$21&amp;"|"&amp;Calculate_cap_emi!$I$14:$I$21,
        Calculate_cap_emi!$BD$14:$BD$21, "Not found", 0))</f>
        <v>800.43331055126669</v>
      </c>
      <c r="T131" s="8" cm="1">
        <f t="array" ref="T131">_xlfn.SWITCH(K131,200,_xlfn.XLOOKUP(J131,Other!$C$18:$N$18,Other!$C$20:$N$20) + _xlfn.XLOOKUP(B131&amp;"|"&amp;E131,
        Calculate_cap_emi!$L$14:$L$21&amp;"|"&amp;Calculate_cap_emi!$I$14:$I$21,
        Calculate_cap_emi!$BK$14:$BK$21, "Not found", 0), LOOKUP(K131,Other!$C$24:$D$24,Other!$C$26:$D$26) + _xlfn.XLOOKUP(J131,Other!$C$18:$N$18,Other!$C$20:$N$20) + _xlfn.XLOOKUP(B131&amp;"|"&amp;E131,
        Calculate_cap_emi!$L$14:$L$21&amp;"|"&amp;Calculate_cap_emi!$I$14:$I$21,
        Calculate_cap_emi!$BK$14:$BK$21, "Not found", 0))</f>
        <v>2731.2923791141011</v>
      </c>
      <c r="U131" s="8" cm="1">
        <f t="array" ref="U131">_xlfn.SWITCH(K131,200,_xlfn.XLOOKUP(J131,EOL_R!$C$18:$N$18,EOL_R!$C$20:$N$20) + _xlfn.XLOOKUP(B131&amp;"|"&amp;E131,
        Calculate_cap_emi_sens!$L$14:$L$21&amp;"|"&amp;Calculate_cap_emi_sens!$I$14:$I$21,
        Calculate_cap_emi_sens!$BD$14:$BD$21, "Not found", 0), LOOKUP(K131,EOL_R!$C$24:$D$24,EOL_R!$C$26:$D$26) + _xlfn.XLOOKUP(J131,EOL_R!$C$18:$N$18,EOL_R!$C$20:$N$20) + _xlfn.XLOOKUP(B131&amp;"|"&amp;E131,
        Calculate_cap_emi_sens!$L$14:$L$21&amp;"|"&amp;Calculate_cap_emi_sens!$I$14:$I$21,
        Calculate_cap_emi_sens!$BD$14:$BD$21, "Not found", 0))</f>
        <v>692.25849539599312</v>
      </c>
      <c r="V131" s="8" cm="1">
        <f t="array" ref="V131">_xlfn.SWITCH(K131,200,_xlfn.XLOOKUP(J131,Other_R!$C$18:$N$18,Other_R!$C$20:$N$20) + _xlfn.XLOOKUP(B131&amp;"|"&amp;E131,
        Calculate_cap_emi_sens!$L$14:$L$21&amp;"|"&amp;Calculate_cap_emi_sens!$I$14:$I$21,
        Calculate_cap_emi_sens!$BK$14:$BK$21, "Not found", 0), LOOKUP(K131,Other_R!$C$24:$D$24,Other_R!$C$26:$D$26) + _xlfn.XLOOKUP(J131,Other_R!$C$18:$N$18,Other_R!$C$20:$N$20) + _xlfn.XLOOKUP(B131&amp;"|"&amp;E131,
        Calculate_cap_emi_sens!$L$14:$L$21&amp;"|"&amp;Calculate_cap_emi_sens!$I$14:$I$21,
        Calculate_cap_emi_sens!$BK$14:$BK$21, "Not found", 0))</f>
        <v>2381.1711340885868</v>
      </c>
      <c r="W131" s="5">
        <f>Results_proc_ener!L131</f>
        <v>131654.06095544246</v>
      </c>
      <c r="X131" s="5">
        <f>Results_proc_ener!M131</f>
        <v>48340.647798374281</v>
      </c>
      <c r="Y131" s="5">
        <f>Results_proc_ener!N131</f>
        <v>20573.31818181818</v>
      </c>
      <c r="Z131" s="5">
        <f>Results_proc_ener!O131</f>
        <v>62740.094975250002</v>
      </c>
      <c r="AA131" s="5">
        <f>Results_proc_ener!P131</f>
        <v>131654.06095544246</v>
      </c>
      <c r="AB131" s="5">
        <f>Results_proc_ener!Q131</f>
        <v>2956.594191574894</v>
      </c>
      <c r="AC131" s="5">
        <f>Results_proc_ener!R131</f>
        <v>297.43586121857447</v>
      </c>
      <c r="AD131" s="5">
        <f>Results_proc_ener!S131</f>
        <v>26912.180127763633</v>
      </c>
      <c r="AE131" s="5">
        <f>Results_proc_ener!T131</f>
        <v>95178.797479435976</v>
      </c>
    </row>
    <row r="132" spans="1:31" x14ac:dyDescent="0.25">
      <c r="A132" s="5"/>
      <c r="B132" s="5" t="str">
        <f t="shared" si="6"/>
        <v>Mass-Nom</v>
      </c>
      <c r="C132" s="5" t="s">
        <v>37</v>
      </c>
      <c r="D132" s="5" t="str">
        <f t="shared" si="5"/>
        <v>Nom</v>
      </c>
      <c r="E132" s="5" t="s">
        <v>11</v>
      </c>
      <c r="F132" s="5" t="s">
        <v>57</v>
      </c>
      <c r="G132" s="5" t="s">
        <v>57</v>
      </c>
      <c r="H132" s="5">
        <v>6</v>
      </c>
      <c r="I132" s="5"/>
      <c r="J132" s="5">
        <f t="shared" si="7"/>
        <v>6</v>
      </c>
      <c r="K132" s="5">
        <v>1000</v>
      </c>
      <c r="L132" s="8" cm="1">
        <f t="array" ref="L132">_xlfn.SWITCH(K132,200,_xlfn.XLOOKUP(J132,Manufacture!$C$18:$N$18,Manufacture!$C$20:$N$20) + _xlfn.XLOOKUP(B132&amp;"|"&amp;E132,
        Calculate_cap_emi!$L$14:$L$21&amp;"|"&amp;Calculate_cap_emi!$I$14:$I$21,
        Calculate_cap_emi!$AI$14:$AI$21, "Not found", 0), LOOKUP(K132,Manufacture!$C$24:$D$24,Manufacture!$C$26:$D$26) + _xlfn.XLOOKUP(J132,Manufacture!$C$18:$N$18,Manufacture!$C$20:$N$20) + _xlfn.XLOOKUP(B132&amp;"|"&amp;E132,
        Calculate_cap_emi!$L$14:$L$21&amp;"|"&amp;Calculate_cap_emi!$I$14:$I$21,
        Calculate_cap_emi!$AI$14:$AI$21, "Not found", 0))</f>
        <v>4234.6776817601085</v>
      </c>
      <c r="M132" s="8">
        <f>_xlfn.XLOOKUP(J132,Manufacture!$C$18:$N$18,Manufacture!$C$20:$N$20)</f>
        <v>1750.8811764705879</v>
      </c>
      <c r="N132" s="8" cm="1">
        <f t="array" ref="N132">_xlfn.SWITCH(K132,200,0,LOOKUP(K132,Manufacture!$C$24:$D$24,Manufacture!$C$26:$D$26))</f>
        <v>659.59090909090912</v>
      </c>
      <c r="O132" s="5" cm="1">
        <f t="array" ref="O132">_xlfn.XLOOKUP(B132&amp;"|"&amp;E132,
        Calculate_cap_emi!$L$14:$L$21&amp;"|"&amp;Calculate_cap_emi!$I$14:$I$21,
        Calculate_cap_emi!$AI$14:$AI$21, "Not found", 0)</f>
        <v>1824.2055961986114</v>
      </c>
      <c r="P132" s="8">
        <f t="shared" si="8"/>
        <v>4234.6776817601085</v>
      </c>
      <c r="Q132" s="8" cm="1">
        <f t="array" ref="Q132">_xlfn.SWITCH(K132,200,_xlfn.XLOOKUP(J132,Distribution!$C$18:$N$18,Distribution!$C$20:$N$20) + _xlfn.XLOOKUP(B132&amp;"|"&amp;E132,
        Calculate_cap_emi!$L$14:$L$21&amp;"|"&amp;Calculate_cap_emi!$I$14:$I$21,
        Calculate_cap_emi!$AP$14:$AP$21, "Not found", 0), LOOKUP(K132,Distribution!$C$24:$D$24,Distribution!$C$26:$D$26) + _xlfn.XLOOKUP(J132,Distribution!$C$18:$N$18,Distribution!$C$20:$N$20) + _xlfn.XLOOKUP(B132&amp;"|"&amp;E132,
        Calculate_cap_emi!$L$14:$L$21&amp;"|"&amp;Calculate_cap_emi!$I$14:$I$21,
        Calculate_cap_emi!$AP$14:$AP$21, "Not found", 0))</f>
        <v>138.64984431169043</v>
      </c>
      <c r="R132" s="8" cm="1">
        <f t="array" ref="R132">_xlfn.SWITCH(K132,200,_xlfn.XLOOKUP(J132,Installation!$C$18:$N$18,Installation!$C$20:$N$20) + _xlfn.XLOOKUP(B132&amp;"|"&amp;E132,
        Calculate_cap_emi!$L$14:$L$21&amp;"|"&amp;Calculate_cap_emi!$I$14:$I$21,
        Calculate_cap_emi!$AW$14:$AW$21, "Not found", 0), LOOKUP(K132,Installation!$C$24:$D$24,Installation!$C$26:$D$26) + _xlfn.XLOOKUP(J132,Installation!$C$18:$N$18,Installation!$C$20:$N$20) + _xlfn.XLOOKUP(B132&amp;"|"&amp;E132,
        Calculate_cap_emi!$L$14:$L$21&amp;"|"&amp;Calculate_cap_emi!$I$14:$I$21,
        Calculate_cap_emi!$AW$14:$AW$21, "Not found", 0))</f>
        <v>122.09198874930696</v>
      </c>
      <c r="S132" s="8" cm="1">
        <f t="array" ref="S132">_xlfn.SWITCH(K132,200,_xlfn.XLOOKUP(J132,EOL!$C$18:$N$18,EOL!$C$20:$N$20) + _xlfn.XLOOKUP(B132&amp;"|"&amp;E132,
        Calculate_cap_emi!$L$14:$L$21&amp;"|"&amp;Calculate_cap_emi!$I$14:$I$21,
        Calculate_cap_emi!$BD$14:$BD$21, "Not found", 0), LOOKUP(K132,EOL!$C$24:$D$24,EOL!$C$26:$D$26) + _xlfn.XLOOKUP(J132,EOL!$C$18:$N$18,EOL!$C$20:$N$20) + _xlfn.XLOOKUP(B132&amp;"|"&amp;E132,
        Calculate_cap_emi!$L$14:$L$21&amp;"|"&amp;Calculate_cap_emi!$I$14:$I$21,
        Calculate_cap_emi!$BD$14:$BD$21, "Not found", 0))</f>
        <v>815.32354584538439</v>
      </c>
      <c r="T132" s="8" cm="1">
        <f t="array" ref="T132">_xlfn.SWITCH(K132,200,_xlfn.XLOOKUP(J132,Other!$C$18:$N$18,Other!$C$20:$N$20) + _xlfn.XLOOKUP(B132&amp;"|"&amp;E132,
        Calculate_cap_emi!$L$14:$L$21&amp;"|"&amp;Calculate_cap_emi!$I$14:$I$21,
        Calculate_cap_emi!$BK$14:$BK$21, "Not found", 0), LOOKUP(K132,Other!$C$24:$D$24,Other!$C$26:$D$26) + _xlfn.XLOOKUP(J132,Other!$C$18:$N$18,Other!$C$20:$N$20) + _xlfn.XLOOKUP(B132&amp;"|"&amp;E132,
        Calculate_cap_emi!$L$14:$L$21&amp;"|"&amp;Calculate_cap_emi!$I$14:$I$21,
        Calculate_cap_emi!$BK$14:$BK$21, "Not found", 0))</f>
        <v>2753.1821290769076</v>
      </c>
      <c r="U132" s="8" cm="1">
        <f t="array" ref="U132">_xlfn.SWITCH(K132,200,_xlfn.XLOOKUP(J132,EOL_R!$C$18:$N$18,EOL_R!$C$20:$N$20) + _xlfn.XLOOKUP(B132&amp;"|"&amp;E132,
        Calculate_cap_emi_sens!$L$14:$L$21&amp;"|"&amp;Calculate_cap_emi_sens!$I$14:$I$21,
        Calculate_cap_emi_sens!$BD$14:$BD$21, "Not found", 0), LOOKUP(K132,EOL_R!$C$24:$D$24,EOL_R!$C$26:$D$26) + _xlfn.XLOOKUP(J132,EOL_R!$C$18:$N$18,EOL_R!$C$20:$N$20) + _xlfn.XLOOKUP(B132&amp;"|"&amp;E132,
        Calculate_cap_emi_sens!$L$14:$L$21&amp;"|"&amp;Calculate_cap_emi_sens!$I$14:$I$21,
        Calculate_cap_emi_sens!$BD$14:$BD$21, "Not found", 0))</f>
        <v>694.15638319186428</v>
      </c>
      <c r="V132" s="8" cm="1">
        <f t="array" ref="V132">_xlfn.SWITCH(K132,200,_xlfn.XLOOKUP(J132,Other_R!$C$18:$N$18,Other_R!$C$20:$N$20) + _xlfn.XLOOKUP(B132&amp;"|"&amp;E132,
        Calculate_cap_emi_sens!$L$14:$L$21&amp;"|"&amp;Calculate_cap_emi_sens!$I$14:$I$21,
        Calculate_cap_emi_sens!$BK$14:$BK$21, "Not found", 0), LOOKUP(K132,Other_R!$C$24:$D$24,Other_R!$C$26:$D$26) + _xlfn.XLOOKUP(J132,Other_R!$C$18:$N$18,Other_R!$C$20:$N$20) + _xlfn.XLOOKUP(B132&amp;"|"&amp;E132,
        Calculate_cap_emi_sens!$L$14:$L$21&amp;"|"&amp;Calculate_cap_emi_sens!$I$14:$I$21,
        Calculate_cap_emi_sens!$BK$14:$BK$21, "Not found", 0))</f>
        <v>2371.1907295128522</v>
      </c>
      <c r="W132" s="5">
        <f>Results_proc_ener!L132</f>
        <v>132008.8995557403</v>
      </c>
      <c r="X132" s="5">
        <f>Results_proc_ener!M132</f>
        <v>48695.486398672118</v>
      </c>
      <c r="Y132" s="5">
        <f>Results_proc_ener!N132</f>
        <v>20573.31818181818</v>
      </c>
      <c r="Z132" s="5">
        <f>Results_proc_ener!O132</f>
        <v>62740.094975250002</v>
      </c>
      <c r="AA132" s="5">
        <f>Results_proc_ener!P132</f>
        <v>132008.8995557403</v>
      </c>
      <c r="AB132" s="5">
        <f>Results_proc_ener!Q132</f>
        <v>2989.2984847100438</v>
      </c>
      <c r="AC132" s="5">
        <f>Results_proc_ener!R132</f>
        <v>299.89493947859671</v>
      </c>
      <c r="AD132" s="5">
        <f>Results_proc_ener!S132</f>
        <v>26912.180127763633</v>
      </c>
      <c r="AE132" s="5">
        <f>Results_proc_ener!T132</f>
        <v>95200.687229398784</v>
      </c>
    </row>
    <row r="133" spans="1:31" x14ac:dyDescent="0.25">
      <c r="A133" s="5"/>
      <c r="B133" s="5" t="str">
        <f t="shared" si="6"/>
        <v>Mass-Nom</v>
      </c>
      <c r="C133" s="5" t="s">
        <v>37</v>
      </c>
      <c r="D133" s="5" t="str">
        <f t="shared" si="5"/>
        <v>Nom</v>
      </c>
      <c r="E133" s="5" t="s">
        <v>11</v>
      </c>
      <c r="F133" s="5" t="s">
        <v>57</v>
      </c>
      <c r="G133" s="5" t="s">
        <v>57</v>
      </c>
      <c r="H133" s="5">
        <v>8.5</v>
      </c>
      <c r="I133" s="5"/>
      <c r="J133" s="5">
        <f t="shared" si="7"/>
        <v>9</v>
      </c>
      <c r="K133" s="5">
        <v>1000</v>
      </c>
      <c r="L133" s="8" cm="1">
        <f t="array" ref="L133">_xlfn.SWITCH(K133,200,_xlfn.XLOOKUP(J133,Manufacture!$C$18:$N$18,Manufacture!$C$20:$N$20) + _xlfn.XLOOKUP(B133&amp;"|"&amp;E133,
        Calculate_cap_emi!$L$14:$L$21&amp;"|"&amp;Calculate_cap_emi!$I$14:$I$21,
        Calculate_cap_emi!$AI$14:$AI$21, "Not found", 0), LOOKUP(K133,Manufacture!$C$24:$D$24,Manufacture!$C$26:$D$26) + _xlfn.XLOOKUP(J133,Manufacture!$C$18:$N$18,Manufacture!$C$20:$N$20) + _xlfn.XLOOKUP(B133&amp;"|"&amp;E133,
        Calculate_cap_emi!$L$14:$L$21&amp;"|"&amp;Calculate_cap_emi!$I$14:$I$21,
        Calculate_cap_emi!$AI$14:$AI$21, "Not found", 0))</f>
        <v>4353.4512111718732</v>
      </c>
      <c r="M133" s="8">
        <f>_xlfn.XLOOKUP(J133,Manufacture!$C$18:$N$18,Manufacture!$C$20:$N$20)</f>
        <v>1869.654705882353</v>
      </c>
      <c r="N133" s="8" cm="1">
        <f t="array" ref="N133">_xlfn.SWITCH(K133,200,0,LOOKUP(K133,Manufacture!$C$24:$D$24,Manufacture!$C$26:$D$26))</f>
        <v>659.59090909090912</v>
      </c>
      <c r="O133" s="5" cm="1">
        <f t="array" ref="O133">_xlfn.XLOOKUP(B133&amp;"|"&amp;E133,
        Calculate_cap_emi!$L$14:$L$21&amp;"|"&amp;Calculate_cap_emi!$I$14:$I$21,
        Calculate_cap_emi!$AI$14:$AI$21, "Not found", 0)</f>
        <v>1824.2055961986114</v>
      </c>
      <c r="P133" s="8">
        <f t="shared" si="8"/>
        <v>4353.4512111718732</v>
      </c>
      <c r="Q133" s="8" cm="1">
        <f t="array" ref="Q133">_xlfn.SWITCH(K133,200,_xlfn.XLOOKUP(J133,Distribution!$C$18:$N$18,Distribution!$C$20:$N$20) + _xlfn.XLOOKUP(B133&amp;"|"&amp;E133,
        Calculate_cap_emi!$L$14:$L$21&amp;"|"&amp;Calculate_cap_emi!$I$14:$I$21,
        Calculate_cap_emi!$AP$14:$AP$21, "Not found", 0), LOOKUP(K133,Distribution!$C$24:$D$24,Distribution!$C$26:$D$26) + _xlfn.XLOOKUP(J133,Distribution!$C$18:$N$18,Distribution!$C$20:$N$20) + _xlfn.XLOOKUP(B133&amp;"|"&amp;E133,
        Calculate_cap_emi!$L$14:$L$21&amp;"|"&amp;Calculate_cap_emi!$I$14:$I$21,
        Calculate_cap_emi!$AP$14:$AP$21, "Not found", 0))</f>
        <v>143.28247705439631</v>
      </c>
      <c r="R133" s="8" cm="1">
        <f t="array" ref="R133">_xlfn.SWITCH(K133,200,_xlfn.XLOOKUP(J133,Installation!$C$18:$N$18,Installation!$C$20:$N$20) + _xlfn.XLOOKUP(B133&amp;"|"&amp;E133,
        Calculate_cap_emi!$L$14:$L$21&amp;"|"&amp;Calculate_cap_emi!$I$14:$I$21,
        Calculate_cap_emi!$AW$14:$AW$21, "Not found", 0), LOOKUP(K133,Installation!$C$24:$D$24,Installation!$C$26:$D$26) + _xlfn.XLOOKUP(J133,Installation!$C$18:$N$18,Installation!$C$20:$N$20) + _xlfn.XLOOKUP(B133&amp;"|"&amp;E133,
        Calculate_cap_emi!$L$14:$L$21&amp;"|"&amp;Calculate_cap_emi!$I$14:$I$21,
        Calculate_cap_emi!$AW$14:$AW$21, "Not found", 0))</f>
        <v>129.46922352937349</v>
      </c>
      <c r="S133" s="8" cm="1">
        <f t="array" ref="S133">_xlfn.SWITCH(K133,200,_xlfn.XLOOKUP(J133,EOL!$C$18:$N$18,EOL!$C$20:$N$20) + _xlfn.XLOOKUP(B133&amp;"|"&amp;E133,
        Calculate_cap_emi!$L$14:$L$21&amp;"|"&amp;Calculate_cap_emi!$I$14:$I$21,
        Calculate_cap_emi!$BD$14:$BD$21, "Not found", 0), LOOKUP(K133,EOL!$C$24:$D$24,EOL!$C$26:$D$26) + _xlfn.XLOOKUP(J133,EOL!$C$18:$N$18,EOL!$C$20:$N$20) + _xlfn.XLOOKUP(B133&amp;"|"&amp;E133,
        Calculate_cap_emi!$L$14:$L$21&amp;"|"&amp;Calculate_cap_emi!$I$14:$I$21,
        Calculate_cap_emi!$BD$14:$BD$21, "Not found", 0))</f>
        <v>859.99425172773726</v>
      </c>
      <c r="T133" s="8" cm="1">
        <f t="array" ref="T133">_xlfn.SWITCH(K133,200,_xlfn.XLOOKUP(J133,Other!$C$18:$N$18,Other!$C$20:$N$20) + _xlfn.XLOOKUP(B133&amp;"|"&amp;E133,
        Calculate_cap_emi!$L$14:$L$21&amp;"|"&amp;Calculate_cap_emi!$I$14:$I$21,
        Calculate_cap_emi!$BK$14:$BK$21, "Not found", 0), LOOKUP(K133,Other!$C$24:$D$24,Other!$C$26:$D$26) + _xlfn.XLOOKUP(J133,Other!$C$18:$N$18,Other!$C$20:$N$20) + _xlfn.XLOOKUP(B133&amp;"|"&amp;E133,
        Calculate_cap_emi!$L$14:$L$21&amp;"|"&amp;Calculate_cap_emi!$I$14:$I$21,
        Calculate_cap_emi!$BK$14:$BK$21, "Not found", 0))</f>
        <v>2818.851378965328</v>
      </c>
      <c r="U133" s="8" cm="1">
        <f t="array" ref="U133">_xlfn.SWITCH(K133,200,_xlfn.XLOOKUP(J133,EOL_R!$C$18:$N$18,EOL_R!$C$20:$N$20) + _xlfn.XLOOKUP(B133&amp;"|"&amp;E133,
        Calculate_cap_emi_sens!$L$14:$L$21&amp;"|"&amp;Calculate_cap_emi_sens!$I$14:$I$21,
        Calculate_cap_emi_sens!$BD$14:$BD$21, "Not found", 0), LOOKUP(K133,EOL_R!$C$24:$D$24,EOL_R!$C$26:$D$26) + _xlfn.XLOOKUP(J133,EOL_R!$C$18:$N$18,EOL_R!$C$20:$N$20) + _xlfn.XLOOKUP(B133&amp;"|"&amp;E133,
        Calculate_cap_emi_sens!$L$14:$L$21&amp;"|"&amp;Calculate_cap_emi_sens!$I$14:$I$21,
        Calculate_cap_emi_sens!$BD$14:$BD$21, "Not found", 0))</f>
        <v>709.93339336653582</v>
      </c>
      <c r="V133" s="8" cm="1">
        <f t="array" ref="V133">_xlfn.SWITCH(K133,200,_xlfn.XLOOKUP(J133,Other_R!$C$18:$N$18,Other_R!$C$20:$N$20) + _xlfn.XLOOKUP(B133&amp;"|"&amp;E133,
        Calculate_cap_emi_sens!$L$14:$L$21&amp;"|"&amp;Calculate_cap_emi_sens!$I$14:$I$21,
        Calculate_cap_emi_sens!$BK$14:$BK$21, "Not found", 0), LOOKUP(K133,Other_R!$C$24:$D$24,Other_R!$C$26:$D$26) + _xlfn.XLOOKUP(J133,Other_R!$C$18:$N$18,Other_R!$C$20:$N$20) + _xlfn.XLOOKUP(B133&amp;"|"&amp;E133,
        Calculate_cap_emi_sens!$L$14:$L$21&amp;"|"&amp;Calculate_cap_emi_sens!$I$14:$I$21,
        Calculate_cap_emi_sens!$BK$14:$BK$21, "Not found", 0))</f>
        <v>2365.9839081202599</v>
      </c>
      <c r="W133" s="5">
        <f>Results_proc_ener!L133</f>
        <v>133073.41535663381</v>
      </c>
      <c r="X133" s="5">
        <f>Results_proc_ener!M133</f>
        <v>49760.002199565621</v>
      </c>
      <c r="Y133" s="5">
        <f>Results_proc_ener!N133</f>
        <v>20573.31818181818</v>
      </c>
      <c r="Z133" s="5">
        <f>Results_proc_ener!O133</f>
        <v>62740.094975250002</v>
      </c>
      <c r="AA133" s="5">
        <f>Results_proc_ener!P133</f>
        <v>133073.41535663381</v>
      </c>
      <c r="AB133" s="5">
        <f>Results_proc_ener!Q133</f>
        <v>3087.4113641154936</v>
      </c>
      <c r="AC133" s="5">
        <f>Results_proc_ener!R133</f>
        <v>307.27217425866326</v>
      </c>
      <c r="AD133" s="5">
        <f>Results_proc_ener!S133</f>
        <v>26912.180127763633</v>
      </c>
      <c r="AE133" s="5">
        <f>Results_proc_ener!T133</f>
        <v>95266.356479287206</v>
      </c>
    </row>
    <row r="134" spans="1:31" x14ac:dyDescent="0.25">
      <c r="A134" s="5"/>
      <c r="B134" s="5" t="str">
        <f t="shared" si="6"/>
        <v>Mass-Nom</v>
      </c>
      <c r="C134" s="5" t="s">
        <v>37</v>
      </c>
      <c r="D134" s="5" t="str">
        <f t="shared" si="5"/>
        <v>Nom</v>
      </c>
      <c r="E134" s="5" t="s">
        <v>11</v>
      </c>
      <c r="F134" s="5" t="s">
        <v>57</v>
      </c>
      <c r="G134" s="5" t="s">
        <v>57</v>
      </c>
      <c r="H134" s="5">
        <v>11.2</v>
      </c>
      <c r="I134" s="5"/>
      <c r="J134" s="5">
        <f t="shared" si="7"/>
        <v>12</v>
      </c>
      <c r="K134" s="5">
        <v>1000</v>
      </c>
      <c r="L134" s="8" cm="1">
        <f t="array" ref="L134">_xlfn.SWITCH(K134,200,_xlfn.XLOOKUP(J134,Manufacture!$C$18:$N$18,Manufacture!$C$20:$N$20) + _xlfn.XLOOKUP(B134&amp;"|"&amp;E134,
        Calculate_cap_emi!$L$14:$L$21&amp;"|"&amp;Calculate_cap_emi!$I$14:$I$21,
        Calculate_cap_emi!$AI$14:$AI$21, "Not found", 0), LOOKUP(K134,Manufacture!$C$24:$D$24,Manufacture!$C$26:$D$26) + _xlfn.XLOOKUP(J134,Manufacture!$C$18:$N$18,Manufacture!$C$20:$N$20) + _xlfn.XLOOKUP(B134&amp;"|"&amp;E134,
        Calculate_cap_emi!$L$14:$L$21&amp;"|"&amp;Calculate_cap_emi!$I$14:$I$21,
        Calculate_cap_emi!$AI$14:$AI$21, "Not found", 0))</f>
        <v>4472.2247405836379</v>
      </c>
      <c r="M134" s="8">
        <f>_xlfn.XLOOKUP(J134,Manufacture!$C$18:$N$18,Manufacture!$C$20:$N$20)</f>
        <v>1988.4282352941175</v>
      </c>
      <c r="N134" s="8" cm="1">
        <f t="array" ref="N134">_xlfn.SWITCH(K134,200,0,LOOKUP(K134,Manufacture!$C$24:$D$24,Manufacture!$C$26:$D$26))</f>
        <v>659.59090909090912</v>
      </c>
      <c r="O134" s="5" cm="1">
        <f t="array" ref="O134">_xlfn.XLOOKUP(B134&amp;"|"&amp;E134,
        Calculate_cap_emi!$L$14:$L$21&amp;"|"&amp;Calculate_cap_emi!$I$14:$I$21,
        Calculate_cap_emi!$AI$14:$AI$21, "Not found", 0)</f>
        <v>1824.2055961986114</v>
      </c>
      <c r="P134" s="8">
        <f t="shared" si="8"/>
        <v>4472.2247405836379</v>
      </c>
      <c r="Q134" s="8" cm="1">
        <f t="array" ref="Q134">_xlfn.SWITCH(K134,200,_xlfn.XLOOKUP(J134,Distribution!$C$18:$N$18,Distribution!$C$20:$N$20) + _xlfn.XLOOKUP(B134&amp;"|"&amp;E134,
        Calculate_cap_emi!$L$14:$L$21&amp;"|"&amp;Calculate_cap_emi!$I$14:$I$21,
        Calculate_cap_emi!$AP$14:$AP$21, "Not found", 0), LOOKUP(K134,Distribution!$C$24:$D$24,Distribution!$C$26:$D$26) + _xlfn.XLOOKUP(J134,Distribution!$C$18:$N$18,Distribution!$C$20:$N$20) + _xlfn.XLOOKUP(B134&amp;"|"&amp;E134,
        Calculate_cap_emi!$L$14:$L$21&amp;"|"&amp;Calculate_cap_emi!$I$14:$I$21,
        Calculate_cap_emi!$AP$14:$AP$21, "Not found", 0))</f>
        <v>147.91510979710219</v>
      </c>
      <c r="R134" s="8" cm="1">
        <f t="array" ref="R134">_xlfn.SWITCH(K134,200,_xlfn.XLOOKUP(J134,Installation!$C$18:$N$18,Installation!$C$20:$N$20) + _xlfn.XLOOKUP(B134&amp;"|"&amp;E134,
        Calculate_cap_emi!$L$14:$L$21&amp;"|"&amp;Calculate_cap_emi!$I$14:$I$21,
        Calculate_cap_emi!$AW$14:$AW$21, "Not found", 0), LOOKUP(K134,Installation!$C$24:$D$24,Installation!$C$26:$D$26) + _xlfn.XLOOKUP(J134,Installation!$C$18:$N$18,Installation!$C$20:$N$20) + _xlfn.XLOOKUP(B134&amp;"|"&amp;E134,
        Calculate_cap_emi!$L$14:$L$21&amp;"|"&amp;Calculate_cap_emi!$I$14:$I$21,
        Calculate_cap_emi!$AW$14:$AW$21, "Not found", 0))</f>
        <v>136.84645830944015</v>
      </c>
      <c r="S134" s="8" cm="1">
        <f t="array" ref="S134">_xlfn.SWITCH(K134,200,_xlfn.XLOOKUP(J134,EOL!$C$18:$N$18,EOL!$C$20:$N$20) + _xlfn.XLOOKUP(B134&amp;"|"&amp;E134,
        Calculate_cap_emi!$L$14:$L$21&amp;"|"&amp;Calculate_cap_emi!$I$14:$I$21,
        Calculate_cap_emi!$BD$14:$BD$21, "Not found", 0), LOOKUP(K134,EOL!$C$24:$D$24,EOL!$C$26:$D$26) + _xlfn.XLOOKUP(J134,EOL!$C$18:$N$18,EOL!$C$20:$N$20) + _xlfn.XLOOKUP(B134&amp;"|"&amp;E134,
        Calculate_cap_emi!$L$14:$L$21&amp;"|"&amp;Calculate_cap_emi!$I$14:$I$21,
        Calculate_cap_emi!$BD$14:$BD$21, "Not found", 0))</f>
        <v>904.66495761009014</v>
      </c>
      <c r="T134" s="8" cm="1">
        <f t="array" ref="T134">_xlfn.SWITCH(K134,200,_xlfn.XLOOKUP(J134,Other!$C$18:$N$18,Other!$C$20:$N$20) + _xlfn.XLOOKUP(B134&amp;"|"&amp;E134,
        Calculate_cap_emi!$L$14:$L$21&amp;"|"&amp;Calculate_cap_emi!$I$14:$I$21,
        Calculate_cap_emi!$BK$14:$BK$21, "Not found", 0), LOOKUP(K134,Other!$C$24:$D$24,Other!$C$26:$D$26) + _xlfn.XLOOKUP(J134,Other!$C$18:$N$18,Other!$C$20:$N$20) + _xlfn.XLOOKUP(B134&amp;"|"&amp;E134,
        Calculate_cap_emi!$L$14:$L$21&amp;"|"&amp;Calculate_cap_emi!$I$14:$I$21,
        Calculate_cap_emi!$BK$14:$BK$21, "Not found", 0))</f>
        <v>2884.5206288537497</v>
      </c>
      <c r="U134" s="8" cm="1">
        <f t="array" ref="U134">_xlfn.SWITCH(K134,200,_xlfn.XLOOKUP(J134,EOL_R!$C$18:$N$18,EOL_R!$C$20:$N$20) + _xlfn.XLOOKUP(B134&amp;"|"&amp;E134,
        Calculate_cap_emi_sens!$L$14:$L$21&amp;"|"&amp;Calculate_cap_emi_sens!$I$14:$I$21,
        Calculate_cap_emi_sens!$BD$14:$BD$21, "Not found", 0), LOOKUP(K134,EOL_R!$C$24:$D$24,EOL_R!$C$26:$D$26) + _xlfn.XLOOKUP(J134,EOL_R!$C$18:$N$18,EOL_R!$C$20:$N$20) + _xlfn.XLOOKUP(B134&amp;"|"&amp;E134,
        Calculate_cap_emi_sens!$L$14:$L$21&amp;"|"&amp;Calculate_cap_emi_sens!$I$14:$I$21,
        Calculate_cap_emi_sens!$BD$14:$BD$21, "Not found", 0))</f>
        <v>734.10369589541574</v>
      </c>
      <c r="V134" s="8" cm="1">
        <f t="array" ref="V134">_xlfn.SWITCH(K134,200,_xlfn.XLOOKUP(J134,Other_R!$C$18:$N$18,Other_R!$C$20:$N$20) + _xlfn.XLOOKUP(B134&amp;"|"&amp;E134,
        Calculate_cap_emi_sens!$L$14:$L$21&amp;"|"&amp;Calculate_cap_emi_sens!$I$14:$I$21,
        Calculate_cap_emi_sens!$BK$14:$BK$21, "Not found", 0), LOOKUP(K134,Other_R!$C$24:$D$24,Other_R!$C$26:$D$26) + _xlfn.XLOOKUP(J134,Other_R!$C$18:$N$18,Other_R!$C$20:$N$20) + _xlfn.XLOOKUP(B134&amp;"|"&amp;E134,
        Calculate_cap_emi_sens!$L$14:$L$21&amp;"|"&amp;Calculate_cap_emi_sens!$I$14:$I$21,
        Calculate_cap_emi_sens!$BK$14:$BK$21, "Not found", 0))</f>
        <v>2381.3657851481726</v>
      </c>
      <c r="W134" s="5">
        <f>Results_proc_ener!L134</f>
        <v>134137.93115752743</v>
      </c>
      <c r="X134" s="5">
        <f>Results_proc_ener!M134</f>
        <v>50824.518000459248</v>
      </c>
      <c r="Y134" s="5">
        <f>Results_proc_ener!N134</f>
        <v>20573.31818181818</v>
      </c>
      <c r="Z134" s="5">
        <f>Results_proc_ener!O134</f>
        <v>62740.094975250002</v>
      </c>
      <c r="AA134" s="5">
        <f>Results_proc_ener!P134</f>
        <v>134137.93115752743</v>
      </c>
      <c r="AB134" s="5">
        <f>Results_proc_ener!Q134</f>
        <v>3185.5242435209439</v>
      </c>
      <c r="AC134" s="5">
        <f>Results_proc_ener!R134</f>
        <v>314.64940903872991</v>
      </c>
      <c r="AD134" s="5">
        <f>Results_proc_ener!S134</f>
        <v>26912.180127763633</v>
      </c>
      <c r="AE134" s="5">
        <f>Results_proc_ener!T134</f>
        <v>95332.025729175628</v>
      </c>
    </row>
    <row r="135" spans="1:31" x14ac:dyDescent="0.25">
      <c r="A135" s="5"/>
      <c r="B135" s="5" t="str">
        <f t="shared" si="6"/>
        <v>Mass-Nom</v>
      </c>
      <c r="C135" s="5" t="s">
        <v>37</v>
      </c>
      <c r="D135" s="5" t="str">
        <f t="shared" si="5"/>
        <v>Nom</v>
      </c>
      <c r="E135" s="5" t="s">
        <v>11</v>
      </c>
      <c r="F135" s="5" t="s">
        <v>57</v>
      </c>
      <c r="G135" s="5" t="s">
        <v>57</v>
      </c>
      <c r="H135" s="5">
        <v>14</v>
      </c>
      <c r="I135" s="5"/>
      <c r="J135" s="5">
        <f t="shared" si="7"/>
        <v>14</v>
      </c>
      <c r="K135" s="5">
        <v>1000</v>
      </c>
      <c r="L135" s="8" cm="1">
        <f t="array" ref="L135">_xlfn.SWITCH(K135,200,_xlfn.XLOOKUP(J135,Manufacture!$C$18:$N$18,Manufacture!$C$20:$N$20) + _xlfn.XLOOKUP(B135&amp;"|"&amp;E135,
        Calculate_cap_emi!$L$14:$L$21&amp;"|"&amp;Calculate_cap_emi!$I$14:$I$21,
        Calculate_cap_emi!$AI$14:$AI$21, "Not found", 0), LOOKUP(K135,Manufacture!$C$24:$D$24,Manufacture!$C$26:$D$26) + _xlfn.XLOOKUP(J135,Manufacture!$C$18:$N$18,Manufacture!$C$20:$N$20) + _xlfn.XLOOKUP(B135&amp;"|"&amp;E135,
        Calculate_cap_emi!$L$14:$L$21&amp;"|"&amp;Calculate_cap_emi!$I$14:$I$21,
        Calculate_cap_emi!$AI$14:$AI$21, "Not found", 0))</f>
        <v>4551.4070935248146</v>
      </c>
      <c r="M135" s="8">
        <f>_xlfn.XLOOKUP(J135,Manufacture!$C$18:$N$18,Manufacture!$C$20:$N$20)</f>
        <v>2067.610588235294</v>
      </c>
      <c r="N135" s="8" cm="1">
        <f t="array" ref="N135">_xlfn.SWITCH(K135,200,0,LOOKUP(K135,Manufacture!$C$24:$D$24,Manufacture!$C$26:$D$26))</f>
        <v>659.59090909090912</v>
      </c>
      <c r="O135" s="5" cm="1">
        <f t="array" ref="O135">_xlfn.XLOOKUP(B135&amp;"|"&amp;E135,
        Calculate_cap_emi!$L$14:$L$21&amp;"|"&amp;Calculate_cap_emi!$I$14:$I$21,
        Calculate_cap_emi!$AI$14:$AI$21, "Not found", 0)</f>
        <v>1824.2055961986114</v>
      </c>
      <c r="P135" s="8">
        <f t="shared" si="8"/>
        <v>4551.4070935248146</v>
      </c>
      <c r="Q135" s="8" cm="1">
        <f t="array" ref="Q135">_xlfn.SWITCH(K135,200,_xlfn.XLOOKUP(J135,Distribution!$C$18:$N$18,Distribution!$C$20:$N$20) + _xlfn.XLOOKUP(B135&amp;"|"&amp;E135,
        Calculate_cap_emi!$L$14:$L$21&amp;"|"&amp;Calculate_cap_emi!$I$14:$I$21,
        Calculate_cap_emi!$AP$14:$AP$21, "Not found", 0), LOOKUP(K135,Distribution!$C$24:$D$24,Distribution!$C$26:$D$26) + _xlfn.XLOOKUP(J135,Distribution!$C$18:$N$18,Distribution!$C$20:$N$20) + _xlfn.XLOOKUP(B135&amp;"|"&amp;E135,
        Calculate_cap_emi!$L$14:$L$21&amp;"|"&amp;Calculate_cap_emi!$I$14:$I$21,
        Calculate_cap_emi!$AP$14:$AP$21, "Not found", 0))</f>
        <v>151.00353162557275</v>
      </c>
      <c r="R135" s="8" cm="1">
        <f t="array" ref="R135">_xlfn.SWITCH(K135,200,_xlfn.XLOOKUP(J135,Installation!$C$18:$N$18,Installation!$C$20:$N$20) + _xlfn.XLOOKUP(B135&amp;"|"&amp;E135,
        Calculate_cap_emi!$L$14:$L$21&amp;"|"&amp;Calculate_cap_emi!$I$14:$I$21,
        Calculate_cap_emi!$AW$14:$AW$21, "Not found", 0), LOOKUP(K135,Installation!$C$24:$D$24,Installation!$C$26:$D$26) + _xlfn.XLOOKUP(J135,Installation!$C$18:$N$18,Installation!$C$20:$N$20) + _xlfn.XLOOKUP(B135&amp;"|"&amp;E135,
        Calculate_cap_emi!$L$14:$L$21&amp;"|"&amp;Calculate_cap_emi!$I$14:$I$21,
        Calculate_cap_emi!$AW$14:$AW$21, "Not found", 0))</f>
        <v>141.76461482948469</v>
      </c>
      <c r="S135" s="8" cm="1">
        <f t="array" ref="S135">_xlfn.SWITCH(K135,200,_xlfn.XLOOKUP(J135,EOL!$C$18:$N$18,EOL!$C$20:$N$20) + _xlfn.XLOOKUP(B135&amp;"|"&amp;E135,
        Calculate_cap_emi!$L$14:$L$21&amp;"|"&amp;Calculate_cap_emi!$I$14:$I$21,
        Calculate_cap_emi!$BD$14:$BD$21, "Not found", 0), LOOKUP(K135,EOL!$C$24:$D$24,EOL!$C$26:$D$26) + _xlfn.XLOOKUP(J135,EOL!$C$18:$N$18,EOL!$C$20:$N$20) + _xlfn.XLOOKUP(B135&amp;"|"&amp;E135,
        Calculate_cap_emi!$L$14:$L$21&amp;"|"&amp;Calculate_cap_emi!$I$14:$I$21,
        Calculate_cap_emi!$BD$14:$BD$21, "Not found", 0))</f>
        <v>934.44542819832554</v>
      </c>
      <c r="T135" s="8" cm="1">
        <f t="array" ref="T135">_xlfn.SWITCH(K135,200,_xlfn.XLOOKUP(J135,Other!$C$18:$N$18,Other!$C$20:$N$20) + _xlfn.XLOOKUP(B135&amp;"|"&amp;E135,
        Calculate_cap_emi!$L$14:$L$21&amp;"|"&amp;Calculate_cap_emi!$I$14:$I$21,
        Calculate_cap_emi!$BK$14:$BK$21, "Not found", 0), LOOKUP(K135,Other!$C$24:$D$24,Other!$C$26:$D$26) + _xlfn.XLOOKUP(J135,Other!$C$18:$N$18,Other!$C$20:$N$20) + _xlfn.XLOOKUP(B135&amp;"|"&amp;E135,
        Calculate_cap_emi!$L$14:$L$21&amp;"|"&amp;Calculate_cap_emi!$I$14:$I$21,
        Calculate_cap_emi!$BK$14:$BK$21, "Not found", 0))</f>
        <v>2928.3001287793631</v>
      </c>
      <c r="U135" s="8" cm="1">
        <f t="array" ref="U135">_xlfn.SWITCH(K135,200,_xlfn.XLOOKUP(J135,EOL_R!$C$18:$N$18,EOL_R!$C$20:$N$20) + _xlfn.XLOOKUP(B135&amp;"|"&amp;E135,
        Calculate_cap_emi_sens!$L$14:$L$21&amp;"|"&amp;Calculate_cap_emi_sens!$I$14:$I$21,
        Calculate_cap_emi_sens!$BD$14:$BD$21, "Not found", 0), LOOKUP(K135,EOL_R!$C$24:$D$24,EOL_R!$C$26:$D$26) + _xlfn.XLOOKUP(J135,EOL_R!$C$18:$N$18,EOL_R!$C$20:$N$20) + _xlfn.XLOOKUP(B135&amp;"|"&amp;E135,
        Calculate_cap_emi_sens!$L$14:$L$21&amp;"|"&amp;Calculate_cap_emi_sens!$I$14:$I$21,
        Calculate_cap_emi_sens!$BD$14:$BD$21, "Not found", 0))</f>
        <v>752.89929319370844</v>
      </c>
      <c r="V135" s="8" cm="1">
        <f t="array" ref="V135">_xlfn.SWITCH(K135,200,_xlfn.XLOOKUP(J135,Other_R!$C$18:$N$18,Other_R!$C$20:$N$20) + _xlfn.XLOOKUP(B135&amp;"|"&amp;E135,
        Calculate_cap_emi_sens!$L$14:$L$21&amp;"|"&amp;Calculate_cap_emi_sens!$I$14:$I$21,
        Calculate_cap_emi_sens!$BK$14:$BK$21, "Not found", 0), LOOKUP(K135,Other_R!$C$24:$D$24,Other_R!$C$26:$D$26) + _xlfn.XLOOKUP(J135,Other_R!$C$18:$N$18,Other_R!$C$20:$N$20) + _xlfn.XLOOKUP(B135&amp;"|"&amp;E135,
        Calculate_cap_emi_sens!$L$14:$L$21&amp;"|"&amp;Calculate_cap_emi_sens!$I$14:$I$21,
        Calculate_cap_emi_sens!$BK$14:$BK$21, "Not found", 0))</f>
        <v>2398.1994533536899</v>
      </c>
      <c r="W135" s="5">
        <f>Results_proc_ener!L135</f>
        <v>134847.60835812311</v>
      </c>
      <c r="X135" s="5">
        <f>Results_proc_ener!M135</f>
        <v>51534.195201054921</v>
      </c>
      <c r="Y135" s="5">
        <f>Results_proc_ener!N135</f>
        <v>20573.31818181818</v>
      </c>
      <c r="Z135" s="5">
        <f>Results_proc_ener!O135</f>
        <v>62740.094975250002</v>
      </c>
      <c r="AA135" s="5">
        <f>Results_proc_ener!P135</f>
        <v>134847.60835812311</v>
      </c>
      <c r="AB135" s="5">
        <f>Results_proc_ener!Q135</f>
        <v>3250.9328297912434</v>
      </c>
      <c r="AC135" s="5">
        <f>Results_proc_ener!R135</f>
        <v>319.56756555877445</v>
      </c>
      <c r="AD135" s="5">
        <f>Results_proc_ener!S135</f>
        <v>26912.180127763633</v>
      </c>
      <c r="AE135" s="5">
        <f>Results_proc_ener!T135</f>
        <v>95375.805229101243</v>
      </c>
    </row>
    <row r="136" spans="1:31" x14ac:dyDescent="0.25">
      <c r="A136" s="5"/>
      <c r="B136" s="5" t="str">
        <f t="shared" si="6"/>
        <v>Mod-Nom</v>
      </c>
      <c r="C136" s="5" t="s">
        <v>38</v>
      </c>
      <c r="D136" s="5" t="str">
        <f t="shared" si="5"/>
        <v>Nom</v>
      </c>
      <c r="E136" s="5" t="s">
        <v>11</v>
      </c>
      <c r="F136" s="5" t="s">
        <v>54</v>
      </c>
      <c r="G136" s="5" t="s">
        <v>54</v>
      </c>
      <c r="H136" s="5">
        <v>8.5</v>
      </c>
      <c r="I136" s="5"/>
      <c r="J136" s="5">
        <f t="shared" si="7"/>
        <v>9</v>
      </c>
      <c r="K136" s="5">
        <v>200</v>
      </c>
      <c r="L136" s="8" cm="1">
        <f t="array" ref="L136">_xlfn.SWITCH(K136,200,_xlfn.XLOOKUP(J136,Manufacture!$C$18:$N$18,Manufacture!$C$20:$N$20) + _xlfn.XLOOKUP(B136&amp;"|"&amp;E136,
        Calculate_cap_emi!$L$14:$L$21&amp;"|"&amp;Calculate_cap_emi!$I$14:$I$21,
        Calculate_cap_emi!$AI$14:$AI$21, "Not found", 0), LOOKUP(K136,Manufacture!$C$24:$D$24,Manufacture!$C$26:$D$26) + _xlfn.XLOOKUP(J136,Manufacture!$C$18:$N$18,Manufacture!$C$20:$N$20) + _xlfn.XLOOKUP(B136&amp;"|"&amp;E136,
        Calculate_cap_emi!$L$14:$L$21&amp;"|"&amp;Calculate_cap_emi!$I$14:$I$21,
        Calculate_cap_emi!$AI$14:$AI$21, "Not found", 0))</f>
        <v>4051.2274072735077</v>
      </c>
      <c r="M136" s="8">
        <f>_xlfn.XLOOKUP(J136,Manufacture!$C$18:$N$18,Manufacture!$C$20:$N$20)</f>
        <v>1869.654705882353</v>
      </c>
      <c r="N136" s="8" cm="1">
        <f t="array" ref="N136">_xlfn.SWITCH(K136,200,0,LOOKUP(K136,Manufacture!$C$24:$D$24,Manufacture!$C$26:$D$26))</f>
        <v>0</v>
      </c>
      <c r="O136" s="5" cm="1">
        <f t="array" ref="O136">_xlfn.XLOOKUP(B136&amp;"|"&amp;E136,
        Calculate_cap_emi!$L$14:$L$21&amp;"|"&amp;Calculate_cap_emi!$I$14:$I$21,
        Calculate_cap_emi!$AI$14:$AI$21, "Not found", 0)</f>
        <v>2181.5727013911546</v>
      </c>
      <c r="P136" s="8">
        <f t="shared" si="8"/>
        <v>4051.2274072735077</v>
      </c>
      <c r="Q136" s="8" cm="1">
        <f t="array" ref="Q136">_xlfn.SWITCH(K136,200,_xlfn.XLOOKUP(J136,Distribution!$C$18:$N$18,Distribution!$C$20:$N$20) + _xlfn.XLOOKUP(B136&amp;"|"&amp;E136,
        Calculate_cap_emi!$L$14:$L$21&amp;"|"&amp;Calculate_cap_emi!$I$14:$I$21,
        Calculate_cap_emi!$AP$14:$AP$21, "Not found", 0), LOOKUP(K136,Distribution!$C$24:$D$24,Distribution!$C$26:$D$26) + _xlfn.XLOOKUP(J136,Distribution!$C$18:$N$18,Distribution!$C$20:$N$20) + _xlfn.XLOOKUP(B136&amp;"|"&amp;E136,
        Calculate_cap_emi!$L$14:$L$21&amp;"|"&amp;Calculate_cap_emi!$I$14:$I$21,
        Calculate_cap_emi!$AP$14:$AP$21, "Not found", 0))</f>
        <v>137.41120351885436</v>
      </c>
      <c r="R136" s="8" cm="1">
        <f t="array" ref="R136">_xlfn.SWITCH(K136,200,_xlfn.XLOOKUP(J136,Installation!$C$18:$N$18,Installation!$C$20:$N$20) + _xlfn.XLOOKUP(B136&amp;"|"&amp;E136,
        Calculate_cap_emi!$L$14:$L$21&amp;"|"&amp;Calculate_cap_emi!$I$14:$I$21,
        Calculate_cap_emi!$AW$14:$AW$21, "Not found", 0), LOOKUP(K136,Installation!$C$24:$D$24,Installation!$C$26:$D$26) + _xlfn.XLOOKUP(J136,Installation!$C$18:$N$18,Installation!$C$20:$N$20) + _xlfn.XLOOKUP(B136&amp;"|"&amp;E136,
        Calculate_cap_emi!$L$14:$L$21&amp;"|"&amp;Calculate_cap_emi!$I$14:$I$21,
        Calculate_cap_emi!$AW$14:$AW$21, "Not found", 0))</f>
        <v>118.34738597701553</v>
      </c>
      <c r="S136" s="8" cm="1">
        <f t="array" ref="S136">_xlfn.SWITCH(K136,200,_xlfn.XLOOKUP(J136,EOL!$C$18:$N$18,EOL!$C$20:$N$20) + _xlfn.XLOOKUP(B136&amp;"|"&amp;E136,
        Calculate_cap_emi!$L$14:$L$21&amp;"|"&amp;Calculate_cap_emi!$I$14:$I$21,
        Calculate_cap_emi!$BD$14:$BD$21, "Not found", 0), LOOKUP(K136,EOL!$C$24:$D$24,EOL!$C$26:$D$26) + _xlfn.XLOOKUP(J136,EOL!$C$18:$N$18,EOL!$C$20:$N$20) + _xlfn.XLOOKUP(B136&amp;"|"&amp;E136,
        Calculate_cap_emi!$L$14:$L$21&amp;"|"&amp;Calculate_cap_emi!$I$14:$I$21,
        Calculate_cap_emi!$BD$14:$BD$21, "Not found", 0))</f>
        <v>647.74255982779414</v>
      </c>
      <c r="T136" s="8" cm="1">
        <f t="array" ref="T136">_xlfn.SWITCH(K136,200,_xlfn.XLOOKUP(J136,Other!$C$18:$N$18,Other!$C$20:$N$20) + _xlfn.XLOOKUP(B136&amp;"|"&amp;E136,
        Calculate_cap_emi!$L$14:$L$21&amp;"|"&amp;Calculate_cap_emi!$I$14:$I$21,
        Calculate_cap_emi!$BK$14:$BK$21, "Not found", 0), LOOKUP(K136,Other!$C$24:$D$24,Other!$C$26:$D$26) + _xlfn.XLOOKUP(J136,Other!$C$18:$N$18,Other!$C$20:$N$20) + _xlfn.XLOOKUP(B136&amp;"|"&amp;E136,
        Calculate_cap_emi!$L$14:$L$21&amp;"|"&amp;Calculate_cap_emi!$I$14:$I$21,
        Calculate_cap_emi!$BK$14:$BK$21, "Not found", 0))</f>
        <v>3157.3390126497034</v>
      </c>
      <c r="U136" s="8" cm="1">
        <f t="array" ref="U136">_xlfn.SWITCH(K136,200,_xlfn.XLOOKUP(J136,EOL_R!$C$18:$N$18,EOL_R!$C$20:$N$20) + _xlfn.XLOOKUP(B136&amp;"|"&amp;E136,
        Calculate_cap_emi_sens!$L$14:$L$21&amp;"|"&amp;Calculate_cap_emi_sens!$I$14:$I$21,
        Calculate_cap_emi_sens!$BD$14:$BD$21, "Not found", 0), LOOKUP(K136,EOL_R!$C$24:$D$24,EOL_R!$C$26:$D$26) + _xlfn.XLOOKUP(J136,EOL_R!$C$18:$N$18,EOL_R!$C$20:$N$20) + _xlfn.XLOOKUP(B136&amp;"|"&amp;E136,
        Calculate_cap_emi_sens!$L$14:$L$21&amp;"|"&amp;Calculate_cap_emi_sens!$I$14:$I$21,
        Calculate_cap_emi_sens!$BD$14:$BD$21, "Not found", 0))</f>
        <v>497.68170146659264</v>
      </c>
      <c r="V136" s="8" cm="1">
        <f t="array" ref="V136">_xlfn.SWITCH(K136,200,_xlfn.XLOOKUP(J136,Other_R!$C$18:$N$18,Other_R!$C$20:$N$20) + _xlfn.XLOOKUP(B136&amp;"|"&amp;E136,
        Calculate_cap_emi_sens!$L$14:$L$21&amp;"|"&amp;Calculate_cap_emi_sens!$I$14:$I$21,
        Calculate_cap_emi_sens!$BK$14:$BK$21, "Not found", 0), LOOKUP(K136,Other_R!$C$24:$D$24,Other_R!$C$26:$D$26) + _xlfn.XLOOKUP(J136,Other_R!$C$18:$N$18,Other_R!$C$20:$N$20) + _xlfn.XLOOKUP(B136&amp;"|"&amp;E136,
        Calculate_cap_emi_sens!$L$14:$L$21&amp;"|"&amp;Calculate_cap_emi_sens!$I$14:$I$21,
        Calculate_cap_emi_sens!$BK$14:$BK$21, "Not found", 0))</f>
        <v>2704.4715418046353</v>
      </c>
      <c r="W136" s="5">
        <f>Results_proc_ener!L136</f>
        <v>125048.09972056557</v>
      </c>
      <c r="X136" s="5">
        <f>Results_proc_ener!M136</f>
        <v>49760.002199565621</v>
      </c>
      <c r="Y136" s="5">
        <f>Results_proc_ener!N136</f>
        <v>0</v>
      </c>
      <c r="Z136" s="5">
        <f>Results_proc_ener!O136</f>
        <v>75288.097520999945</v>
      </c>
      <c r="AA136" s="5">
        <f>Results_proc_ener!P136</f>
        <v>125048.09972056557</v>
      </c>
      <c r="AB136" s="5">
        <f>Results_proc_ener!Q136</f>
        <v>2910.1829539650689</v>
      </c>
      <c r="AC136" s="5">
        <f>Results_proc_ener!R136</f>
        <v>284.18884522201552</v>
      </c>
      <c r="AD136" s="5">
        <f>Results_proc_ener!S136</f>
        <v>7144.3231776000002</v>
      </c>
      <c r="AE136" s="5">
        <f>Results_proc_ener!T136</f>
        <v>110961.59189388722</v>
      </c>
    </row>
    <row r="137" spans="1:31" x14ac:dyDescent="0.25">
      <c r="A137" s="5"/>
      <c r="B137" s="5" t="str">
        <f t="shared" si="6"/>
        <v>Mod-Nom</v>
      </c>
      <c r="C137" s="5" t="s">
        <v>38</v>
      </c>
      <c r="D137" s="5" t="str">
        <f t="shared" si="5"/>
        <v>Nom</v>
      </c>
      <c r="E137" s="5" t="s">
        <v>11</v>
      </c>
      <c r="F137" s="5" t="s">
        <v>54</v>
      </c>
      <c r="G137" s="5" t="s">
        <v>54</v>
      </c>
      <c r="H137" s="5">
        <v>11.2</v>
      </c>
      <c r="I137" s="5"/>
      <c r="J137" s="5">
        <f t="shared" si="7"/>
        <v>12</v>
      </c>
      <c r="K137" s="5">
        <v>200</v>
      </c>
      <c r="L137" s="8" cm="1">
        <f t="array" ref="L137">_xlfn.SWITCH(K137,200,_xlfn.XLOOKUP(J137,Manufacture!$C$18:$N$18,Manufacture!$C$20:$N$20) + _xlfn.XLOOKUP(B137&amp;"|"&amp;E137,
        Calculate_cap_emi!$L$14:$L$21&amp;"|"&amp;Calculate_cap_emi!$I$14:$I$21,
        Calculate_cap_emi!$AI$14:$AI$21, "Not found", 0), LOOKUP(K137,Manufacture!$C$24:$D$24,Manufacture!$C$26:$D$26) + _xlfn.XLOOKUP(J137,Manufacture!$C$18:$N$18,Manufacture!$C$20:$N$20) + _xlfn.XLOOKUP(B137&amp;"|"&amp;E137,
        Calculate_cap_emi!$L$14:$L$21&amp;"|"&amp;Calculate_cap_emi!$I$14:$I$21,
        Calculate_cap_emi!$AI$14:$AI$21, "Not found", 0))</f>
        <v>4170.0009366852719</v>
      </c>
      <c r="M137" s="8">
        <f>_xlfn.XLOOKUP(J137,Manufacture!$C$18:$N$18,Manufacture!$C$20:$N$20)</f>
        <v>1988.4282352941175</v>
      </c>
      <c r="N137" s="8" cm="1">
        <f t="array" ref="N137">_xlfn.SWITCH(K137,200,0,LOOKUP(K137,Manufacture!$C$24:$D$24,Manufacture!$C$26:$D$26))</f>
        <v>0</v>
      </c>
      <c r="O137" s="5" cm="1">
        <f t="array" ref="O137">_xlfn.XLOOKUP(B137&amp;"|"&amp;E137,
        Calculate_cap_emi!$L$14:$L$21&amp;"|"&amp;Calculate_cap_emi!$I$14:$I$21,
        Calculate_cap_emi!$AI$14:$AI$21, "Not found", 0)</f>
        <v>2181.5727013911546</v>
      </c>
      <c r="P137" s="8">
        <f t="shared" si="8"/>
        <v>4170.0009366852719</v>
      </c>
      <c r="Q137" s="8" cm="1">
        <f t="array" ref="Q137">_xlfn.SWITCH(K137,200,_xlfn.XLOOKUP(J137,Distribution!$C$18:$N$18,Distribution!$C$20:$N$20) + _xlfn.XLOOKUP(B137&amp;"|"&amp;E137,
        Calculate_cap_emi!$L$14:$L$21&amp;"|"&amp;Calculate_cap_emi!$I$14:$I$21,
        Calculate_cap_emi!$AP$14:$AP$21, "Not found", 0), LOOKUP(K137,Distribution!$C$24:$D$24,Distribution!$C$26:$D$26) + _xlfn.XLOOKUP(J137,Distribution!$C$18:$N$18,Distribution!$C$20:$N$20) + _xlfn.XLOOKUP(B137&amp;"|"&amp;E137,
        Calculate_cap_emi!$L$14:$L$21&amp;"|"&amp;Calculate_cap_emi!$I$14:$I$21,
        Calculate_cap_emi!$AP$14:$AP$21, "Not found", 0))</f>
        <v>142.04383626156024</v>
      </c>
      <c r="R137" s="8" cm="1">
        <f t="array" ref="R137">_xlfn.SWITCH(K137,200,_xlfn.XLOOKUP(J137,Installation!$C$18:$N$18,Installation!$C$20:$N$20) + _xlfn.XLOOKUP(B137&amp;"|"&amp;E137,
        Calculate_cap_emi!$L$14:$L$21&amp;"|"&amp;Calculate_cap_emi!$I$14:$I$21,
        Calculate_cap_emi!$AW$14:$AW$21, "Not found", 0), LOOKUP(K137,Installation!$C$24:$D$24,Installation!$C$26:$D$26) + _xlfn.XLOOKUP(J137,Installation!$C$18:$N$18,Installation!$C$20:$N$20) + _xlfn.XLOOKUP(B137&amp;"|"&amp;E137,
        Calculate_cap_emi!$L$14:$L$21&amp;"|"&amp;Calculate_cap_emi!$I$14:$I$21,
        Calculate_cap_emi!$AW$14:$AW$21, "Not found", 0))</f>
        <v>125.72462075708219</v>
      </c>
      <c r="S137" s="8" cm="1">
        <f t="array" ref="S137">_xlfn.SWITCH(K137,200,_xlfn.XLOOKUP(J137,EOL!$C$18:$N$18,EOL!$C$20:$N$20) + _xlfn.XLOOKUP(B137&amp;"|"&amp;E137,
        Calculate_cap_emi!$L$14:$L$21&amp;"|"&amp;Calculate_cap_emi!$I$14:$I$21,
        Calculate_cap_emi!$BD$14:$BD$21, "Not found", 0), LOOKUP(K137,EOL!$C$24:$D$24,EOL!$C$26:$D$26) + _xlfn.XLOOKUP(J137,EOL!$C$18:$N$18,EOL!$C$20:$N$20) + _xlfn.XLOOKUP(B137&amp;"|"&amp;E137,
        Calculate_cap_emi!$L$14:$L$21&amp;"|"&amp;Calculate_cap_emi!$I$14:$I$21,
        Calculate_cap_emi!$BD$14:$BD$21, "Not found", 0))</f>
        <v>692.41326571014702</v>
      </c>
      <c r="T137" s="8" cm="1">
        <f t="array" ref="T137">_xlfn.SWITCH(K137,200,_xlfn.XLOOKUP(J137,Other!$C$18:$N$18,Other!$C$20:$N$20) + _xlfn.XLOOKUP(B137&amp;"|"&amp;E137,
        Calculate_cap_emi!$L$14:$L$21&amp;"|"&amp;Calculate_cap_emi!$I$14:$I$21,
        Calculate_cap_emi!$BK$14:$BK$21, "Not found", 0), LOOKUP(K137,Other!$C$24:$D$24,Other!$C$26:$D$26) + _xlfn.XLOOKUP(J137,Other!$C$18:$N$18,Other!$C$20:$N$20) + _xlfn.XLOOKUP(B137&amp;"|"&amp;E137,
        Calculate_cap_emi!$L$14:$L$21&amp;"|"&amp;Calculate_cap_emi!$I$14:$I$21,
        Calculate_cap_emi!$BK$14:$BK$21, "Not found", 0))</f>
        <v>3223.0082625381247</v>
      </c>
      <c r="U137" s="8" cm="1">
        <f t="array" ref="U137">_xlfn.SWITCH(K137,200,_xlfn.XLOOKUP(J137,EOL_R!$C$18:$N$18,EOL_R!$C$20:$N$20) + _xlfn.XLOOKUP(B137&amp;"|"&amp;E137,
        Calculate_cap_emi_sens!$L$14:$L$21&amp;"|"&amp;Calculate_cap_emi_sens!$I$14:$I$21,
        Calculate_cap_emi_sens!$BD$14:$BD$21, "Not found", 0), LOOKUP(K137,EOL_R!$C$24:$D$24,EOL_R!$C$26:$D$26) + _xlfn.XLOOKUP(J137,EOL_R!$C$18:$N$18,EOL_R!$C$20:$N$20) + _xlfn.XLOOKUP(B137&amp;"|"&amp;E137,
        Calculate_cap_emi_sens!$L$14:$L$21&amp;"|"&amp;Calculate_cap_emi_sens!$I$14:$I$21,
        Calculate_cap_emi_sens!$BD$14:$BD$21, "Not found", 0))</f>
        <v>521.8520039954725</v>
      </c>
      <c r="V137" s="8" cm="1">
        <f t="array" ref="V137">_xlfn.SWITCH(K137,200,_xlfn.XLOOKUP(J137,Other_R!$C$18:$N$18,Other_R!$C$20:$N$20) + _xlfn.XLOOKUP(B137&amp;"|"&amp;E137,
        Calculate_cap_emi_sens!$L$14:$L$21&amp;"|"&amp;Calculate_cap_emi_sens!$I$14:$I$21,
        Calculate_cap_emi_sens!$BK$14:$BK$21, "Not found", 0), LOOKUP(K137,Other_R!$C$24:$D$24,Other_R!$C$26:$D$26) + _xlfn.XLOOKUP(J137,Other_R!$C$18:$N$18,Other_R!$C$20:$N$20) + _xlfn.XLOOKUP(B137&amp;"|"&amp;E137,
        Calculate_cap_emi_sens!$L$14:$L$21&amp;"|"&amp;Calculate_cap_emi_sens!$I$14:$I$21,
        Calculate_cap_emi_sens!$BK$14:$BK$21, "Not found", 0))</f>
        <v>2719.8534188325475</v>
      </c>
      <c r="W137" s="5">
        <f>Results_proc_ener!L137</f>
        <v>126112.6155214592</v>
      </c>
      <c r="X137" s="5">
        <f>Results_proc_ener!M137</f>
        <v>50824.518000459248</v>
      </c>
      <c r="Y137" s="5">
        <f>Results_proc_ener!N137</f>
        <v>0</v>
      </c>
      <c r="Z137" s="5">
        <f>Results_proc_ener!O137</f>
        <v>75288.097520999945</v>
      </c>
      <c r="AA137" s="5">
        <f>Results_proc_ener!P137</f>
        <v>126112.6155214592</v>
      </c>
      <c r="AB137" s="5">
        <f>Results_proc_ener!Q137</f>
        <v>3008.2958333705192</v>
      </c>
      <c r="AC137" s="5">
        <f>Results_proc_ener!R137</f>
        <v>291.56608000208223</v>
      </c>
      <c r="AD137" s="5">
        <f>Results_proc_ener!S137</f>
        <v>7144.3231776000002</v>
      </c>
      <c r="AE137" s="5">
        <f>Results_proc_ener!T137</f>
        <v>111027.26114377564</v>
      </c>
    </row>
    <row r="138" spans="1:31" x14ac:dyDescent="0.25">
      <c r="A138" s="5"/>
      <c r="B138" s="5" t="str">
        <f t="shared" si="6"/>
        <v>Mod-Nom</v>
      </c>
      <c r="C138" s="5" t="s">
        <v>38</v>
      </c>
      <c r="D138" s="5" t="str">
        <f t="shared" si="5"/>
        <v>Nom</v>
      </c>
      <c r="E138" s="5" t="s">
        <v>11</v>
      </c>
      <c r="F138" s="5" t="s">
        <v>54</v>
      </c>
      <c r="G138" s="5" t="s">
        <v>54</v>
      </c>
      <c r="H138" s="5">
        <v>14</v>
      </c>
      <c r="I138" s="5"/>
      <c r="J138" s="5">
        <f t="shared" si="7"/>
        <v>14</v>
      </c>
      <c r="K138" s="5">
        <v>200</v>
      </c>
      <c r="L138" s="8" cm="1">
        <f t="array" ref="L138">_xlfn.SWITCH(K138,200,_xlfn.XLOOKUP(J138,Manufacture!$C$18:$N$18,Manufacture!$C$20:$N$20) + _xlfn.XLOOKUP(B138&amp;"|"&amp;E138,
        Calculate_cap_emi!$L$14:$L$21&amp;"|"&amp;Calculate_cap_emi!$I$14:$I$21,
        Calculate_cap_emi!$AI$14:$AI$21, "Not found", 0), LOOKUP(K138,Manufacture!$C$24:$D$24,Manufacture!$C$26:$D$26) + _xlfn.XLOOKUP(J138,Manufacture!$C$18:$N$18,Manufacture!$C$20:$N$20) + _xlfn.XLOOKUP(B138&amp;"|"&amp;E138,
        Calculate_cap_emi!$L$14:$L$21&amp;"|"&amp;Calculate_cap_emi!$I$14:$I$21,
        Calculate_cap_emi!$AI$14:$AI$21, "Not found", 0))</f>
        <v>4249.1832896264486</v>
      </c>
      <c r="M138" s="8">
        <f>_xlfn.XLOOKUP(J138,Manufacture!$C$18:$N$18,Manufacture!$C$20:$N$20)</f>
        <v>2067.610588235294</v>
      </c>
      <c r="N138" s="8" cm="1">
        <f t="array" ref="N138">_xlfn.SWITCH(K138,200,0,LOOKUP(K138,Manufacture!$C$24:$D$24,Manufacture!$C$26:$D$26))</f>
        <v>0</v>
      </c>
      <c r="O138" s="5" cm="1">
        <f t="array" ref="O138">_xlfn.XLOOKUP(B138&amp;"|"&amp;E138,
        Calculate_cap_emi!$L$14:$L$21&amp;"|"&amp;Calculate_cap_emi!$I$14:$I$21,
        Calculate_cap_emi!$AI$14:$AI$21, "Not found", 0)</f>
        <v>2181.5727013911546</v>
      </c>
      <c r="P138" s="8">
        <f t="shared" si="8"/>
        <v>4249.1832896264486</v>
      </c>
      <c r="Q138" s="8" cm="1">
        <f t="array" ref="Q138">_xlfn.SWITCH(K138,200,_xlfn.XLOOKUP(J138,Distribution!$C$18:$N$18,Distribution!$C$20:$N$20) + _xlfn.XLOOKUP(B138&amp;"|"&amp;E138,
        Calculate_cap_emi!$L$14:$L$21&amp;"|"&amp;Calculate_cap_emi!$I$14:$I$21,
        Calculate_cap_emi!$AP$14:$AP$21, "Not found", 0), LOOKUP(K138,Distribution!$C$24:$D$24,Distribution!$C$26:$D$26) + _xlfn.XLOOKUP(J138,Distribution!$C$18:$N$18,Distribution!$C$20:$N$20) + _xlfn.XLOOKUP(B138&amp;"|"&amp;E138,
        Calculate_cap_emi!$L$14:$L$21&amp;"|"&amp;Calculate_cap_emi!$I$14:$I$21,
        Calculate_cap_emi!$AP$14:$AP$21, "Not found", 0))</f>
        <v>145.1322580900308</v>
      </c>
      <c r="R138" s="8" cm="1">
        <f t="array" ref="R138">_xlfn.SWITCH(K138,200,_xlfn.XLOOKUP(J138,Installation!$C$18:$N$18,Installation!$C$20:$N$20) + _xlfn.XLOOKUP(B138&amp;"|"&amp;E138,
        Calculate_cap_emi!$L$14:$L$21&amp;"|"&amp;Calculate_cap_emi!$I$14:$I$21,
        Calculate_cap_emi!$AW$14:$AW$21, "Not found", 0), LOOKUP(K138,Installation!$C$24:$D$24,Installation!$C$26:$D$26) + _xlfn.XLOOKUP(J138,Installation!$C$18:$N$18,Installation!$C$20:$N$20) + _xlfn.XLOOKUP(B138&amp;"|"&amp;E138,
        Calculate_cap_emi!$L$14:$L$21&amp;"|"&amp;Calculate_cap_emi!$I$14:$I$21,
        Calculate_cap_emi!$AW$14:$AW$21, "Not found", 0))</f>
        <v>130.64277727712673</v>
      </c>
      <c r="S138" s="8" cm="1">
        <f t="array" ref="S138">_xlfn.SWITCH(K138,200,_xlfn.XLOOKUP(J138,EOL!$C$18:$N$18,EOL!$C$20:$N$20) + _xlfn.XLOOKUP(B138&amp;"|"&amp;E138,
        Calculate_cap_emi!$L$14:$L$21&amp;"|"&amp;Calculate_cap_emi!$I$14:$I$21,
        Calculate_cap_emi!$BD$14:$BD$21, "Not found", 0), LOOKUP(K138,EOL!$C$24:$D$24,EOL!$C$26:$D$26) + _xlfn.XLOOKUP(J138,EOL!$C$18:$N$18,EOL!$C$20:$N$20) + _xlfn.XLOOKUP(B138&amp;"|"&amp;E138,
        Calculate_cap_emi!$L$14:$L$21&amp;"|"&amp;Calculate_cap_emi!$I$14:$I$21,
        Calculate_cap_emi!$BD$14:$BD$21, "Not found", 0))</f>
        <v>722.1937362983823</v>
      </c>
      <c r="T138" s="8" cm="1">
        <f t="array" ref="T138">_xlfn.SWITCH(K138,200,_xlfn.XLOOKUP(J138,Other!$C$18:$N$18,Other!$C$20:$N$20) + _xlfn.XLOOKUP(B138&amp;"|"&amp;E138,
        Calculate_cap_emi!$L$14:$L$21&amp;"|"&amp;Calculate_cap_emi!$I$14:$I$21,
        Calculate_cap_emi!$BK$14:$BK$21, "Not found", 0), LOOKUP(K138,Other!$C$24:$D$24,Other!$C$26:$D$26) + _xlfn.XLOOKUP(J138,Other!$C$18:$N$18,Other!$C$20:$N$20) + _xlfn.XLOOKUP(B138&amp;"|"&amp;E138,
        Calculate_cap_emi!$L$14:$L$21&amp;"|"&amp;Calculate_cap_emi!$I$14:$I$21,
        Calculate_cap_emi!$BK$14:$BK$21, "Not found", 0))</f>
        <v>3266.7877624637385</v>
      </c>
      <c r="U138" s="8" cm="1">
        <f t="array" ref="U138">_xlfn.SWITCH(K138,200,_xlfn.XLOOKUP(J138,EOL_R!$C$18:$N$18,EOL_R!$C$20:$N$20) + _xlfn.XLOOKUP(B138&amp;"|"&amp;E138,
        Calculate_cap_emi_sens!$L$14:$L$21&amp;"|"&amp;Calculate_cap_emi_sens!$I$14:$I$21,
        Calculate_cap_emi_sens!$BD$14:$BD$21, "Not found", 0), LOOKUP(K138,EOL_R!$C$24:$D$24,EOL_R!$C$26:$D$26) + _xlfn.XLOOKUP(J138,EOL_R!$C$18:$N$18,EOL_R!$C$20:$N$20) + _xlfn.XLOOKUP(B138&amp;"|"&amp;E138,
        Calculate_cap_emi_sens!$L$14:$L$21&amp;"|"&amp;Calculate_cap_emi_sens!$I$14:$I$21,
        Calculate_cap_emi_sens!$BD$14:$BD$21, "Not found", 0))</f>
        <v>540.64760129376521</v>
      </c>
      <c r="V138" s="8" cm="1">
        <f t="array" ref="V138">_xlfn.SWITCH(K138,200,_xlfn.XLOOKUP(J138,Other_R!$C$18:$N$18,Other_R!$C$20:$N$20) + _xlfn.XLOOKUP(B138&amp;"|"&amp;E138,
        Calculate_cap_emi_sens!$L$14:$L$21&amp;"|"&amp;Calculate_cap_emi_sens!$I$14:$I$21,
        Calculate_cap_emi_sens!$BK$14:$BK$21, "Not found", 0), LOOKUP(K138,Other_R!$C$24:$D$24,Other_R!$C$26:$D$26) + _xlfn.XLOOKUP(J138,Other_R!$C$18:$N$18,Other_R!$C$20:$N$20) + _xlfn.XLOOKUP(B138&amp;"|"&amp;E138,
        Calculate_cap_emi_sens!$L$14:$L$21&amp;"|"&amp;Calculate_cap_emi_sens!$I$14:$I$21,
        Calculate_cap_emi_sens!$BK$14:$BK$21, "Not found", 0))</f>
        <v>2736.6870870380649</v>
      </c>
      <c r="W138" s="5">
        <f>Results_proc_ener!L138</f>
        <v>126822.29272205487</v>
      </c>
      <c r="X138" s="5">
        <f>Results_proc_ener!M138</f>
        <v>51534.195201054921</v>
      </c>
      <c r="Y138" s="5">
        <f>Results_proc_ener!N138</f>
        <v>0</v>
      </c>
      <c r="Z138" s="5">
        <f>Results_proc_ener!O138</f>
        <v>75288.097520999945</v>
      </c>
      <c r="AA138" s="5">
        <f>Results_proc_ener!P138</f>
        <v>126822.29272205487</v>
      </c>
      <c r="AB138" s="5">
        <f>Results_proc_ener!Q138</f>
        <v>3073.7044196408187</v>
      </c>
      <c r="AC138" s="5">
        <f>Results_proc_ener!R138</f>
        <v>296.48423652212671</v>
      </c>
      <c r="AD138" s="5">
        <f>Results_proc_ener!S138</f>
        <v>7144.3231776000002</v>
      </c>
      <c r="AE138" s="5">
        <f>Results_proc_ener!T138</f>
        <v>111071.04064370126</v>
      </c>
    </row>
    <row r="139" spans="1:31" x14ac:dyDescent="0.25">
      <c r="A139" s="5"/>
      <c r="B139" s="5" t="str">
        <f>CONCATENATE(C139, "-", "Nom")</f>
        <v>Mod-Nom</v>
      </c>
      <c r="C139" s="5" t="s">
        <v>38</v>
      </c>
      <c r="D139" s="5" t="str">
        <f>_xlfn.TEXTAFTER(B139, "-", 1)</f>
        <v>Nom</v>
      </c>
      <c r="E139" s="5" t="s">
        <v>11</v>
      </c>
      <c r="F139" s="5" t="s">
        <v>55</v>
      </c>
      <c r="G139" s="5" t="s">
        <v>55</v>
      </c>
      <c r="H139" s="5">
        <v>5</v>
      </c>
      <c r="I139" s="5"/>
      <c r="J139" s="5">
        <f t="shared" si="7"/>
        <v>5</v>
      </c>
      <c r="K139" s="5">
        <v>500</v>
      </c>
      <c r="L139" s="8" cm="1">
        <f t="array" ref="L139">_xlfn.SWITCH(K139,200,_xlfn.XLOOKUP(J139,Manufacture!$C$18:$N$18,Manufacture!$C$20:$N$20) + _xlfn.XLOOKUP(B139&amp;"|"&amp;E139,
        Calculate_cap_emi!$L$14:$L$21&amp;"|"&amp;Calculate_cap_emi!$I$14:$I$21,
        Calculate_cap_emi!$AI$14:$AI$21, "Not found", 0), LOOKUP(K139,Manufacture!$C$24:$D$24,Manufacture!$C$26:$D$26) + _xlfn.XLOOKUP(J139,Manufacture!$C$18:$N$18,Manufacture!$C$20:$N$20) + _xlfn.XLOOKUP(B139&amp;"|"&amp;E139,
        Calculate_cap_emi!$L$14:$L$21&amp;"|"&amp;Calculate_cap_emi!$I$14:$I$21,
        Calculate_cap_emi!$AI$14:$AI$21, "Not found", 0))</f>
        <v>4228.8627013911546</v>
      </c>
      <c r="M139" s="8">
        <f>_xlfn.XLOOKUP(J139,Manufacture!$C$18:$N$18,Manufacture!$C$20:$N$20)</f>
        <v>1711.29</v>
      </c>
      <c r="N139" s="8" cm="1">
        <f t="array" ref="N139">_xlfn.SWITCH(K139,200,0,LOOKUP(K139,Manufacture!$C$24:$D$24,Manufacture!$C$26:$D$26))</f>
        <v>336</v>
      </c>
      <c r="O139" s="5" cm="1">
        <f t="array" ref="O139">_xlfn.XLOOKUP(B139&amp;"|"&amp;E139,
        Calculate_cap_emi!$L$14:$L$21&amp;"|"&amp;Calculate_cap_emi!$I$14:$I$21,
        Calculate_cap_emi!$AI$14:$AI$21, "Not found", 0)</f>
        <v>2181.5727013911546</v>
      </c>
      <c r="P139" s="8">
        <f t="shared" si="8"/>
        <v>4228.8627013911546</v>
      </c>
      <c r="Q139" s="8" cm="1">
        <f t="array" ref="Q139">_xlfn.SWITCH(K139,200,_xlfn.XLOOKUP(J139,Distribution!$C$18:$N$18,Distribution!$C$20:$N$20) + _xlfn.XLOOKUP(B139&amp;"|"&amp;E139,
        Calculate_cap_emi!$L$14:$L$21&amp;"|"&amp;Calculate_cap_emi!$I$14:$I$21,
        Calculate_cap_emi!$AP$14:$AP$21, "Not found", 0), LOOKUP(K139,Distribution!$C$24:$D$24,Distribution!$C$26:$D$26) + _xlfn.XLOOKUP(J139,Distribution!$C$18:$N$18,Distribution!$C$20:$N$20) + _xlfn.XLOOKUP(B139&amp;"|"&amp;E139,
        Calculate_cap_emi!$L$14:$L$21&amp;"|"&amp;Calculate_cap_emi!$I$14:$I$21,
        Calculate_cap_emi!$AP$14:$AP$21, "Not found", 0))</f>
        <v>138.78732104373137</v>
      </c>
      <c r="R139" s="8" cm="1">
        <f t="array" ref="R139">_xlfn.SWITCH(K139,200,_xlfn.XLOOKUP(J139,Installation!$C$18:$N$18,Installation!$C$20:$N$20) + _xlfn.XLOOKUP(B139&amp;"|"&amp;E139,
        Calculate_cap_emi!$L$14:$L$21&amp;"|"&amp;Calculate_cap_emi!$I$14:$I$21,
        Calculate_cap_emi!$AW$14:$AW$21, "Not found", 0), LOOKUP(K139,Installation!$C$24:$D$24,Installation!$C$26:$D$26) + _xlfn.XLOOKUP(J139,Installation!$C$18:$N$18,Installation!$C$20:$N$20) + _xlfn.XLOOKUP(B139&amp;"|"&amp;E139,
        Calculate_cap_emi!$L$14:$L$21&amp;"|"&amp;Calculate_cap_emi!$I$14:$I$21,
        Calculate_cap_emi!$AW$14:$AW$21, "Not found", 0))</f>
        <v>119.96561839147222</v>
      </c>
      <c r="S139" s="8" cm="1">
        <f t="array" ref="S139">_xlfn.SWITCH(K139,200,_xlfn.XLOOKUP(J139,EOL!$C$18:$N$18,EOL!$C$20:$N$20) + _xlfn.XLOOKUP(B139&amp;"|"&amp;E139,
        Calculate_cap_emi!$L$14:$L$21&amp;"|"&amp;Calculate_cap_emi!$I$14:$I$21,
        Calculate_cap_emi!$BD$14:$BD$21, "Not found", 0), LOOKUP(K139,EOL!$C$24:$D$24,EOL!$C$26:$D$26) + _xlfn.XLOOKUP(J139,EOL!$C$18:$N$18,EOL!$C$20:$N$20) + _xlfn.XLOOKUP(B139&amp;"|"&amp;E139,
        Calculate_cap_emi!$L$14:$L$21&amp;"|"&amp;Calculate_cap_emi!$I$14:$I$21,
        Calculate_cap_emi!$BD$14:$BD$21, "Not found", 0))</f>
        <v>718.95434592405081</v>
      </c>
      <c r="T139" s="8" cm="1">
        <f t="array" ref="T139">_xlfn.SWITCH(K139,200,_xlfn.XLOOKUP(J139,Other!$C$18:$N$18,Other!$C$20:$N$20) + _xlfn.XLOOKUP(B139&amp;"|"&amp;E139,
        Calculate_cap_emi!$L$14:$L$21&amp;"|"&amp;Calculate_cap_emi!$I$14:$I$21,
        Calculate_cap_emi!$BK$14:$BK$21, "Not found", 0), LOOKUP(K139,Other!$C$24:$D$24,Other!$C$26:$D$26) + _xlfn.XLOOKUP(J139,Other!$C$18:$N$18,Other!$C$20:$N$20) + _xlfn.XLOOKUP(B139&amp;"|"&amp;E139,
        Calculate_cap_emi!$L$14:$L$21&amp;"|"&amp;Calculate_cap_emi!$I$14:$I$21,
        Calculate_cap_emi!$BK$14:$BK$21, "Not found", 0))</f>
        <v>3069.7800127984765</v>
      </c>
      <c r="U139" s="8" cm="1">
        <f t="array" ref="U139">_xlfn.SWITCH(K139,200,_xlfn.XLOOKUP(J139,EOL_R!$C$18:$N$18,EOL_R!$C$20:$N$20) + _xlfn.XLOOKUP(B139&amp;"|"&amp;E139,
        Calculate_cap_emi_sens!$L$14:$L$21&amp;"|"&amp;Calculate_cap_emi_sens!$I$14:$I$21,
        Calculate_cap_emi_sens!$BD$14:$BD$21, "Not found", 0), LOOKUP(K139,EOL_R!$C$24:$D$24,EOL_R!$C$26:$D$26) + _xlfn.XLOOKUP(J139,EOL_R!$C$18:$N$18,EOL_R!$C$20:$N$20) + _xlfn.XLOOKUP(B139&amp;"|"&amp;E139,
        Calculate_cap_emi_sens!$L$14:$L$21&amp;"|"&amp;Calculate_cap_emi_sens!$I$14:$I$21,
        Calculate_cap_emi_sens!$BD$14:$BD$21, "Not found", 0))</f>
        <v>610.77953076877725</v>
      </c>
      <c r="V139" s="8" cm="1">
        <f t="array" ref="V139">_xlfn.SWITCH(K139,200,_xlfn.XLOOKUP(J139,Other_R!$C$18:$N$18,Other_R!$C$20:$N$20) + _xlfn.XLOOKUP(B139&amp;"|"&amp;E139,
        Calculate_cap_emi_sens!$L$14:$L$21&amp;"|"&amp;Calculate_cap_emi_sens!$I$14:$I$21,
        Calculate_cap_emi_sens!$BK$14:$BK$21, "Not found", 0), LOOKUP(K139,Other_R!$C$24:$D$24,Other_R!$C$26:$D$26) + _xlfn.XLOOKUP(J139,Other_R!$C$18:$N$18,Other_R!$C$20:$N$20) + _xlfn.XLOOKUP(B139&amp;"|"&amp;E139,
        Calculate_cap_emi_sens!$L$14:$L$21&amp;"|"&amp;Calculate_cap_emi_sens!$I$14:$I$21,
        Calculate_cap_emi_sens!$BK$14:$BK$21, "Not found", 0))</f>
        <v>2719.6587677729617</v>
      </c>
      <c r="W139" s="5">
        <f>Results_proc_ener!L139</f>
        <v>134242.33622846514</v>
      </c>
      <c r="X139" s="5">
        <f>Results_proc_ener!M139</f>
        <v>48340.647798374281</v>
      </c>
      <c r="Y139" s="5">
        <f>Results_proc_ener!N139</f>
        <v>10613.59090909091</v>
      </c>
      <c r="Z139" s="5">
        <f>Results_proc_ener!O139</f>
        <v>75288.097520999945</v>
      </c>
      <c r="AA139" s="5">
        <f>Results_proc_ener!P139</f>
        <v>134242.33622846514</v>
      </c>
      <c r="AB139" s="5">
        <f>Results_proc_ener!Q139</f>
        <v>2966.2197562494694</v>
      </c>
      <c r="AC139" s="5">
        <f>Results_proc_ener!R139</f>
        <v>295.35253218192679</v>
      </c>
      <c r="AD139" s="5">
        <f>Results_proc_ener!S139</f>
        <v>17643.368632145452</v>
      </c>
      <c r="AE139" s="5">
        <f>Results_proc_ener!T139</f>
        <v>110874.03289403599</v>
      </c>
    </row>
    <row r="140" spans="1:31" x14ac:dyDescent="0.25">
      <c r="A140" s="5"/>
      <c r="B140" s="5" t="str">
        <f t="shared" si="6"/>
        <v>Mod-Nom</v>
      </c>
      <c r="C140" s="5" t="s">
        <v>38</v>
      </c>
      <c r="D140" s="5" t="str">
        <f t="shared" si="5"/>
        <v>Nom</v>
      </c>
      <c r="E140" s="5" t="s">
        <v>11</v>
      </c>
      <c r="F140" s="5" t="s">
        <v>55</v>
      </c>
      <c r="G140" s="5" t="s">
        <v>55</v>
      </c>
      <c r="H140" s="5">
        <v>6</v>
      </c>
      <c r="I140" s="5"/>
      <c r="J140" s="5">
        <f t="shared" si="7"/>
        <v>6</v>
      </c>
      <c r="K140" s="5">
        <v>500</v>
      </c>
      <c r="L140" s="8" cm="1">
        <f t="array" ref="L140">_xlfn.SWITCH(K140,200,_xlfn.XLOOKUP(J140,Manufacture!$C$18:$N$18,Manufacture!$C$20:$N$20) + _xlfn.XLOOKUP(B140&amp;"|"&amp;E140,
        Calculate_cap_emi!$L$14:$L$21&amp;"|"&amp;Calculate_cap_emi!$I$14:$I$21,
        Calculate_cap_emi!$AI$14:$AI$21, "Not found", 0), LOOKUP(K140,Manufacture!$C$24:$D$24,Manufacture!$C$26:$D$26) + _xlfn.XLOOKUP(J140,Manufacture!$C$18:$N$18,Manufacture!$C$20:$N$20) + _xlfn.XLOOKUP(B140&amp;"|"&amp;E140,
        Calculate_cap_emi!$L$14:$L$21&amp;"|"&amp;Calculate_cap_emi!$I$14:$I$21,
        Calculate_cap_emi!$AI$14:$AI$21, "Not found", 0))</f>
        <v>4268.4538778617425</v>
      </c>
      <c r="M140" s="8">
        <f>_xlfn.XLOOKUP(J140,Manufacture!$C$18:$N$18,Manufacture!$C$20:$N$20)</f>
        <v>1750.8811764705879</v>
      </c>
      <c r="N140" s="8" cm="1">
        <f t="array" ref="N140">_xlfn.SWITCH(K140,200,0,LOOKUP(K140,Manufacture!$C$24:$D$24,Manufacture!$C$26:$D$26))</f>
        <v>336</v>
      </c>
      <c r="O140" s="5" cm="1">
        <f t="array" ref="O140">_xlfn.XLOOKUP(B140&amp;"|"&amp;E140,
        Calculate_cap_emi!$L$14:$L$21&amp;"|"&amp;Calculate_cap_emi!$I$14:$I$21,
        Calculate_cap_emi!$AI$14:$AI$21, "Not found", 0)</f>
        <v>2181.5727013911546</v>
      </c>
      <c r="P140" s="8">
        <f t="shared" si="8"/>
        <v>4268.4538778617425</v>
      </c>
      <c r="Q140" s="8" cm="1">
        <f t="array" ref="Q140">_xlfn.SWITCH(K140,200,_xlfn.XLOOKUP(J140,Distribution!$C$18:$N$18,Distribution!$C$20:$N$20) + _xlfn.XLOOKUP(B140&amp;"|"&amp;E140,
        Calculate_cap_emi!$L$14:$L$21&amp;"|"&amp;Calculate_cap_emi!$I$14:$I$21,
        Calculate_cap_emi!$AP$14:$AP$21, "Not found", 0), LOOKUP(K140,Distribution!$C$24:$D$24,Distribution!$C$26:$D$26) + _xlfn.XLOOKUP(J140,Distribution!$C$18:$N$18,Distribution!$C$20:$N$20) + _xlfn.XLOOKUP(B140&amp;"|"&amp;E140,
        Calculate_cap_emi!$L$14:$L$21&amp;"|"&amp;Calculate_cap_emi!$I$14:$I$21,
        Calculate_cap_emi!$AP$14:$AP$21, "Not found", 0))</f>
        <v>140.33153195796666</v>
      </c>
      <c r="R140" s="8" cm="1">
        <f t="array" ref="R140">_xlfn.SWITCH(K140,200,_xlfn.XLOOKUP(J140,Installation!$C$18:$N$18,Installation!$C$20:$N$20) + _xlfn.XLOOKUP(B140&amp;"|"&amp;E140,
        Calculate_cap_emi!$L$14:$L$21&amp;"|"&amp;Calculate_cap_emi!$I$14:$I$21,
        Calculate_cap_emi!$AW$14:$AW$21, "Not found", 0), LOOKUP(K140,Installation!$C$24:$D$24,Installation!$C$26:$D$26) + _xlfn.XLOOKUP(J140,Installation!$C$18:$N$18,Installation!$C$20:$N$20) + _xlfn.XLOOKUP(B140&amp;"|"&amp;E140,
        Calculate_cap_emi!$L$14:$L$21&amp;"|"&amp;Calculate_cap_emi!$I$14:$I$21,
        Calculate_cap_emi!$AW$14:$AW$21, "Not found", 0))</f>
        <v>122.42469665149446</v>
      </c>
      <c r="S140" s="8" cm="1">
        <f t="array" ref="S140">_xlfn.SWITCH(K140,200,_xlfn.XLOOKUP(J140,EOL!$C$18:$N$18,EOL!$C$20:$N$20) + _xlfn.XLOOKUP(B140&amp;"|"&amp;E140,
        Calculate_cap_emi!$L$14:$L$21&amp;"|"&amp;Calculate_cap_emi!$I$14:$I$21,
        Calculate_cap_emi!$BD$14:$BD$21, "Not found", 0), LOOKUP(K140,EOL!$C$24:$D$24,EOL!$C$26:$D$26) + _xlfn.XLOOKUP(J140,EOL!$C$18:$N$18,EOL!$C$20:$N$20) + _xlfn.XLOOKUP(B140&amp;"|"&amp;E140,
        Calculate_cap_emi!$L$14:$L$21&amp;"|"&amp;Calculate_cap_emi!$I$14:$I$21,
        Calculate_cap_emi!$BD$14:$BD$21, "Not found", 0))</f>
        <v>733.8445812181684</v>
      </c>
      <c r="T140" s="8" cm="1">
        <f t="array" ref="T140">_xlfn.SWITCH(K140,200,_xlfn.XLOOKUP(J140,Other!$C$18:$N$18,Other!$C$20:$N$20) + _xlfn.XLOOKUP(B140&amp;"|"&amp;E140,
        Calculate_cap_emi!$L$14:$L$21&amp;"|"&amp;Calculate_cap_emi!$I$14:$I$21,
        Calculate_cap_emi!$BK$14:$BK$21, "Not found", 0), LOOKUP(K140,Other!$C$24:$D$24,Other!$C$26:$D$26) + _xlfn.XLOOKUP(J140,Other!$C$18:$N$18,Other!$C$20:$N$20) + _xlfn.XLOOKUP(B140&amp;"|"&amp;E140,
        Calculate_cap_emi!$L$14:$L$21&amp;"|"&amp;Calculate_cap_emi!$I$14:$I$21,
        Calculate_cap_emi!$BK$14:$BK$21, "Not found", 0))</f>
        <v>3091.669762761283</v>
      </c>
      <c r="U140" s="8" cm="1">
        <f t="array" ref="U140">_xlfn.SWITCH(K140,200,_xlfn.XLOOKUP(J140,EOL_R!$C$18:$N$18,EOL_R!$C$20:$N$20) + _xlfn.XLOOKUP(B140&amp;"|"&amp;E140,
        Calculate_cap_emi_sens!$L$14:$L$21&amp;"|"&amp;Calculate_cap_emi_sens!$I$14:$I$21,
        Calculate_cap_emi_sens!$BD$14:$BD$21, "Not found", 0), LOOKUP(K140,EOL_R!$C$24:$D$24,EOL_R!$C$26:$D$26) + _xlfn.XLOOKUP(J140,EOL_R!$C$18:$N$18,EOL_R!$C$20:$N$20) + _xlfn.XLOOKUP(B140&amp;"|"&amp;E140,
        Calculate_cap_emi_sens!$L$14:$L$21&amp;"|"&amp;Calculate_cap_emi_sens!$I$14:$I$21,
        Calculate_cap_emi_sens!$BD$14:$BD$21, "Not found", 0))</f>
        <v>612.67741856464841</v>
      </c>
      <c r="V140" s="8" cm="1">
        <f t="array" ref="V140">_xlfn.SWITCH(K140,200,_xlfn.XLOOKUP(J140,Other_R!$C$18:$N$18,Other_R!$C$20:$N$20) + _xlfn.XLOOKUP(B140&amp;"|"&amp;E140,
        Calculate_cap_emi_sens!$L$14:$L$21&amp;"|"&amp;Calculate_cap_emi_sens!$I$14:$I$21,
        Calculate_cap_emi_sens!$BK$14:$BK$21, "Not found", 0), LOOKUP(K140,Other_R!$C$24:$D$24,Other_R!$C$26:$D$26) + _xlfn.XLOOKUP(J140,Other_R!$C$18:$N$18,Other_R!$C$20:$N$20) + _xlfn.XLOOKUP(B140&amp;"|"&amp;E140,
        Calculate_cap_emi_sens!$L$14:$L$21&amp;"|"&amp;Calculate_cap_emi_sens!$I$14:$I$21,
        Calculate_cap_emi_sens!$BK$14:$BK$21, "Not found", 0))</f>
        <v>2709.6783631972276</v>
      </c>
      <c r="W140" s="5">
        <f>Results_proc_ener!L140</f>
        <v>134597.17482876297</v>
      </c>
      <c r="X140" s="5">
        <f>Results_proc_ener!M140</f>
        <v>48695.486398672118</v>
      </c>
      <c r="Y140" s="5">
        <f>Results_proc_ener!N140</f>
        <v>10613.59090909091</v>
      </c>
      <c r="Z140" s="5">
        <f>Results_proc_ener!O140</f>
        <v>75288.097520999945</v>
      </c>
      <c r="AA140" s="5">
        <f>Results_proc_ener!P140</f>
        <v>134597.17482876297</v>
      </c>
      <c r="AB140" s="5">
        <f>Results_proc_ener!Q140</f>
        <v>2998.9240493846191</v>
      </c>
      <c r="AC140" s="5">
        <f>Results_proc_ener!R140</f>
        <v>297.81161044194903</v>
      </c>
      <c r="AD140" s="5">
        <f>Results_proc_ener!S140</f>
        <v>17643.368632145452</v>
      </c>
      <c r="AE140" s="5">
        <f>Results_proc_ener!T140</f>
        <v>110895.9226439988</v>
      </c>
    </row>
    <row r="141" spans="1:31" x14ac:dyDescent="0.25">
      <c r="A141" s="5"/>
      <c r="B141" s="5" t="str">
        <f t="shared" si="6"/>
        <v>Mod-Nom</v>
      </c>
      <c r="C141" s="5" t="s">
        <v>38</v>
      </c>
      <c r="D141" s="5" t="str">
        <f t="shared" si="5"/>
        <v>Nom</v>
      </c>
      <c r="E141" s="5" t="s">
        <v>11</v>
      </c>
      <c r="F141" s="5" t="s">
        <v>55</v>
      </c>
      <c r="G141" s="5" t="s">
        <v>55</v>
      </c>
      <c r="H141" s="5">
        <v>8.5</v>
      </c>
      <c r="I141" s="5"/>
      <c r="J141" s="5">
        <f t="shared" si="7"/>
        <v>9</v>
      </c>
      <c r="K141" s="5">
        <v>500</v>
      </c>
      <c r="L141" s="8" cm="1">
        <f t="array" ref="L141">_xlfn.SWITCH(K141,200,_xlfn.XLOOKUP(J141,Manufacture!$C$18:$N$18,Manufacture!$C$20:$N$20) + _xlfn.XLOOKUP(B141&amp;"|"&amp;E141,
        Calculate_cap_emi!$L$14:$L$21&amp;"|"&amp;Calculate_cap_emi!$I$14:$I$21,
        Calculate_cap_emi!$AI$14:$AI$21, "Not found", 0), LOOKUP(K141,Manufacture!$C$24:$D$24,Manufacture!$C$26:$D$26) + _xlfn.XLOOKUP(J141,Manufacture!$C$18:$N$18,Manufacture!$C$20:$N$20) + _xlfn.XLOOKUP(B141&amp;"|"&amp;E141,
        Calculate_cap_emi!$L$14:$L$21&amp;"|"&amp;Calculate_cap_emi!$I$14:$I$21,
        Calculate_cap_emi!$AI$14:$AI$21, "Not found", 0))</f>
        <v>4387.2274072735072</v>
      </c>
      <c r="M141" s="8">
        <f>_xlfn.XLOOKUP(J141,Manufacture!$C$18:$N$18,Manufacture!$C$20:$N$20)</f>
        <v>1869.654705882353</v>
      </c>
      <c r="N141" s="8" cm="1">
        <f t="array" ref="N141">_xlfn.SWITCH(K141,200,0,LOOKUP(K141,Manufacture!$C$24:$D$24,Manufacture!$C$26:$D$26))</f>
        <v>336</v>
      </c>
      <c r="O141" s="5" cm="1">
        <f t="array" ref="O141">_xlfn.XLOOKUP(B141&amp;"|"&amp;E141,
        Calculate_cap_emi!$L$14:$L$21&amp;"|"&amp;Calculate_cap_emi!$I$14:$I$21,
        Calculate_cap_emi!$AI$14:$AI$21, "Not found", 0)</f>
        <v>2181.5727013911546</v>
      </c>
      <c r="P141" s="8">
        <f t="shared" si="8"/>
        <v>4387.2274072735072</v>
      </c>
      <c r="Q141" s="8" cm="1">
        <f t="array" ref="Q141">_xlfn.SWITCH(K141,200,_xlfn.XLOOKUP(J141,Distribution!$C$18:$N$18,Distribution!$C$20:$N$20) + _xlfn.XLOOKUP(B141&amp;"|"&amp;E141,
        Calculate_cap_emi!$L$14:$L$21&amp;"|"&amp;Calculate_cap_emi!$I$14:$I$21,
        Calculate_cap_emi!$AP$14:$AP$21, "Not found", 0), LOOKUP(K141,Distribution!$C$24:$D$24,Distribution!$C$26:$D$26) + _xlfn.XLOOKUP(J141,Distribution!$C$18:$N$18,Distribution!$C$20:$N$20) + _xlfn.XLOOKUP(B141&amp;"|"&amp;E141,
        Calculate_cap_emi!$L$14:$L$21&amp;"|"&amp;Calculate_cap_emi!$I$14:$I$21,
        Calculate_cap_emi!$AP$14:$AP$21, "Not found", 0))</f>
        <v>144.96416470067254</v>
      </c>
      <c r="R141" s="8" cm="1">
        <f t="array" ref="R141">_xlfn.SWITCH(K141,200,_xlfn.XLOOKUP(J141,Installation!$C$18:$N$18,Installation!$C$20:$N$20) + _xlfn.XLOOKUP(B141&amp;"|"&amp;E141,
        Calculate_cap_emi!$L$14:$L$21&amp;"|"&amp;Calculate_cap_emi!$I$14:$I$21,
        Calculate_cap_emi!$AW$14:$AW$21, "Not found", 0), LOOKUP(K141,Installation!$C$24:$D$24,Installation!$C$26:$D$26) + _xlfn.XLOOKUP(J141,Installation!$C$18:$N$18,Installation!$C$20:$N$20) + _xlfn.XLOOKUP(B141&amp;"|"&amp;E141,
        Calculate_cap_emi!$L$14:$L$21&amp;"|"&amp;Calculate_cap_emi!$I$14:$I$21,
        Calculate_cap_emi!$AW$14:$AW$21, "Not found", 0))</f>
        <v>129.80193143156097</v>
      </c>
      <c r="S141" s="8" cm="1">
        <f t="array" ref="S141">_xlfn.SWITCH(K141,200,_xlfn.XLOOKUP(J141,EOL!$C$18:$N$18,EOL!$C$20:$N$20) + _xlfn.XLOOKUP(B141&amp;"|"&amp;E141,
        Calculate_cap_emi!$L$14:$L$21&amp;"|"&amp;Calculate_cap_emi!$I$14:$I$21,
        Calculate_cap_emi!$BD$14:$BD$21, "Not found", 0), LOOKUP(K141,EOL!$C$24:$D$24,EOL!$C$26:$D$26) + _xlfn.XLOOKUP(J141,EOL!$C$18:$N$18,EOL!$C$20:$N$20) + _xlfn.XLOOKUP(B141&amp;"|"&amp;E141,
        Calculate_cap_emi!$L$14:$L$21&amp;"|"&amp;Calculate_cap_emi!$I$14:$I$21,
        Calculate_cap_emi!$BD$14:$BD$21, "Not found", 0))</f>
        <v>778.51528710052139</v>
      </c>
      <c r="T141" s="8" cm="1">
        <f t="array" ref="T141">_xlfn.SWITCH(K141,200,_xlfn.XLOOKUP(J141,Other!$C$18:$N$18,Other!$C$20:$N$20) + _xlfn.XLOOKUP(B141&amp;"|"&amp;E141,
        Calculate_cap_emi!$L$14:$L$21&amp;"|"&amp;Calculate_cap_emi!$I$14:$I$21,
        Calculate_cap_emi!$BK$14:$BK$21, "Not found", 0), LOOKUP(K141,Other!$C$24:$D$24,Other!$C$26:$D$26) + _xlfn.XLOOKUP(J141,Other!$C$18:$N$18,Other!$C$20:$N$20) + _xlfn.XLOOKUP(B141&amp;"|"&amp;E141,
        Calculate_cap_emi!$L$14:$L$21&amp;"|"&amp;Calculate_cap_emi!$I$14:$I$21,
        Calculate_cap_emi!$BK$14:$BK$21, "Not found", 0))</f>
        <v>3157.3390126497034</v>
      </c>
      <c r="U141" s="8" cm="1">
        <f t="array" ref="U141">_xlfn.SWITCH(K141,200,_xlfn.XLOOKUP(J141,EOL_R!$C$18:$N$18,EOL_R!$C$20:$N$20) + _xlfn.XLOOKUP(B141&amp;"|"&amp;E141,
        Calculate_cap_emi_sens!$L$14:$L$21&amp;"|"&amp;Calculate_cap_emi_sens!$I$14:$I$21,
        Calculate_cap_emi_sens!$BD$14:$BD$21, "Not found", 0), LOOKUP(K141,EOL_R!$C$24:$D$24,EOL_R!$C$26:$D$26) + _xlfn.XLOOKUP(J141,EOL_R!$C$18:$N$18,EOL_R!$C$20:$N$20) + _xlfn.XLOOKUP(B141&amp;"|"&amp;E141,
        Calculate_cap_emi_sens!$L$14:$L$21&amp;"|"&amp;Calculate_cap_emi_sens!$I$14:$I$21,
        Calculate_cap_emi_sens!$BD$14:$BD$21, "Not found", 0))</f>
        <v>628.45442873931984</v>
      </c>
      <c r="V141" s="8" cm="1">
        <f t="array" ref="V141">_xlfn.SWITCH(K141,200,_xlfn.XLOOKUP(J141,Other_R!$C$18:$N$18,Other_R!$C$20:$N$20) + _xlfn.XLOOKUP(B141&amp;"|"&amp;E141,
        Calculate_cap_emi_sens!$L$14:$L$21&amp;"|"&amp;Calculate_cap_emi_sens!$I$14:$I$21,
        Calculate_cap_emi_sens!$BK$14:$BK$21, "Not found", 0), LOOKUP(K141,Other_R!$C$24:$D$24,Other_R!$C$26:$D$26) + _xlfn.XLOOKUP(J141,Other_R!$C$18:$N$18,Other_R!$C$20:$N$20) + _xlfn.XLOOKUP(B141&amp;"|"&amp;E141,
        Calculate_cap_emi_sens!$L$14:$L$21&amp;"|"&amp;Calculate_cap_emi_sens!$I$14:$I$21,
        Calculate_cap_emi_sens!$BK$14:$BK$21, "Not found", 0))</f>
        <v>2704.4715418046353</v>
      </c>
      <c r="W141" s="5">
        <f>Results_proc_ener!L141</f>
        <v>135661.69062965648</v>
      </c>
      <c r="X141" s="5">
        <f>Results_proc_ener!M141</f>
        <v>49760.002199565621</v>
      </c>
      <c r="Y141" s="5">
        <f>Results_proc_ener!N141</f>
        <v>10613.59090909091</v>
      </c>
      <c r="Z141" s="5">
        <f>Results_proc_ener!O141</f>
        <v>75288.097520999945</v>
      </c>
      <c r="AA141" s="5">
        <f>Results_proc_ener!P141</f>
        <v>135661.69062965648</v>
      </c>
      <c r="AB141" s="5">
        <f>Results_proc_ener!Q141</f>
        <v>3097.0369287900694</v>
      </c>
      <c r="AC141" s="5">
        <f>Results_proc_ener!R141</f>
        <v>305.18884522201552</v>
      </c>
      <c r="AD141" s="5">
        <f>Results_proc_ener!S141</f>
        <v>17643.368632145452</v>
      </c>
      <c r="AE141" s="5">
        <f>Results_proc_ener!T141</f>
        <v>110961.59189388722</v>
      </c>
    </row>
    <row r="142" spans="1:31" x14ac:dyDescent="0.25">
      <c r="A142" s="5"/>
      <c r="B142" s="5" t="str">
        <f t="shared" si="6"/>
        <v>Mod-Nom</v>
      </c>
      <c r="C142" s="5" t="s">
        <v>38</v>
      </c>
      <c r="D142" s="5" t="str">
        <f t="shared" si="5"/>
        <v>Nom</v>
      </c>
      <c r="E142" s="5" t="s">
        <v>11</v>
      </c>
      <c r="F142" s="5" t="s">
        <v>55</v>
      </c>
      <c r="G142" s="5" t="s">
        <v>55</v>
      </c>
      <c r="H142" s="5">
        <v>14</v>
      </c>
      <c r="I142" s="5"/>
      <c r="J142" s="5">
        <f t="shared" si="7"/>
        <v>14</v>
      </c>
      <c r="K142" s="5">
        <v>500</v>
      </c>
      <c r="L142" s="8" cm="1">
        <f t="array" ref="L142">_xlfn.SWITCH(K142,200,_xlfn.XLOOKUP(J142,Manufacture!$C$18:$N$18,Manufacture!$C$20:$N$20) + _xlfn.XLOOKUP(B142&amp;"|"&amp;E142,
        Calculate_cap_emi!$L$14:$L$21&amp;"|"&amp;Calculate_cap_emi!$I$14:$I$21,
        Calculate_cap_emi!$AI$14:$AI$21, "Not found", 0), LOOKUP(K142,Manufacture!$C$24:$D$24,Manufacture!$C$26:$D$26) + _xlfn.XLOOKUP(J142,Manufacture!$C$18:$N$18,Manufacture!$C$20:$N$20) + _xlfn.XLOOKUP(B142&amp;"|"&amp;E142,
        Calculate_cap_emi!$L$14:$L$21&amp;"|"&amp;Calculate_cap_emi!$I$14:$I$21,
        Calculate_cap_emi!$AI$14:$AI$21, "Not found", 0))</f>
        <v>4585.1832896264486</v>
      </c>
      <c r="M142" s="8">
        <f>_xlfn.XLOOKUP(J142,Manufacture!$C$18:$N$18,Manufacture!$C$20:$N$20)</f>
        <v>2067.610588235294</v>
      </c>
      <c r="N142" s="8" cm="1">
        <f t="array" ref="N142">_xlfn.SWITCH(K142,200,0,LOOKUP(K142,Manufacture!$C$24:$D$24,Manufacture!$C$26:$D$26))</f>
        <v>336</v>
      </c>
      <c r="O142" s="5" cm="1">
        <f t="array" ref="O142">_xlfn.XLOOKUP(B142&amp;"|"&amp;E142,
        Calculate_cap_emi!$L$14:$L$21&amp;"|"&amp;Calculate_cap_emi!$I$14:$I$21,
        Calculate_cap_emi!$AI$14:$AI$21, "Not found", 0)</f>
        <v>2181.5727013911546</v>
      </c>
      <c r="P142" s="8">
        <f t="shared" si="8"/>
        <v>4585.1832896264486</v>
      </c>
      <c r="Q142" s="8" cm="1">
        <f t="array" ref="Q142">_xlfn.SWITCH(K142,200,_xlfn.XLOOKUP(J142,Distribution!$C$18:$N$18,Distribution!$C$20:$N$20) + _xlfn.XLOOKUP(B142&amp;"|"&amp;E142,
        Calculate_cap_emi!$L$14:$L$21&amp;"|"&amp;Calculate_cap_emi!$I$14:$I$21,
        Calculate_cap_emi!$AP$14:$AP$21, "Not found", 0), LOOKUP(K142,Distribution!$C$24:$D$24,Distribution!$C$26:$D$26) + _xlfn.XLOOKUP(J142,Distribution!$C$18:$N$18,Distribution!$C$20:$N$20) + _xlfn.XLOOKUP(B142&amp;"|"&amp;E142,
        Calculate_cap_emi!$L$14:$L$21&amp;"|"&amp;Calculate_cap_emi!$I$14:$I$21,
        Calculate_cap_emi!$AP$14:$AP$21, "Not found", 0))</f>
        <v>152.68521927184898</v>
      </c>
      <c r="R142" s="8" cm="1">
        <f t="array" ref="R142">_xlfn.SWITCH(K142,200,_xlfn.XLOOKUP(J142,Installation!$C$18:$N$18,Installation!$C$20:$N$20) + _xlfn.XLOOKUP(B142&amp;"|"&amp;E142,
        Calculate_cap_emi!$L$14:$L$21&amp;"|"&amp;Calculate_cap_emi!$I$14:$I$21,
        Calculate_cap_emi!$AW$14:$AW$21, "Not found", 0), LOOKUP(K142,Installation!$C$24:$D$24,Installation!$C$26:$D$26) + _xlfn.XLOOKUP(J142,Installation!$C$18:$N$18,Installation!$C$20:$N$20) + _xlfn.XLOOKUP(B142&amp;"|"&amp;E142,
        Calculate_cap_emi!$L$14:$L$21&amp;"|"&amp;Calculate_cap_emi!$I$14:$I$21,
        Calculate_cap_emi!$AW$14:$AW$21, "Not found", 0))</f>
        <v>142.09732273167216</v>
      </c>
      <c r="S142" s="8" cm="1">
        <f t="array" ref="S142">_xlfn.SWITCH(K142,200,_xlfn.XLOOKUP(J142,EOL!$C$18:$N$18,EOL!$C$20:$N$20) + _xlfn.XLOOKUP(B142&amp;"|"&amp;E142,
        Calculate_cap_emi!$L$14:$L$21&amp;"|"&amp;Calculate_cap_emi!$I$14:$I$21,
        Calculate_cap_emi!$BD$14:$BD$21, "Not found", 0), LOOKUP(K142,EOL!$C$24:$D$24,EOL!$C$26:$D$26) + _xlfn.XLOOKUP(J142,EOL!$C$18:$N$18,EOL!$C$20:$N$20) + _xlfn.XLOOKUP(B142&amp;"|"&amp;E142,
        Calculate_cap_emi!$L$14:$L$21&amp;"|"&amp;Calculate_cap_emi!$I$14:$I$21,
        Calculate_cap_emi!$BD$14:$BD$21, "Not found", 0))</f>
        <v>852.96646357110967</v>
      </c>
      <c r="T142" s="8" cm="1">
        <f t="array" ref="T142">_xlfn.SWITCH(K142,200,_xlfn.XLOOKUP(J142,Other!$C$18:$N$18,Other!$C$20:$N$20) + _xlfn.XLOOKUP(B142&amp;"|"&amp;E142,
        Calculate_cap_emi!$L$14:$L$21&amp;"|"&amp;Calculate_cap_emi!$I$14:$I$21,
        Calculate_cap_emi!$BK$14:$BK$21, "Not found", 0), LOOKUP(K142,Other!$C$24:$D$24,Other!$C$26:$D$26) + _xlfn.XLOOKUP(J142,Other!$C$18:$N$18,Other!$C$20:$N$20) + _xlfn.XLOOKUP(B142&amp;"|"&amp;E142,
        Calculate_cap_emi!$L$14:$L$21&amp;"|"&amp;Calculate_cap_emi!$I$14:$I$21,
        Calculate_cap_emi!$BK$14:$BK$21, "Not found", 0))</f>
        <v>3266.7877624637385</v>
      </c>
      <c r="U142" s="8" cm="1">
        <f t="array" ref="U142">_xlfn.SWITCH(K142,200,_xlfn.XLOOKUP(J142,EOL_R!$C$18:$N$18,EOL_R!$C$20:$N$20) + _xlfn.XLOOKUP(B142&amp;"|"&amp;E142,
        Calculate_cap_emi_sens!$L$14:$L$21&amp;"|"&amp;Calculate_cap_emi_sens!$I$14:$I$21,
        Calculate_cap_emi_sens!$BD$14:$BD$21, "Not found", 0), LOOKUP(K142,EOL_R!$C$24:$D$24,EOL_R!$C$26:$D$26) + _xlfn.XLOOKUP(J142,EOL_R!$C$18:$N$18,EOL_R!$C$20:$N$20) + _xlfn.XLOOKUP(B142&amp;"|"&amp;E142,
        Calculate_cap_emi_sens!$L$14:$L$21&amp;"|"&amp;Calculate_cap_emi_sens!$I$14:$I$21,
        Calculate_cap_emi_sens!$BD$14:$BD$21, "Not found", 0))</f>
        <v>671.42032856649257</v>
      </c>
      <c r="V142" s="8" cm="1">
        <f t="array" ref="V142">_xlfn.SWITCH(K142,200,_xlfn.XLOOKUP(J142,Other_R!$C$18:$N$18,Other_R!$C$20:$N$20) + _xlfn.XLOOKUP(B142&amp;"|"&amp;E142,
        Calculate_cap_emi_sens!$L$14:$L$21&amp;"|"&amp;Calculate_cap_emi_sens!$I$14:$I$21,
        Calculate_cap_emi_sens!$BK$14:$BK$21, "Not found", 0), LOOKUP(K142,Other_R!$C$24:$D$24,Other_R!$C$26:$D$26) + _xlfn.XLOOKUP(J142,Other_R!$C$18:$N$18,Other_R!$C$20:$N$20) + _xlfn.XLOOKUP(B142&amp;"|"&amp;E142,
        Calculate_cap_emi_sens!$L$14:$L$21&amp;"|"&amp;Calculate_cap_emi_sens!$I$14:$I$21,
        Calculate_cap_emi_sens!$BK$14:$BK$21, "Not found", 0))</f>
        <v>2736.6870870380649</v>
      </c>
      <c r="W142" s="5">
        <f>Results_proc_ener!L142</f>
        <v>137435.88363114579</v>
      </c>
      <c r="X142" s="5">
        <f>Results_proc_ener!M142</f>
        <v>51534.195201054921</v>
      </c>
      <c r="Y142" s="5">
        <f>Results_proc_ener!N142</f>
        <v>10613.59090909091</v>
      </c>
      <c r="Z142" s="5">
        <f>Results_proc_ener!O142</f>
        <v>75288.097520999945</v>
      </c>
      <c r="AA142" s="5">
        <f>Results_proc_ener!P142</f>
        <v>137435.88363114579</v>
      </c>
      <c r="AB142" s="5">
        <f>Results_proc_ener!Q142</f>
        <v>3260.5583944658192</v>
      </c>
      <c r="AC142" s="5">
        <f>Results_proc_ener!R142</f>
        <v>317.48423652212671</v>
      </c>
      <c r="AD142" s="5">
        <f>Results_proc_ener!S142</f>
        <v>17643.368632145452</v>
      </c>
      <c r="AE142" s="5">
        <f>Results_proc_ener!T142</f>
        <v>111071.04064370126</v>
      </c>
    </row>
    <row r="143" spans="1:31" x14ac:dyDescent="0.25">
      <c r="A143" s="5"/>
      <c r="B143" s="5" t="str">
        <f>CONCATENATE(C143, "-", "Nom")</f>
        <v>Mod-Nom</v>
      </c>
      <c r="C143" s="5" t="s">
        <v>38</v>
      </c>
      <c r="D143" s="5" t="str">
        <f>_xlfn.TEXTAFTER(B143, "-", 1)</f>
        <v>Nom</v>
      </c>
      <c r="E143" s="5" t="s">
        <v>11</v>
      </c>
      <c r="F143" s="5" t="s">
        <v>57</v>
      </c>
      <c r="G143" s="5" t="s">
        <v>57</v>
      </c>
      <c r="H143" s="5">
        <v>5</v>
      </c>
      <c r="I143" s="5"/>
      <c r="J143" s="5">
        <f t="shared" si="7"/>
        <v>5</v>
      </c>
      <c r="K143" s="5">
        <v>1000</v>
      </c>
      <c r="L143" s="8" cm="1">
        <f t="array" ref="L143">_xlfn.SWITCH(K143,200,_xlfn.XLOOKUP(J143,Manufacture!$C$18:$N$18,Manufacture!$C$20:$N$20) + _xlfn.XLOOKUP(B143&amp;"|"&amp;E143,
        Calculate_cap_emi!$L$14:$L$21&amp;"|"&amp;Calculate_cap_emi!$I$14:$I$21,
        Calculate_cap_emi!$AI$14:$AI$21, "Not found", 0), LOOKUP(K143,Manufacture!$C$24:$D$24,Manufacture!$C$26:$D$26) + _xlfn.XLOOKUP(J143,Manufacture!$C$18:$N$18,Manufacture!$C$20:$N$20) + _xlfn.XLOOKUP(B143&amp;"|"&amp;E143,
        Calculate_cap_emi!$L$14:$L$21&amp;"|"&amp;Calculate_cap_emi!$I$14:$I$21,
        Calculate_cap_emi!$AI$14:$AI$21, "Not found", 0))</f>
        <v>4552.4536104820636</v>
      </c>
      <c r="M143" s="8">
        <f>_xlfn.XLOOKUP(J143,Manufacture!$C$18:$N$18,Manufacture!$C$20:$N$20)</f>
        <v>1711.29</v>
      </c>
      <c r="N143" s="8" cm="1">
        <f t="array" ref="N143">_xlfn.SWITCH(K143,200,0,LOOKUP(K143,Manufacture!$C$24:$D$24,Manufacture!$C$26:$D$26))</f>
        <v>659.59090909090912</v>
      </c>
      <c r="O143" s="5" cm="1">
        <f t="array" ref="O143">_xlfn.XLOOKUP(B143&amp;"|"&amp;E143,
        Calculate_cap_emi!$L$14:$L$21&amp;"|"&amp;Calculate_cap_emi!$I$14:$I$21,
        Calculate_cap_emi!$AI$14:$AI$21, "Not found", 0)</f>
        <v>2181.5727013911546</v>
      </c>
      <c r="P143" s="8">
        <f t="shared" si="8"/>
        <v>4552.4536104820636</v>
      </c>
      <c r="Q143" s="8" cm="1">
        <f t="array" ref="Q143">_xlfn.SWITCH(K143,200,_xlfn.XLOOKUP(J143,Distribution!$C$18:$N$18,Distribution!$C$20:$N$20) + _xlfn.XLOOKUP(B143&amp;"|"&amp;E143,
        Calculate_cap_emi!$L$14:$L$21&amp;"|"&amp;Calculate_cap_emi!$I$14:$I$21,
        Calculate_cap_emi!$AP$14:$AP$21, "Not found", 0), LOOKUP(K143,Distribution!$C$24:$D$24,Distribution!$C$26:$D$26) + _xlfn.XLOOKUP(J143,Distribution!$C$18:$N$18,Distribution!$C$20:$N$20) + _xlfn.XLOOKUP(B143&amp;"|"&amp;E143,
        Calculate_cap_emi!$L$14:$L$21&amp;"|"&amp;Calculate_cap_emi!$I$14:$I$21,
        Calculate_cap_emi!$AP$14:$AP$21, "Not found", 0))</f>
        <v>146.08689256009501</v>
      </c>
      <c r="R143" s="8" cm="1">
        <f t="array" ref="R143">_xlfn.SWITCH(K143,200,_xlfn.XLOOKUP(J143,Installation!$C$18:$N$18,Installation!$C$20:$N$20) + _xlfn.XLOOKUP(B143&amp;"|"&amp;E143,
        Calculate_cap_emi!$L$14:$L$21&amp;"|"&amp;Calculate_cap_emi!$I$14:$I$21,
        Calculate_cap_emi!$AW$14:$AW$21, "Not found", 0), LOOKUP(K143,Installation!$C$24:$D$24,Installation!$C$26:$D$26) + _xlfn.XLOOKUP(J143,Installation!$C$18:$N$18,Installation!$C$20:$N$20) + _xlfn.XLOOKUP(B143&amp;"|"&amp;E143,
        Calculate_cap_emi!$L$14:$L$21&amp;"|"&amp;Calculate_cap_emi!$I$14:$I$21,
        Calculate_cap_emi!$AW$14:$AW$21, "Not found", 0))</f>
        <v>119.96561839147222</v>
      </c>
      <c r="S143" s="8" cm="1">
        <f t="array" ref="S143">_xlfn.SWITCH(K143,200,_xlfn.XLOOKUP(J143,EOL!$C$18:$N$18,EOL!$C$20:$N$20) + _xlfn.XLOOKUP(B143&amp;"|"&amp;E143,
        Calculate_cap_emi!$L$14:$L$21&amp;"|"&amp;Calculate_cap_emi!$I$14:$I$21,
        Calculate_cap_emi!$BD$14:$BD$21, "Not found", 0), LOOKUP(K143,EOL!$C$24:$D$24,EOL!$C$26:$D$26) + _xlfn.XLOOKUP(J143,EOL!$C$18:$N$18,EOL!$C$20:$N$20) + _xlfn.XLOOKUP(B143&amp;"|"&amp;E143,
        Calculate_cap_emi!$L$14:$L$21&amp;"|"&amp;Calculate_cap_emi!$I$14:$I$21,
        Calculate_cap_emi!$BD$14:$BD$21, "Not found", 0))</f>
        <v>857.3634368331418</v>
      </c>
      <c r="T143" s="8" cm="1">
        <f t="array" ref="T143">_xlfn.SWITCH(K143,200,_xlfn.XLOOKUP(J143,Other!$C$18:$N$18,Other!$C$20:$N$20) + _xlfn.XLOOKUP(B143&amp;"|"&amp;E143,
        Calculate_cap_emi!$L$14:$L$21&amp;"|"&amp;Calculate_cap_emi!$I$14:$I$21,
        Calculate_cap_emi!$BK$14:$BK$21, "Not found", 0), LOOKUP(K143,Other!$C$24:$D$24,Other!$C$26:$D$26) + _xlfn.XLOOKUP(J143,Other!$C$18:$N$18,Other!$C$20:$N$20) + _xlfn.XLOOKUP(B143&amp;"|"&amp;E143,
        Calculate_cap_emi!$L$14:$L$21&amp;"|"&amp;Calculate_cap_emi!$I$14:$I$21,
        Calculate_cap_emi!$BK$14:$BK$21, "Not found", 0))</f>
        <v>3069.7800127984765</v>
      </c>
      <c r="U143" s="8" cm="1">
        <f t="array" ref="U143">_xlfn.SWITCH(K143,200,_xlfn.XLOOKUP(J143,EOL_R!$C$18:$N$18,EOL_R!$C$20:$N$20) + _xlfn.XLOOKUP(B143&amp;"|"&amp;E143,
        Calculate_cap_emi_sens!$L$14:$L$21&amp;"|"&amp;Calculate_cap_emi_sens!$I$14:$I$21,
        Calculate_cap_emi_sens!$BD$14:$BD$21, "Not found", 0), LOOKUP(K143,EOL_R!$C$24:$D$24,EOL_R!$C$26:$D$26) + _xlfn.XLOOKUP(J143,EOL_R!$C$18:$N$18,EOL_R!$C$20:$N$20) + _xlfn.XLOOKUP(B143&amp;"|"&amp;E143,
        Calculate_cap_emi_sens!$L$14:$L$21&amp;"|"&amp;Calculate_cap_emi_sens!$I$14:$I$21,
        Calculate_cap_emi_sens!$BD$14:$BD$21, "Not found", 0))</f>
        <v>749.18862167786801</v>
      </c>
      <c r="V143" s="8" cm="1">
        <f t="array" ref="V143">_xlfn.SWITCH(K143,200,_xlfn.XLOOKUP(J143,Other_R!$C$18:$N$18,Other_R!$C$20:$N$20) + _xlfn.XLOOKUP(B143&amp;"|"&amp;E143,
        Calculate_cap_emi_sens!$L$14:$L$21&amp;"|"&amp;Calculate_cap_emi_sens!$I$14:$I$21,
        Calculate_cap_emi_sens!$BK$14:$BK$21, "Not found", 0), LOOKUP(K143,Other_R!$C$24:$D$24,Other_R!$C$26:$D$26) + _xlfn.XLOOKUP(J143,Other_R!$C$18:$N$18,Other_R!$C$20:$N$20) + _xlfn.XLOOKUP(B143&amp;"|"&amp;E143,
        Calculate_cap_emi_sens!$L$14:$L$21&amp;"|"&amp;Calculate_cap_emi_sens!$I$14:$I$21,
        Calculate_cap_emi_sens!$BK$14:$BK$21, "Not found", 0))</f>
        <v>2719.6587677729617</v>
      </c>
      <c r="W143" s="5">
        <f>Results_proc_ener!L143</f>
        <v>144202.0635011924</v>
      </c>
      <c r="X143" s="5">
        <f>Results_proc_ener!M143</f>
        <v>48340.647798374281</v>
      </c>
      <c r="Y143" s="5">
        <f>Results_proc_ener!N143</f>
        <v>20573.31818181818</v>
      </c>
      <c r="Z143" s="5">
        <f>Results_proc_ener!O143</f>
        <v>75288.097520999945</v>
      </c>
      <c r="AA143" s="5">
        <f>Results_proc_ener!P143</f>
        <v>144202.0635011924</v>
      </c>
      <c r="AB143" s="5">
        <f>Results_proc_ener!Q143</f>
        <v>3146.8050815964693</v>
      </c>
      <c r="AC143" s="5">
        <f>Results_proc_ener!R143</f>
        <v>301.07980490919948</v>
      </c>
      <c r="AD143" s="5">
        <f>Results_proc_ener!S143</f>
        <v>27779.686813963635</v>
      </c>
      <c r="AE143" s="5">
        <f>Results_proc_ener!T143</f>
        <v>110874.03289403599</v>
      </c>
    </row>
    <row r="144" spans="1:31" x14ac:dyDescent="0.25">
      <c r="A144" s="5"/>
      <c r="B144" s="5" t="str">
        <f t="shared" si="6"/>
        <v>Mod-Nom</v>
      </c>
      <c r="C144" s="5" t="s">
        <v>38</v>
      </c>
      <c r="D144" s="5" t="str">
        <f t="shared" si="5"/>
        <v>Nom</v>
      </c>
      <c r="E144" s="5" t="s">
        <v>11</v>
      </c>
      <c r="F144" s="5" t="s">
        <v>57</v>
      </c>
      <c r="G144" s="5" t="s">
        <v>57</v>
      </c>
      <c r="H144" s="5">
        <v>6</v>
      </c>
      <c r="I144" s="5"/>
      <c r="J144" s="5">
        <f t="shared" si="7"/>
        <v>6</v>
      </c>
      <c r="K144" s="5">
        <v>1000</v>
      </c>
      <c r="L144" s="8" cm="1">
        <f t="array" ref="L144">_xlfn.SWITCH(K144,200,_xlfn.XLOOKUP(J144,Manufacture!$C$18:$N$18,Manufacture!$C$20:$N$20) + _xlfn.XLOOKUP(B144&amp;"|"&amp;E144,
        Calculate_cap_emi!$L$14:$L$21&amp;"|"&amp;Calculate_cap_emi!$I$14:$I$21,
        Calculate_cap_emi!$AI$14:$AI$21, "Not found", 0), LOOKUP(K144,Manufacture!$C$24:$D$24,Manufacture!$C$26:$D$26) + _xlfn.XLOOKUP(J144,Manufacture!$C$18:$N$18,Manufacture!$C$20:$N$20) + _xlfn.XLOOKUP(B144&amp;"|"&amp;E144,
        Calculate_cap_emi!$L$14:$L$21&amp;"|"&amp;Calculate_cap_emi!$I$14:$I$21,
        Calculate_cap_emi!$AI$14:$AI$21, "Not found", 0))</f>
        <v>4592.0447869526515</v>
      </c>
      <c r="M144" s="8">
        <f>_xlfn.XLOOKUP(J144,Manufacture!$C$18:$N$18,Manufacture!$C$20:$N$20)</f>
        <v>1750.8811764705879</v>
      </c>
      <c r="N144" s="8" cm="1">
        <f t="array" ref="N144">_xlfn.SWITCH(K144,200,0,LOOKUP(K144,Manufacture!$C$24:$D$24,Manufacture!$C$26:$D$26))</f>
        <v>659.59090909090912</v>
      </c>
      <c r="O144" s="5" cm="1">
        <f t="array" ref="O144">_xlfn.XLOOKUP(B144&amp;"|"&amp;E144,
        Calculate_cap_emi!$L$14:$L$21&amp;"|"&amp;Calculate_cap_emi!$I$14:$I$21,
        Calculate_cap_emi!$AI$14:$AI$21, "Not found", 0)</f>
        <v>2181.5727013911546</v>
      </c>
      <c r="P144" s="8">
        <f t="shared" si="8"/>
        <v>4592.0447869526515</v>
      </c>
      <c r="Q144" s="8" cm="1">
        <f t="array" ref="Q144">_xlfn.SWITCH(K144,200,_xlfn.XLOOKUP(J144,Distribution!$C$18:$N$18,Distribution!$C$20:$N$20) + _xlfn.XLOOKUP(B144&amp;"|"&amp;E144,
        Calculate_cap_emi!$L$14:$L$21&amp;"|"&amp;Calculate_cap_emi!$I$14:$I$21,
        Calculate_cap_emi!$AP$14:$AP$21, "Not found", 0), LOOKUP(K144,Distribution!$C$24:$D$24,Distribution!$C$26:$D$26) + _xlfn.XLOOKUP(J144,Distribution!$C$18:$N$18,Distribution!$C$20:$N$20) + _xlfn.XLOOKUP(B144&amp;"|"&amp;E144,
        Calculate_cap_emi!$L$14:$L$21&amp;"|"&amp;Calculate_cap_emi!$I$14:$I$21,
        Calculate_cap_emi!$AP$14:$AP$21, "Not found", 0))</f>
        <v>147.6311034743303</v>
      </c>
      <c r="R144" s="8" cm="1">
        <f t="array" ref="R144">_xlfn.SWITCH(K144,200,_xlfn.XLOOKUP(J144,Installation!$C$18:$N$18,Installation!$C$20:$N$20) + _xlfn.XLOOKUP(B144&amp;"|"&amp;E144,
        Calculate_cap_emi!$L$14:$L$21&amp;"|"&amp;Calculate_cap_emi!$I$14:$I$21,
        Calculate_cap_emi!$AW$14:$AW$21, "Not found", 0), LOOKUP(K144,Installation!$C$24:$D$24,Installation!$C$26:$D$26) + _xlfn.XLOOKUP(J144,Installation!$C$18:$N$18,Installation!$C$20:$N$20) + _xlfn.XLOOKUP(B144&amp;"|"&amp;E144,
        Calculate_cap_emi!$L$14:$L$21&amp;"|"&amp;Calculate_cap_emi!$I$14:$I$21,
        Calculate_cap_emi!$AW$14:$AW$21, "Not found", 0))</f>
        <v>122.42469665149446</v>
      </c>
      <c r="S144" s="8" cm="1">
        <f t="array" ref="S144">_xlfn.SWITCH(K144,200,_xlfn.XLOOKUP(J144,EOL!$C$18:$N$18,EOL!$C$20:$N$20) + _xlfn.XLOOKUP(B144&amp;"|"&amp;E144,
        Calculate_cap_emi!$L$14:$L$21&amp;"|"&amp;Calculate_cap_emi!$I$14:$I$21,
        Calculate_cap_emi!$BD$14:$BD$21, "Not found", 0), LOOKUP(K144,EOL!$C$24:$D$24,EOL!$C$26:$D$26) + _xlfn.XLOOKUP(J144,EOL!$C$18:$N$18,EOL!$C$20:$N$20) + _xlfn.XLOOKUP(B144&amp;"|"&amp;E144,
        Calculate_cap_emi!$L$14:$L$21&amp;"|"&amp;Calculate_cap_emi!$I$14:$I$21,
        Calculate_cap_emi!$BD$14:$BD$21, "Not found", 0))</f>
        <v>872.25367212725928</v>
      </c>
      <c r="T144" s="8" cm="1">
        <f t="array" ref="T144">_xlfn.SWITCH(K144,200,_xlfn.XLOOKUP(J144,Other!$C$18:$N$18,Other!$C$20:$N$20) + _xlfn.XLOOKUP(B144&amp;"|"&amp;E144,
        Calculate_cap_emi!$L$14:$L$21&amp;"|"&amp;Calculate_cap_emi!$I$14:$I$21,
        Calculate_cap_emi!$BK$14:$BK$21, "Not found", 0), LOOKUP(K144,Other!$C$24:$D$24,Other!$C$26:$D$26) + _xlfn.XLOOKUP(J144,Other!$C$18:$N$18,Other!$C$20:$N$20) + _xlfn.XLOOKUP(B144&amp;"|"&amp;E144,
        Calculate_cap_emi!$L$14:$L$21&amp;"|"&amp;Calculate_cap_emi!$I$14:$I$21,
        Calculate_cap_emi!$BK$14:$BK$21, "Not found", 0))</f>
        <v>3091.669762761283</v>
      </c>
      <c r="U144" s="8" cm="1">
        <f t="array" ref="U144">_xlfn.SWITCH(K144,200,_xlfn.XLOOKUP(J144,EOL_R!$C$18:$N$18,EOL_R!$C$20:$N$20) + _xlfn.XLOOKUP(B144&amp;"|"&amp;E144,
        Calculate_cap_emi_sens!$L$14:$L$21&amp;"|"&amp;Calculate_cap_emi_sens!$I$14:$I$21,
        Calculate_cap_emi_sens!$BD$14:$BD$21, "Not found", 0), LOOKUP(K144,EOL_R!$C$24:$D$24,EOL_R!$C$26:$D$26) + _xlfn.XLOOKUP(J144,EOL_R!$C$18:$N$18,EOL_R!$C$20:$N$20) + _xlfn.XLOOKUP(B144&amp;"|"&amp;E144,
        Calculate_cap_emi_sens!$L$14:$L$21&amp;"|"&amp;Calculate_cap_emi_sens!$I$14:$I$21,
        Calculate_cap_emi_sens!$BD$14:$BD$21, "Not found", 0))</f>
        <v>751.0865094737394</v>
      </c>
      <c r="V144" s="8" cm="1">
        <f t="array" ref="V144">_xlfn.SWITCH(K144,200,_xlfn.XLOOKUP(J144,Other_R!$C$18:$N$18,Other_R!$C$20:$N$20) + _xlfn.XLOOKUP(B144&amp;"|"&amp;E144,
        Calculate_cap_emi_sens!$L$14:$L$21&amp;"|"&amp;Calculate_cap_emi_sens!$I$14:$I$21,
        Calculate_cap_emi_sens!$BK$14:$BK$21, "Not found", 0), LOOKUP(K144,Other_R!$C$24:$D$24,Other_R!$C$26:$D$26) + _xlfn.XLOOKUP(J144,Other_R!$C$18:$N$18,Other_R!$C$20:$N$20) + _xlfn.XLOOKUP(B144&amp;"|"&amp;E144,
        Calculate_cap_emi_sens!$L$14:$L$21&amp;"|"&amp;Calculate_cap_emi_sens!$I$14:$I$21,
        Calculate_cap_emi_sens!$BK$14:$BK$21, "Not found", 0))</f>
        <v>2709.6783631972276</v>
      </c>
      <c r="W144" s="5">
        <f>Results_proc_ener!L144</f>
        <v>144556.90210149024</v>
      </c>
      <c r="X144" s="5">
        <f>Results_proc_ener!M144</f>
        <v>48695.486398672118</v>
      </c>
      <c r="Y144" s="5">
        <f>Results_proc_ener!N144</f>
        <v>20573.31818181818</v>
      </c>
      <c r="Z144" s="5">
        <f>Results_proc_ener!O144</f>
        <v>75288.097520999945</v>
      </c>
      <c r="AA144" s="5">
        <f>Results_proc_ener!P144</f>
        <v>144556.90210149024</v>
      </c>
      <c r="AB144" s="5">
        <f>Results_proc_ener!Q144</f>
        <v>3179.5093747316191</v>
      </c>
      <c r="AC144" s="5">
        <f>Results_proc_ener!R144</f>
        <v>303.53888316922178</v>
      </c>
      <c r="AD144" s="5">
        <f>Results_proc_ener!S144</f>
        <v>27779.686813963635</v>
      </c>
      <c r="AE144" s="5">
        <f>Results_proc_ener!T144</f>
        <v>110895.9226439988</v>
      </c>
    </row>
    <row r="145" spans="1:31" x14ac:dyDescent="0.25">
      <c r="A145" s="5"/>
      <c r="B145" s="5" t="str">
        <f t="shared" si="6"/>
        <v>Mod-Nom</v>
      </c>
      <c r="C145" s="5" t="s">
        <v>38</v>
      </c>
      <c r="D145" s="5" t="str">
        <f t="shared" ref="D145:D195" si="9">_xlfn.TEXTAFTER(B145, "-", 1)</f>
        <v>Nom</v>
      </c>
      <c r="E145" s="5" t="s">
        <v>11</v>
      </c>
      <c r="F145" s="5" t="s">
        <v>57</v>
      </c>
      <c r="G145" s="5" t="s">
        <v>57</v>
      </c>
      <c r="H145" s="5">
        <v>8.5</v>
      </c>
      <c r="I145" s="5"/>
      <c r="J145" s="5">
        <f t="shared" si="7"/>
        <v>9</v>
      </c>
      <c r="K145" s="5">
        <v>1000</v>
      </c>
      <c r="L145" s="8" cm="1">
        <f t="array" ref="L145">_xlfn.SWITCH(K145,200,_xlfn.XLOOKUP(J145,Manufacture!$C$18:$N$18,Manufacture!$C$20:$N$20) + _xlfn.XLOOKUP(B145&amp;"|"&amp;E145,
        Calculate_cap_emi!$L$14:$L$21&amp;"|"&amp;Calculate_cap_emi!$I$14:$I$21,
        Calculate_cap_emi!$AI$14:$AI$21, "Not found", 0), LOOKUP(K145,Manufacture!$C$24:$D$24,Manufacture!$C$26:$D$26) + _xlfn.XLOOKUP(J145,Manufacture!$C$18:$N$18,Manufacture!$C$20:$N$20) + _xlfn.XLOOKUP(B145&amp;"|"&amp;E145,
        Calculate_cap_emi!$L$14:$L$21&amp;"|"&amp;Calculate_cap_emi!$I$14:$I$21,
        Calculate_cap_emi!$AI$14:$AI$21, "Not found", 0))</f>
        <v>4710.8183163644171</v>
      </c>
      <c r="M145" s="8">
        <f>_xlfn.XLOOKUP(J145,Manufacture!$C$18:$N$18,Manufacture!$C$20:$N$20)</f>
        <v>1869.654705882353</v>
      </c>
      <c r="N145" s="8" cm="1">
        <f t="array" ref="N145">_xlfn.SWITCH(K145,200,0,LOOKUP(K145,Manufacture!$C$24:$D$24,Manufacture!$C$26:$D$26))</f>
        <v>659.59090909090912</v>
      </c>
      <c r="O145" s="5" cm="1">
        <f t="array" ref="O145">_xlfn.XLOOKUP(B145&amp;"|"&amp;E145,
        Calculate_cap_emi!$L$14:$L$21&amp;"|"&amp;Calculate_cap_emi!$I$14:$I$21,
        Calculate_cap_emi!$AI$14:$AI$21, "Not found", 0)</f>
        <v>2181.5727013911546</v>
      </c>
      <c r="P145" s="8">
        <f t="shared" si="8"/>
        <v>4710.8183163644171</v>
      </c>
      <c r="Q145" s="8" cm="1">
        <f t="array" ref="Q145">_xlfn.SWITCH(K145,200,_xlfn.XLOOKUP(J145,Distribution!$C$18:$N$18,Distribution!$C$20:$N$20) + _xlfn.XLOOKUP(B145&amp;"|"&amp;E145,
        Calculate_cap_emi!$L$14:$L$21&amp;"|"&amp;Calculate_cap_emi!$I$14:$I$21,
        Calculate_cap_emi!$AP$14:$AP$21, "Not found", 0), LOOKUP(K145,Distribution!$C$24:$D$24,Distribution!$C$26:$D$26) + _xlfn.XLOOKUP(J145,Distribution!$C$18:$N$18,Distribution!$C$20:$N$20) + _xlfn.XLOOKUP(B145&amp;"|"&amp;E145,
        Calculate_cap_emi!$L$14:$L$21&amp;"|"&amp;Calculate_cap_emi!$I$14:$I$21,
        Calculate_cap_emi!$AP$14:$AP$21, "Not found", 0))</f>
        <v>152.26373621703618</v>
      </c>
      <c r="R145" s="8" cm="1">
        <f t="array" ref="R145">_xlfn.SWITCH(K145,200,_xlfn.XLOOKUP(J145,Installation!$C$18:$N$18,Installation!$C$20:$N$20) + _xlfn.XLOOKUP(B145&amp;"|"&amp;E145,
        Calculate_cap_emi!$L$14:$L$21&amp;"|"&amp;Calculate_cap_emi!$I$14:$I$21,
        Calculate_cap_emi!$AW$14:$AW$21, "Not found", 0), LOOKUP(K145,Installation!$C$24:$D$24,Installation!$C$26:$D$26) + _xlfn.XLOOKUP(J145,Installation!$C$18:$N$18,Installation!$C$20:$N$20) + _xlfn.XLOOKUP(B145&amp;"|"&amp;E145,
        Calculate_cap_emi!$L$14:$L$21&amp;"|"&amp;Calculate_cap_emi!$I$14:$I$21,
        Calculate_cap_emi!$AW$14:$AW$21, "Not found", 0))</f>
        <v>129.80193143156097</v>
      </c>
      <c r="S145" s="8" cm="1">
        <f t="array" ref="S145">_xlfn.SWITCH(K145,200,_xlfn.XLOOKUP(J145,EOL!$C$18:$N$18,EOL!$C$20:$N$20) + _xlfn.XLOOKUP(B145&amp;"|"&amp;E145,
        Calculate_cap_emi!$L$14:$L$21&amp;"|"&amp;Calculate_cap_emi!$I$14:$I$21,
        Calculate_cap_emi!$BD$14:$BD$21, "Not found", 0), LOOKUP(K145,EOL!$C$24:$D$24,EOL!$C$26:$D$26) + _xlfn.XLOOKUP(J145,EOL!$C$18:$N$18,EOL!$C$20:$N$20) + _xlfn.XLOOKUP(B145&amp;"|"&amp;E145,
        Calculate_cap_emi!$L$14:$L$21&amp;"|"&amp;Calculate_cap_emi!$I$14:$I$21,
        Calculate_cap_emi!$BD$14:$BD$21, "Not found", 0))</f>
        <v>916.92437800961238</v>
      </c>
      <c r="T145" s="8" cm="1">
        <f t="array" ref="T145">_xlfn.SWITCH(K145,200,_xlfn.XLOOKUP(J145,Other!$C$18:$N$18,Other!$C$20:$N$20) + _xlfn.XLOOKUP(B145&amp;"|"&amp;E145,
        Calculate_cap_emi!$L$14:$L$21&amp;"|"&amp;Calculate_cap_emi!$I$14:$I$21,
        Calculate_cap_emi!$BK$14:$BK$21, "Not found", 0), LOOKUP(K145,Other!$C$24:$D$24,Other!$C$26:$D$26) + _xlfn.XLOOKUP(J145,Other!$C$18:$N$18,Other!$C$20:$N$20) + _xlfn.XLOOKUP(B145&amp;"|"&amp;E145,
        Calculate_cap_emi!$L$14:$L$21&amp;"|"&amp;Calculate_cap_emi!$I$14:$I$21,
        Calculate_cap_emi!$BK$14:$BK$21, "Not found", 0))</f>
        <v>3157.3390126497034</v>
      </c>
      <c r="U145" s="8" cm="1">
        <f t="array" ref="U145">_xlfn.SWITCH(K145,200,_xlfn.XLOOKUP(J145,EOL_R!$C$18:$N$18,EOL_R!$C$20:$N$20) + _xlfn.XLOOKUP(B145&amp;"|"&amp;E145,
        Calculate_cap_emi_sens!$L$14:$L$21&amp;"|"&amp;Calculate_cap_emi_sens!$I$14:$I$21,
        Calculate_cap_emi_sens!$BD$14:$BD$21, "Not found", 0), LOOKUP(K145,EOL_R!$C$24:$D$24,EOL_R!$C$26:$D$26) + _xlfn.XLOOKUP(J145,EOL_R!$C$18:$N$18,EOL_R!$C$20:$N$20) + _xlfn.XLOOKUP(B145&amp;"|"&amp;E145,
        Calculate_cap_emi_sens!$L$14:$L$21&amp;"|"&amp;Calculate_cap_emi_sens!$I$14:$I$21,
        Calculate_cap_emi_sens!$BD$14:$BD$21, "Not found", 0))</f>
        <v>766.86351964841083</v>
      </c>
      <c r="V145" s="8" cm="1">
        <f t="array" ref="V145">_xlfn.SWITCH(K145,200,_xlfn.XLOOKUP(J145,Other_R!$C$18:$N$18,Other_R!$C$20:$N$20) + _xlfn.XLOOKUP(B145&amp;"|"&amp;E145,
        Calculate_cap_emi_sens!$L$14:$L$21&amp;"|"&amp;Calculate_cap_emi_sens!$I$14:$I$21,
        Calculate_cap_emi_sens!$BK$14:$BK$21, "Not found", 0), LOOKUP(K145,Other_R!$C$24:$D$24,Other_R!$C$26:$D$26) + _xlfn.XLOOKUP(J145,Other_R!$C$18:$N$18,Other_R!$C$20:$N$20) + _xlfn.XLOOKUP(B145&amp;"|"&amp;E145,
        Calculate_cap_emi_sens!$L$14:$L$21&amp;"|"&amp;Calculate_cap_emi_sens!$I$14:$I$21,
        Calculate_cap_emi_sens!$BK$14:$BK$21, "Not found", 0))</f>
        <v>2704.4715418046353</v>
      </c>
      <c r="W145" s="5">
        <f>Results_proc_ener!L145</f>
        <v>145621.41790238375</v>
      </c>
      <c r="X145" s="5">
        <f>Results_proc_ener!M145</f>
        <v>49760.002199565621</v>
      </c>
      <c r="Y145" s="5">
        <f>Results_proc_ener!N145</f>
        <v>20573.31818181818</v>
      </c>
      <c r="Z145" s="5">
        <f>Results_proc_ener!O145</f>
        <v>75288.097520999945</v>
      </c>
      <c r="AA145" s="5">
        <f>Results_proc_ener!P145</f>
        <v>145621.41790238375</v>
      </c>
      <c r="AB145" s="5">
        <f>Results_proc_ener!Q145</f>
        <v>3277.6222541370689</v>
      </c>
      <c r="AC145" s="5">
        <f>Results_proc_ener!R145</f>
        <v>310.91611794928826</v>
      </c>
      <c r="AD145" s="5">
        <f>Results_proc_ener!S145</f>
        <v>27779.686813963635</v>
      </c>
      <c r="AE145" s="5">
        <f>Results_proc_ener!T145</f>
        <v>110961.59189388722</v>
      </c>
    </row>
    <row r="146" spans="1:31" x14ac:dyDescent="0.25">
      <c r="A146" s="5"/>
      <c r="B146" s="5" t="str">
        <f t="shared" si="6"/>
        <v>Mod-Nom</v>
      </c>
      <c r="C146" s="5" t="s">
        <v>38</v>
      </c>
      <c r="D146" s="5" t="str">
        <f t="shared" si="9"/>
        <v>Nom</v>
      </c>
      <c r="E146" s="5" t="s">
        <v>11</v>
      </c>
      <c r="F146" s="5" t="s">
        <v>57</v>
      </c>
      <c r="G146" s="5" t="s">
        <v>57</v>
      </c>
      <c r="H146" s="5">
        <v>11.2</v>
      </c>
      <c r="I146" s="5"/>
      <c r="J146" s="5">
        <f t="shared" si="7"/>
        <v>12</v>
      </c>
      <c r="K146" s="5">
        <v>1000</v>
      </c>
      <c r="L146" s="8" cm="1">
        <f t="array" ref="L146">_xlfn.SWITCH(K146,200,_xlfn.XLOOKUP(J146,Manufacture!$C$18:$N$18,Manufacture!$C$20:$N$20) + _xlfn.XLOOKUP(B146&amp;"|"&amp;E146,
        Calculate_cap_emi!$L$14:$L$21&amp;"|"&amp;Calculate_cap_emi!$I$14:$I$21,
        Calculate_cap_emi!$AI$14:$AI$21, "Not found", 0), LOOKUP(K146,Manufacture!$C$24:$D$24,Manufacture!$C$26:$D$26) + _xlfn.XLOOKUP(J146,Manufacture!$C$18:$N$18,Manufacture!$C$20:$N$20) + _xlfn.XLOOKUP(B146&amp;"|"&amp;E146,
        Calculate_cap_emi!$L$14:$L$21&amp;"|"&amp;Calculate_cap_emi!$I$14:$I$21,
        Calculate_cap_emi!$AI$14:$AI$21, "Not found", 0))</f>
        <v>4829.5918457761818</v>
      </c>
      <c r="M146" s="8">
        <f>_xlfn.XLOOKUP(J146,Manufacture!$C$18:$N$18,Manufacture!$C$20:$N$20)</f>
        <v>1988.4282352941175</v>
      </c>
      <c r="N146" s="8" cm="1">
        <f t="array" ref="N146">_xlfn.SWITCH(K146,200,0,LOOKUP(K146,Manufacture!$C$24:$D$24,Manufacture!$C$26:$D$26))</f>
        <v>659.59090909090912</v>
      </c>
      <c r="O146" s="5" cm="1">
        <f t="array" ref="O146">_xlfn.XLOOKUP(B146&amp;"|"&amp;E146,
        Calculate_cap_emi!$L$14:$L$21&amp;"|"&amp;Calculate_cap_emi!$I$14:$I$21,
        Calculate_cap_emi!$AI$14:$AI$21, "Not found", 0)</f>
        <v>2181.5727013911546</v>
      </c>
      <c r="P146" s="8">
        <f t="shared" si="8"/>
        <v>4829.5918457761818</v>
      </c>
      <c r="Q146" s="8" cm="1">
        <f t="array" ref="Q146">_xlfn.SWITCH(K146,200,_xlfn.XLOOKUP(J146,Distribution!$C$18:$N$18,Distribution!$C$20:$N$20) + _xlfn.XLOOKUP(B146&amp;"|"&amp;E146,
        Calculate_cap_emi!$L$14:$L$21&amp;"|"&amp;Calculate_cap_emi!$I$14:$I$21,
        Calculate_cap_emi!$AP$14:$AP$21, "Not found", 0), LOOKUP(K146,Distribution!$C$24:$D$24,Distribution!$C$26:$D$26) + _xlfn.XLOOKUP(J146,Distribution!$C$18:$N$18,Distribution!$C$20:$N$20) + _xlfn.XLOOKUP(B146&amp;"|"&amp;E146,
        Calculate_cap_emi!$L$14:$L$21&amp;"|"&amp;Calculate_cap_emi!$I$14:$I$21,
        Calculate_cap_emi!$AP$14:$AP$21, "Not found", 0))</f>
        <v>156.89636895974206</v>
      </c>
      <c r="R146" s="8" cm="1">
        <f t="array" ref="R146">_xlfn.SWITCH(K146,200,_xlfn.XLOOKUP(J146,Installation!$C$18:$N$18,Installation!$C$20:$N$20) + _xlfn.XLOOKUP(B146&amp;"|"&amp;E146,
        Calculate_cap_emi!$L$14:$L$21&amp;"|"&amp;Calculate_cap_emi!$I$14:$I$21,
        Calculate_cap_emi!$AW$14:$AW$21, "Not found", 0), LOOKUP(K146,Installation!$C$24:$D$24,Installation!$C$26:$D$26) + _xlfn.XLOOKUP(J146,Installation!$C$18:$N$18,Installation!$C$20:$N$20) + _xlfn.XLOOKUP(B146&amp;"|"&amp;E146,
        Calculate_cap_emi!$L$14:$L$21&amp;"|"&amp;Calculate_cap_emi!$I$14:$I$21,
        Calculate_cap_emi!$AW$14:$AW$21, "Not found", 0))</f>
        <v>137.17916621162766</v>
      </c>
      <c r="S146" s="8" cm="1">
        <f t="array" ref="S146">_xlfn.SWITCH(K146,200,_xlfn.XLOOKUP(J146,EOL!$C$18:$N$18,EOL!$C$20:$N$20) + _xlfn.XLOOKUP(B146&amp;"|"&amp;E146,
        Calculate_cap_emi!$L$14:$L$21&amp;"|"&amp;Calculate_cap_emi!$I$14:$I$21,
        Calculate_cap_emi!$BD$14:$BD$21, "Not found", 0), LOOKUP(K146,EOL!$C$24:$D$24,EOL!$C$26:$D$26) + _xlfn.XLOOKUP(J146,EOL!$C$18:$N$18,EOL!$C$20:$N$20) + _xlfn.XLOOKUP(B146&amp;"|"&amp;E146,
        Calculate_cap_emi!$L$14:$L$21&amp;"|"&amp;Calculate_cap_emi!$I$14:$I$21,
        Calculate_cap_emi!$BD$14:$BD$21, "Not found", 0))</f>
        <v>961.59508389196526</v>
      </c>
      <c r="T146" s="8" cm="1">
        <f t="array" ref="T146">_xlfn.SWITCH(K146,200,_xlfn.XLOOKUP(J146,Other!$C$18:$N$18,Other!$C$20:$N$20) + _xlfn.XLOOKUP(B146&amp;"|"&amp;E146,
        Calculate_cap_emi!$L$14:$L$21&amp;"|"&amp;Calculate_cap_emi!$I$14:$I$21,
        Calculate_cap_emi!$BK$14:$BK$21, "Not found", 0), LOOKUP(K146,Other!$C$24:$D$24,Other!$C$26:$D$26) + _xlfn.XLOOKUP(J146,Other!$C$18:$N$18,Other!$C$20:$N$20) + _xlfn.XLOOKUP(B146&amp;"|"&amp;E146,
        Calculate_cap_emi!$L$14:$L$21&amp;"|"&amp;Calculate_cap_emi!$I$14:$I$21,
        Calculate_cap_emi!$BK$14:$BK$21, "Not found", 0))</f>
        <v>3223.0082625381247</v>
      </c>
      <c r="U146" s="8" cm="1">
        <f t="array" ref="U146">_xlfn.SWITCH(K146,200,_xlfn.XLOOKUP(J146,EOL_R!$C$18:$N$18,EOL_R!$C$20:$N$20) + _xlfn.XLOOKUP(B146&amp;"|"&amp;E146,
        Calculate_cap_emi_sens!$L$14:$L$21&amp;"|"&amp;Calculate_cap_emi_sens!$I$14:$I$21,
        Calculate_cap_emi_sens!$BD$14:$BD$21, "Not found", 0), LOOKUP(K146,EOL_R!$C$24:$D$24,EOL_R!$C$26:$D$26) + _xlfn.XLOOKUP(J146,EOL_R!$C$18:$N$18,EOL_R!$C$20:$N$20) + _xlfn.XLOOKUP(B146&amp;"|"&amp;E146,
        Calculate_cap_emi_sens!$L$14:$L$21&amp;"|"&amp;Calculate_cap_emi_sens!$I$14:$I$21,
        Calculate_cap_emi_sens!$BD$14:$BD$21, "Not found", 0))</f>
        <v>791.03382217729063</v>
      </c>
      <c r="V146" s="8" cm="1">
        <f t="array" ref="V146">_xlfn.SWITCH(K146,200,_xlfn.XLOOKUP(J146,Other_R!$C$18:$N$18,Other_R!$C$20:$N$20) + _xlfn.XLOOKUP(B146&amp;"|"&amp;E146,
        Calculate_cap_emi_sens!$L$14:$L$21&amp;"|"&amp;Calculate_cap_emi_sens!$I$14:$I$21,
        Calculate_cap_emi_sens!$BK$14:$BK$21, "Not found", 0), LOOKUP(K146,Other_R!$C$24:$D$24,Other_R!$C$26:$D$26) + _xlfn.XLOOKUP(J146,Other_R!$C$18:$N$18,Other_R!$C$20:$N$20) + _xlfn.XLOOKUP(B146&amp;"|"&amp;E146,
        Calculate_cap_emi_sens!$L$14:$L$21&amp;"|"&amp;Calculate_cap_emi_sens!$I$14:$I$21,
        Calculate_cap_emi_sens!$BK$14:$BK$21, "Not found", 0))</f>
        <v>2719.8534188325475</v>
      </c>
      <c r="W146" s="5">
        <f>Results_proc_ener!L146</f>
        <v>146685.93370327738</v>
      </c>
      <c r="X146" s="5">
        <f>Results_proc_ener!M146</f>
        <v>50824.518000459248</v>
      </c>
      <c r="Y146" s="5">
        <f>Results_proc_ener!N146</f>
        <v>20573.31818181818</v>
      </c>
      <c r="Z146" s="5">
        <f>Results_proc_ener!O146</f>
        <v>75288.097520999945</v>
      </c>
      <c r="AA146" s="5">
        <f>Results_proc_ener!P146</f>
        <v>146685.93370327738</v>
      </c>
      <c r="AB146" s="5">
        <f>Results_proc_ener!Q146</f>
        <v>3375.7351335425192</v>
      </c>
      <c r="AC146" s="5">
        <f>Results_proc_ener!R146</f>
        <v>318.29335272935492</v>
      </c>
      <c r="AD146" s="5">
        <f>Results_proc_ener!S146</f>
        <v>27779.686813963635</v>
      </c>
      <c r="AE146" s="5">
        <f>Results_proc_ener!T146</f>
        <v>111027.26114377564</v>
      </c>
    </row>
    <row r="147" spans="1:31" x14ac:dyDescent="0.25">
      <c r="A147" s="5"/>
      <c r="B147" s="5" t="str">
        <f t="shared" si="6"/>
        <v>Mod-Nom</v>
      </c>
      <c r="C147" s="5" t="s">
        <v>38</v>
      </c>
      <c r="D147" s="5" t="str">
        <f t="shared" si="9"/>
        <v>Nom</v>
      </c>
      <c r="E147" s="5" t="s">
        <v>11</v>
      </c>
      <c r="F147" s="5" t="s">
        <v>57</v>
      </c>
      <c r="G147" s="5" t="s">
        <v>57</v>
      </c>
      <c r="H147" s="5">
        <v>14</v>
      </c>
      <c r="I147" s="5"/>
      <c r="J147" s="5">
        <f t="shared" si="7"/>
        <v>14</v>
      </c>
      <c r="K147" s="5">
        <v>1000</v>
      </c>
      <c r="L147" s="8" cm="1">
        <f t="array" ref="L147">_xlfn.SWITCH(K147,200,_xlfn.XLOOKUP(J147,Manufacture!$C$18:$N$18,Manufacture!$C$20:$N$20) + _xlfn.XLOOKUP(B147&amp;"|"&amp;E147,
        Calculate_cap_emi!$L$14:$L$21&amp;"|"&amp;Calculate_cap_emi!$I$14:$I$21,
        Calculate_cap_emi!$AI$14:$AI$21, "Not found", 0), LOOKUP(K147,Manufacture!$C$24:$D$24,Manufacture!$C$26:$D$26) + _xlfn.XLOOKUP(J147,Manufacture!$C$18:$N$18,Manufacture!$C$20:$N$20) + _xlfn.XLOOKUP(B147&amp;"|"&amp;E147,
        Calculate_cap_emi!$L$14:$L$21&amp;"|"&amp;Calculate_cap_emi!$I$14:$I$21,
        Calculate_cap_emi!$AI$14:$AI$21, "Not found", 0))</f>
        <v>4908.7741987173576</v>
      </c>
      <c r="M147" s="8">
        <f>_xlfn.XLOOKUP(J147,Manufacture!$C$18:$N$18,Manufacture!$C$20:$N$20)</f>
        <v>2067.610588235294</v>
      </c>
      <c r="N147" s="8" cm="1">
        <f t="array" ref="N147">_xlfn.SWITCH(K147,200,0,LOOKUP(K147,Manufacture!$C$24:$D$24,Manufacture!$C$26:$D$26))</f>
        <v>659.59090909090912</v>
      </c>
      <c r="O147" s="5" cm="1">
        <f t="array" ref="O147">_xlfn.XLOOKUP(B147&amp;"|"&amp;E147,
        Calculate_cap_emi!$L$14:$L$21&amp;"|"&amp;Calculate_cap_emi!$I$14:$I$21,
        Calculate_cap_emi!$AI$14:$AI$21, "Not found", 0)</f>
        <v>2181.5727013911546</v>
      </c>
      <c r="P147" s="8">
        <f t="shared" si="8"/>
        <v>4908.7741987173576</v>
      </c>
      <c r="Q147" s="8" cm="1">
        <f t="array" ref="Q147">_xlfn.SWITCH(K147,200,_xlfn.XLOOKUP(J147,Distribution!$C$18:$N$18,Distribution!$C$20:$N$20) + _xlfn.XLOOKUP(B147&amp;"|"&amp;E147,
        Calculate_cap_emi!$L$14:$L$21&amp;"|"&amp;Calculate_cap_emi!$I$14:$I$21,
        Calculate_cap_emi!$AP$14:$AP$21, "Not found", 0), LOOKUP(K147,Distribution!$C$24:$D$24,Distribution!$C$26:$D$26) + _xlfn.XLOOKUP(J147,Distribution!$C$18:$N$18,Distribution!$C$20:$N$20) + _xlfn.XLOOKUP(B147&amp;"|"&amp;E147,
        Calculate_cap_emi!$L$14:$L$21&amp;"|"&amp;Calculate_cap_emi!$I$14:$I$21,
        Calculate_cap_emi!$AP$14:$AP$21, "Not found", 0))</f>
        <v>159.98479078821262</v>
      </c>
      <c r="R147" s="8" cm="1">
        <f t="array" ref="R147">_xlfn.SWITCH(K147,200,_xlfn.XLOOKUP(J147,Installation!$C$18:$N$18,Installation!$C$20:$N$20) + _xlfn.XLOOKUP(B147&amp;"|"&amp;E147,
        Calculate_cap_emi!$L$14:$L$21&amp;"|"&amp;Calculate_cap_emi!$I$14:$I$21,
        Calculate_cap_emi!$AW$14:$AW$21, "Not found", 0), LOOKUP(K147,Installation!$C$24:$D$24,Installation!$C$26:$D$26) + _xlfn.XLOOKUP(J147,Installation!$C$18:$N$18,Installation!$C$20:$N$20) + _xlfn.XLOOKUP(B147&amp;"|"&amp;E147,
        Calculate_cap_emi!$L$14:$L$21&amp;"|"&amp;Calculate_cap_emi!$I$14:$I$21,
        Calculate_cap_emi!$AW$14:$AW$21, "Not found", 0))</f>
        <v>142.09732273167216</v>
      </c>
      <c r="S147" s="8" cm="1">
        <f t="array" ref="S147">_xlfn.SWITCH(K147,200,_xlfn.XLOOKUP(J147,EOL!$C$18:$N$18,EOL!$C$20:$N$20) + _xlfn.XLOOKUP(B147&amp;"|"&amp;E147,
        Calculate_cap_emi!$L$14:$L$21&amp;"|"&amp;Calculate_cap_emi!$I$14:$I$21,
        Calculate_cap_emi!$BD$14:$BD$21, "Not found", 0), LOOKUP(K147,EOL!$C$24:$D$24,EOL!$C$26:$D$26) + _xlfn.XLOOKUP(J147,EOL!$C$18:$N$18,EOL!$C$20:$N$20) + _xlfn.XLOOKUP(B147&amp;"|"&amp;E147,
        Calculate_cap_emi!$L$14:$L$21&amp;"|"&amp;Calculate_cap_emi!$I$14:$I$21,
        Calculate_cap_emi!$BD$14:$BD$21, "Not found", 0))</f>
        <v>991.37555448020044</v>
      </c>
      <c r="T147" s="8" cm="1">
        <f t="array" ref="T147">_xlfn.SWITCH(K147,200,_xlfn.XLOOKUP(J147,Other!$C$18:$N$18,Other!$C$20:$N$20) + _xlfn.XLOOKUP(B147&amp;"|"&amp;E147,
        Calculate_cap_emi!$L$14:$L$21&amp;"|"&amp;Calculate_cap_emi!$I$14:$I$21,
        Calculate_cap_emi!$BK$14:$BK$21, "Not found", 0), LOOKUP(K147,Other!$C$24:$D$24,Other!$C$26:$D$26) + _xlfn.XLOOKUP(J147,Other!$C$18:$N$18,Other!$C$20:$N$20) + _xlfn.XLOOKUP(B147&amp;"|"&amp;E147,
        Calculate_cap_emi!$L$14:$L$21&amp;"|"&amp;Calculate_cap_emi!$I$14:$I$21,
        Calculate_cap_emi!$BK$14:$BK$21, "Not found", 0))</f>
        <v>3266.7877624637385</v>
      </c>
      <c r="U147" s="8" cm="1">
        <f t="array" ref="U147">_xlfn.SWITCH(K147,200,_xlfn.XLOOKUP(J147,EOL_R!$C$18:$N$18,EOL_R!$C$20:$N$20) + _xlfn.XLOOKUP(B147&amp;"|"&amp;E147,
        Calculate_cap_emi_sens!$L$14:$L$21&amp;"|"&amp;Calculate_cap_emi_sens!$I$14:$I$21,
        Calculate_cap_emi_sens!$BD$14:$BD$21, "Not found", 0), LOOKUP(K147,EOL_R!$C$24:$D$24,EOL_R!$C$26:$D$26) + _xlfn.XLOOKUP(J147,EOL_R!$C$18:$N$18,EOL_R!$C$20:$N$20) + _xlfn.XLOOKUP(B147&amp;"|"&amp;E147,
        Calculate_cap_emi_sens!$L$14:$L$21&amp;"|"&amp;Calculate_cap_emi_sens!$I$14:$I$21,
        Calculate_cap_emi_sens!$BD$14:$BD$21, "Not found", 0))</f>
        <v>809.82941947558334</v>
      </c>
      <c r="V147" s="8" cm="1">
        <f t="array" ref="V147">_xlfn.SWITCH(K147,200,_xlfn.XLOOKUP(J147,Other_R!$C$18:$N$18,Other_R!$C$20:$N$20) + _xlfn.XLOOKUP(B147&amp;"|"&amp;E147,
        Calculate_cap_emi_sens!$L$14:$L$21&amp;"|"&amp;Calculate_cap_emi_sens!$I$14:$I$21,
        Calculate_cap_emi_sens!$BK$14:$BK$21, "Not found", 0), LOOKUP(K147,Other_R!$C$24:$D$24,Other_R!$C$26:$D$26) + _xlfn.XLOOKUP(J147,Other_R!$C$18:$N$18,Other_R!$C$20:$N$20) + _xlfn.XLOOKUP(B147&amp;"|"&amp;E147,
        Calculate_cap_emi_sens!$L$14:$L$21&amp;"|"&amp;Calculate_cap_emi_sens!$I$14:$I$21,
        Calculate_cap_emi_sens!$BK$14:$BK$21, "Not found", 0))</f>
        <v>2736.6870870380649</v>
      </c>
      <c r="W147" s="5">
        <f>Results_proc_ener!L147</f>
        <v>147395.61090387305</v>
      </c>
      <c r="X147" s="5">
        <f>Results_proc_ener!M147</f>
        <v>51534.195201054921</v>
      </c>
      <c r="Y147" s="5">
        <f>Results_proc_ener!N147</f>
        <v>20573.31818181818</v>
      </c>
      <c r="Z147" s="5">
        <f>Results_proc_ener!O147</f>
        <v>75288.097520999945</v>
      </c>
      <c r="AA147" s="5">
        <f>Results_proc_ener!P147</f>
        <v>147395.61090387305</v>
      </c>
      <c r="AB147" s="5">
        <f>Results_proc_ener!Q147</f>
        <v>3441.1437198128187</v>
      </c>
      <c r="AC147" s="5">
        <f>Results_proc_ener!R147</f>
        <v>323.21150924939946</v>
      </c>
      <c r="AD147" s="5">
        <f>Results_proc_ener!S147</f>
        <v>27779.686813963635</v>
      </c>
      <c r="AE147" s="5">
        <f>Results_proc_ener!T147</f>
        <v>111071.04064370126</v>
      </c>
    </row>
    <row r="148" spans="1:31" x14ac:dyDescent="0.25">
      <c r="A148" s="5"/>
      <c r="B148" s="5" t="str">
        <f>CONCATENATE(C148, "-", "H1")</f>
        <v>Mass-H1</v>
      </c>
      <c r="C148" s="5" t="s">
        <v>37</v>
      </c>
      <c r="D148" s="5" t="str">
        <f t="shared" si="9"/>
        <v>H1</v>
      </c>
      <c r="E148" s="5" t="s">
        <v>3</v>
      </c>
      <c r="F148" s="5" t="s">
        <v>54</v>
      </c>
      <c r="G148" s="5" t="s">
        <v>54</v>
      </c>
      <c r="H148" s="5">
        <v>8.5</v>
      </c>
      <c r="I148" s="5"/>
      <c r="J148" s="5">
        <f>_xlfn.CEILING.MATH(H148,1)</f>
        <v>9</v>
      </c>
      <c r="K148" s="5">
        <v>200</v>
      </c>
      <c r="L148" s="8" cm="1">
        <f t="array" ref="L148">_xlfn.SWITCH(K148,200,_xlfn.XLOOKUP(J148,Manufacture!$C$18:$N$18,Manufacture!$C$20:$N$20) + _xlfn.XLOOKUP(B148&amp;"|"&amp;E148,
        Calculate_cap_emi!$L$14:$L$21&amp;"|"&amp;Calculate_cap_emi!$I$14:$I$21,
        Calculate_cap_emi!$AI$14:$AI$21, "Not found", 0), LOOKUP(K148,Manufacture!$C$24:$D$24,Manufacture!$C$26:$D$26) + _xlfn.XLOOKUP(J148,Manufacture!$C$18:$N$18,Manufacture!$C$20:$N$20) + _xlfn.XLOOKUP(B148&amp;"|"&amp;E148,
        Calculate_cap_emi!$L$14:$L$21&amp;"|"&amp;Calculate_cap_emi!$I$14:$I$21,
        Calculate_cap_emi!$AI$14:$AI$21, "Not found", 0))</f>
        <v>3028.14693974285</v>
      </c>
      <c r="M148" s="8">
        <f>LOOKUP(J148,Manufacture!$C$18:$N$18,Manufacture!$C$20:$N$20)</f>
        <v>1869.654705882353</v>
      </c>
      <c r="N148" s="8" cm="1">
        <f t="array" ref="N148">_xlfn.SWITCH(K148,200,0,LOOKUP(K148,Manufacture!$C$24:$D$24,Manufacture!$C$26:$D$26))</f>
        <v>0</v>
      </c>
      <c r="O148" s="5" cm="1">
        <f t="array" ref="O148">_xlfn.XLOOKUP(B148&amp;"|"&amp;E148,
        Calculate_cap_emi!$L$14:$L$21&amp;"|"&amp;Calculate_cap_emi!$I$14:$I$21,
        Calculate_cap_emi!$AI$14:$AI$21, "Not found", 0)</f>
        <v>1158.4922338604972</v>
      </c>
      <c r="P148" s="8">
        <f>SUM(M148:O148)</f>
        <v>3028.14693974285</v>
      </c>
      <c r="Q148" s="8" cm="1">
        <f t="array" ref="Q148">_xlfn.SWITCH(K148,200,_xlfn.XLOOKUP(J148,Distribution!$C$18:$N$18,Distribution!$C$20:$N$20) + _xlfn.XLOOKUP(B148&amp;"|"&amp;E148,
        Calculate_cap_emi!$L$14:$L$21&amp;"|"&amp;Calculate_cap_emi!$I$14:$I$21,
        Calculate_cap_emi!$AP$14:$AP$21, "Not found", 0), LOOKUP(K148,Distribution!$C$24:$D$24,Distribution!$C$26:$D$26) + _xlfn.XLOOKUP(J148,Distribution!$C$18:$N$18,Distribution!$C$20:$N$20) + _xlfn.XLOOKUP(B148&amp;"|"&amp;E148,
        Calculate_cap_emi!$L$14:$L$21&amp;"|"&amp;Calculate_cap_emi!$I$14:$I$21,
        Calculate_cap_emi!$AP$14:$AP$21, "Not found", 0))</f>
        <v>111.70017281005374</v>
      </c>
      <c r="R148" s="8" cm="1">
        <f t="array" ref="R148">_xlfn.SWITCH(K148,200,_xlfn.XLOOKUP(J148,Installation!$C$18:$N$18,Installation!$C$20:$N$20) + _xlfn.XLOOKUP(B148&amp;"|"&amp;E148,
        Calculate_cap_emi!$L$14:$L$21&amp;"|"&amp;Calculate_cap_emi!$I$14:$I$21,
        Calculate_cap_emi!$AW$14:$AW$21, "Not found", 0), LOOKUP(K148,Installation!$C$24:$D$24,Installation!$C$26:$D$26) + _xlfn.XLOOKUP(J148,Installation!$C$18:$N$18,Installation!$C$20:$N$20) + _xlfn.XLOOKUP(B148&amp;"|"&amp;E148,
        Calculate_cap_emi!$L$14:$L$21&amp;"|"&amp;Calculate_cap_emi!$I$14:$I$21,
        Calculate_cap_emi!$AW$14:$AW$21, "Not found", 0))</f>
        <v>108.61545475576553</v>
      </c>
      <c r="S148" s="8" cm="1">
        <f t="array" ref="S148">_xlfn.SWITCH(K148,200,_xlfn.XLOOKUP(J148,EOL!$C$18:$N$18,EOL!$C$20:$N$20) + _xlfn.XLOOKUP(B148&amp;"|"&amp;E148,
        Calculate_cap_emi!$L$14:$L$21&amp;"|"&amp;Calculate_cap_emi!$I$14:$I$21,
        Calculate_cap_emi!$BD$14:$BD$21, "Not found", 0), LOOKUP(K148,EOL!$C$24:$D$24,EOL!$C$26:$D$26) + _xlfn.XLOOKUP(J148,EOL!$C$18:$N$18,EOL!$C$20:$N$20) + _xlfn.XLOOKUP(B148&amp;"|"&amp;E148,
        Calculate_cap_emi!$L$14:$L$21&amp;"|"&amp;Calculate_cap_emi!$I$14:$I$21,
        Calculate_cap_emi!$BD$14:$BD$21, "Not found", 0))</f>
        <v>484.76627789779411</v>
      </c>
      <c r="T148" s="8" cm="1">
        <f t="array" ref="T148">_xlfn.SWITCH(K148,200,_xlfn.XLOOKUP(J148,Other!$C$18:$N$18,Other!$C$20:$N$20) + _xlfn.XLOOKUP(B148&amp;"|"&amp;E148,
        Calculate_cap_emi!$L$14:$L$21&amp;"|"&amp;Calculate_cap_emi!$I$14:$I$21,
        Calculate_cap_emi!$BK$14:$BK$21, "Not found", 0), LOOKUP(K148,Other!$C$24:$D$24,Other!$C$26:$D$26) + _xlfn.XLOOKUP(J148,Other!$C$18:$N$18,Other!$C$20:$N$20) + _xlfn.XLOOKUP(B148&amp;"|"&amp;E148,
        Calculate_cap_emi!$L$14:$L$21&amp;"|"&amp;Calculate_cap_emi!$I$14:$I$21,
        Calculate_cap_emi!$BK$14:$BK$21, "Not found", 0))</f>
        <v>2002.4207480097029</v>
      </c>
      <c r="U148" s="8" cm="1">
        <f t="array" ref="U148">_xlfn.SWITCH(K148,200,_xlfn.XLOOKUP(J148,EOL_R!$C$18:$N$18,EOL_R!$C$20:$N$20) + _xlfn.XLOOKUP(B148&amp;"|"&amp;E148,
        Calculate_cap_emi_sens!$L$14:$L$21&amp;"|"&amp;Calculate_cap_emi_sens!$I$14:$I$21,
        Calculate_cap_emi_sens!$BD$14:$BD$21, "Not found", 0), LOOKUP(K148,EOL_R!$C$24:$D$24,EOL_R!$C$26:$D$26) + _xlfn.XLOOKUP(J148,EOL_R!$C$18:$N$18,EOL_R!$C$20:$N$20) + _xlfn.XLOOKUP(B148&amp;"|"&amp;E148,
        Calculate_cap_emi_sens!$L$14:$L$21&amp;"|"&amp;Calculate_cap_emi_sens!$I$14:$I$21,
        Calculate_cap_emi_sens!$BD$14:$BD$21, "Not found", 0))</f>
        <v>334.70541953659261</v>
      </c>
      <c r="V148" s="8" cm="1">
        <f t="array" ref="V148">_xlfn.SWITCH(K148,200,_xlfn.XLOOKUP(J148,Other_R!$C$18:$N$18,Other_R!$C$20:$N$20) + _xlfn.XLOOKUP(B148&amp;"|"&amp;E148,
        Calculate_cap_emi_sens!$L$14:$L$21&amp;"|"&amp;Calculate_cap_emi_sens!$I$14:$I$21,
        Calculate_cap_emi_sens!$BK$14:$BK$21, "Not found", 0), LOOKUP(K148,Other_R!$C$24:$D$24,Other_R!$C$26:$D$26) + _xlfn.XLOOKUP(J148,Other_R!$C$18:$N$18,Other_R!$C$20:$N$20) + _xlfn.XLOOKUP(B148&amp;"|"&amp;E148,
        Calculate_cap_emi_sens!$L$14:$L$21&amp;"|"&amp;Calculate_cap_emi_sens!$I$14:$I$21,
        Calculate_cap_emi_sens!$BK$14:$BK$21, "Not found", 0))</f>
        <v>1549.5532771646347</v>
      </c>
      <c r="W148" s="5">
        <f>Results_proc_ener!L148</f>
        <v>89913.643244565581</v>
      </c>
      <c r="X148" s="5">
        <f>Results_proc_ener!M148</f>
        <v>49760.002199565621</v>
      </c>
      <c r="Y148" s="5">
        <f>Results_proc_ener!N148</f>
        <v>0</v>
      </c>
      <c r="Z148" s="5">
        <f>Results_proc_ener!O148</f>
        <v>40153.641044999968</v>
      </c>
      <c r="AA148" s="5">
        <f>Results_proc_ener!P148</f>
        <v>89913.643244565581</v>
      </c>
      <c r="AB148" s="5">
        <f>Results_proc_ener!Q148</f>
        <v>2365.6581890149</v>
      </c>
      <c r="AC148" s="5">
        <f>Results_proc_ener!R148</f>
        <v>177.60102708451552</v>
      </c>
      <c r="AD148" s="5">
        <f>Results_proc_ener!S148</f>
        <v>4660.8750719999998</v>
      </c>
      <c r="AE148" s="5">
        <f>Results_proc_ener!T148</f>
        <v>57409.520125237199</v>
      </c>
    </row>
    <row r="149" spans="1:31" x14ac:dyDescent="0.25">
      <c r="A149" s="5"/>
      <c r="B149" s="5" t="str">
        <f t="shared" ref="B149:B186" si="10">CONCATENATE(C149, "-", "H1")</f>
        <v>Mass-H1</v>
      </c>
      <c r="C149" s="5" t="s">
        <v>37</v>
      </c>
      <c r="D149" s="5" t="str">
        <f t="shared" si="9"/>
        <v>H1</v>
      </c>
      <c r="E149" s="5" t="s">
        <v>3</v>
      </c>
      <c r="F149" s="5" t="s">
        <v>54</v>
      </c>
      <c r="G149" s="5" t="s">
        <v>54</v>
      </c>
      <c r="H149" s="5">
        <v>11.2</v>
      </c>
      <c r="I149" s="5"/>
      <c r="J149" s="5">
        <f t="shared" ref="J149:J195" si="11">_xlfn.CEILING.MATH(H149,1)</f>
        <v>12</v>
      </c>
      <c r="K149" s="5">
        <v>200</v>
      </c>
      <c r="L149" s="8" cm="1">
        <f t="array" ref="L149">_xlfn.SWITCH(K149,200,_xlfn.XLOOKUP(J149,Manufacture!$C$18:$N$18,Manufacture!$C$20:$N$20) + _xlfn.XLOOKUP(B149&amp;"|"&amp;E149,
        Calculate_cap_emi!$L$14:$L$21&amp;"|"&amp;Calculate_cap_emi!$I$14:$I$21,
        Calculate_cap_emi!$AI$14:$AI$21, "Not found", 0), LOOKUP(K149,Manufacture!$C$24:$D$24,Manufacture!$C$26:$D$26) + _xlfn.XLOOKUP(J149,Manufacture!$C$18:$N$18,Manufacture!$C$20:$N$20) + _xlfn.XLOOKUP(B149&amp;"|"&amp;E149,
        Calculate_cap_emi!$L$14:$L$21&amp;"|"&amp;Calculate_cap_emi!$I$14:$I$21,
        Calculate_cap_emi!$AI$14:$AI$21, "Not found", 0))</f>
        <v>3146.9204691546147</v>
      </c>
      <c r="M149" s="8">
        <f>LOOKUP(J149,Manufacture!$C$18:$N$18,Manufacture!$C$20:$N$20)</f>
        <v>1988.4282352941175</v>
      </c>
      <c r="N149" s="8" cm="1">
        <f t="array" ref="N149">_xlfn.SWITCH(K149,200,0,LOOKUP(K149,Manufacture!$C$24:$D$24,Manufacture!$C$26:$D$26))</f>
        <v>0</v>
      </c>
      <c r="O149" s="5" cm="1">
        <f t="array" ref="O149">_xlfn.XLOOKUP(B149&amp;"|"&amp;E149,
        Calculate_cap_emi!$L$14:$L$21&amp;"|"&amp;Calculate_cap_emi!$I$14:$I$21,
        Calculate_cap_emi!$AI$14:$AI$21, "Not found", 0)</f>
        <v>1158.4922338604972</v>
      </c>
      <c r="P149" s="8">
        <f t="shared" ref="P149:P195" si="12">SUM(M149:O149)</f>
        <v>3146.9204691546147</v>
      </c>
      <c r="Q149" s="8" cm="1">
        <f t="array" ref="Q149">_xlfn.SWITCH(K149,200,_xlfn.XLOOKUP(J149,Distribution!$C$18:$N$18,Distribution!$C$20:$N$20) + _xlfn.XLOOKUP(B149&amp;"|"&amp;E149,
        Calculate_cap_emi!$L$14:$L$21&amp;"|"&amp;Calculate_cap_emi!$I$14:$I$21,
        Calculate_cap_emi!$AP$14:$AP$21, "Not found", 0), LOOKUP(K149,Distribution!$C$24:$D$24,Distribution!$C$26:$D$26) + _xlfn.XLOOKUP(J149,Distribution!$C$18:$N$18,Distribution!$C$20:$N$20) + _xlfn.XLOOKUP(B149&amp;"|"&amp;E149,
        Calculate_cap_emi!$L$14:$L$21&amp;"|"&amp;Calculate_cap_emi!$I$14:$I$21,
        Calculate_cap_emi!$AP$14:$AP$21, "Not found", 0))</f>
        <v>116.33280555275962</v>
      </c>
      <c r="R149" s="8" cm="1">
        <f t="array" ref="R149">_xlfn.SWITCH(K149,200,_xlfn.XLOOKUP(J149,Installation!$C$18:$N$18,Installation!$C$20:$N$20) + _xlfn.XLOOKUP(B149&amp;"|"&amp;E149,
        Calculate_cap_emi!$L$14:$L$21&amp;"|"&amp;Calculate_cap_emi!$I$14:$I$21,
        Calculate_cap_emi!$AW$14:$AW$21, "Not found", 0), LOOKUP(K149,Installation!$C$24:$D$24,Installation!$C$26:$D$26) + _xlfn.XLOOKUP(J149,Installation!$C$18:$N$18,Installation!$C$20:$N$20) + _xlfn.XLOOKUP(B149&amp;"|"&amp;E149,
        Calculate_cap_emi!$L$14:$L$21&amp;"|"&amp;Calculate_cap_emi!$I$14:$I$21,
        Calculate_cap_emi!$AW$14:$AW$21, "Not found", 0))</f>
        <v>115.9926895358322</v>
      </c>
      <c r="S149" s="8" cm="1">
        <f t="array" ref="S149">_xlfn.SWITCH(K149,200,_xlfn.XLOOKUP(J149,EOL!$C$18:$N$18,EOL!$C$20:$N$20) + _xlfn.XLOOKUP(B149&amp;"|"&amp;E149,
        Calculate_cap_emi!$L$14:$L$21&amp;"|"&amp;Calculate_cap_emi!$I$14:$I$21,
        Calculate_cap_emi!$BD$14:$BD$21, "Not found", 0), LOOKUP(K149,EOL!$C$24:$D$24,EOL!$C$26:$D$26) + _xlfn.XLOOKUP(J149,EOL!$C$18:$N$18,EOL!$C$20:$N$20) + _xlfn.XLOOKUP(B149&amp;"|"&amp;E149,
        Calculate_cap_emi!$L$14:$L$21&amp;"|"&amp;Calculate_cap_emi!$I$14:$I$21,
        Calculate_cap_emi!$BD$14:$BD$21, "Not found", 0))</f>
        <v>529.43698378014699</v>
      </c>
      <c r="T149" s="8" cm="1">
        <f t="array" ref="T149">_xlfn.SWITCH(K149,200,_xlfn.XLOOKUP(J149,Other!$C$18:$N$18,Other!$C$20:$N$20) + _xlfn.XLOOKUP(B149&amp;"|"&amp;E149,
        Calculate_cap_emi!$L$14:$L$21&amp;"|"&amp;Calculate_cap_emi!$I$14:$I$21,
        Calculate_cap_emi!$BK$14:$BK$21, "Not found", 0), LOOKUP(K149,Other!$C$24:$D$24,Other!$C$26:$D$26) + _xlfn.XLOOKUP(J149,Other!$C$18:$N$18,Other!$C$20:$N$20) + _xlfn.XLOOKUP(B149&amp;"|"&amp;E149,
        Calculate_cap_emi!$L$14:$L$21&amp;"|"&amp;Calculate_cap_emi!$I$14:$I$21,
        Calculate_cap_emi!$BK$14:$BK$21, "Not found", 0))</f>
        <v>2068.0899978981242</v>
      </c>
      <c r="U149" s="8" cm="1">
        <f t="array" ref="U149">_xlfn.SWITCH(K149,200,_xlfn.XLOOKUP(J149,EOL_R!$C$18:$N$18,EOL_R!$C$20:$N$20) + _xlfn.XLOOKUP(B149&amp;"|"&amp;E149,
        Calculate_cap_emi_sens!$L$14:$L$21&amp;"|"&amp;Calculate_cap_emi_sens!$I$14:$I$21,
        Calculate_cap_emi_sens!$BD$14:$BD$21, "Not found", 0), LOOKUP(K149,EOL_R!$C$24:$D$24,EOL_R!$C$26:$D$26) + _xlfn.XLOOKUP(J149,EOL_R!$C$18:$N$18,EOL_R!$C$20:$N$20) + _xlfn.XLOOKUP(B149&amp;"|"&amp;E149,
        Calculate_cap_emi_sens!$L$14:$L$21&amp;"|"&amp;Calculate_cap_emi_sens!$I$14:$I$21,
        Calculate_cap_emi_sens!$BD$14:$BD$21, "Not found", 0))</f>
        <v>358.87572206547247</v>
      </c>
      <c r="V149" s="8" cm="1">
        <f t="array" ref="V149">_xlfn.SWITCH(K149,200,_xlfn.XLOOKUP(J149,Other_R!$C$18:$N$18,Other_R!$C$20:$N$20) + _xlfn.XLOOKUP(B149&amp;"|"&amp;E149,
        Calculate_cap_emi_sens!$L$14:$L$21&amp;"|"&amp;Calculate_cap_emi_sens!$I$14:$I$21,
        Calculate_cap_emi_sens!$BK$14:$BK$21, "Not found", 0), LOOKUP(K149,Other_R!$C$24:$D$24,Other_R!$C$26:$D$26) + _xlfn.XLOOKUP(J149,Other_R!$C$18:$N$18,Other_R!$C$20:$N$20) + _xlfn.XLOOKUP(B149&amp;"|"&amp;E149,
        Calculate_cap_emi_sens!$L$14:$L$21&amp;"|"&amp;Calculate_cap_emi_sens!$I$14:$I$21,
        Calculate_cap_emi_sens!$BK$14:$BK$21, "Not found", 0))</f>
        <v>1564.9351541925473</v>
      </c>
      <c r="W149" s="5">
        <f>Results_proc_ener!L149</f>
        <v>90978.159045459208</v>
      </c>
      <c r="X149" s="5">
        <f>Results_proc_ener!M149</f>
        <v>50824.518000459248</v>
      </c>
      <c r="Y149" s="5">
        <f>Results_proc_ener!N149</f>
        <v>0</v>
      </c>
      <c r="Z149" s="5">
        <f>Results_proc_ener!O149</f>
        <v>40153.641044999968</v>
      </c>
      <c r="AA149" s="5">
        <f>Results_proc_ener!P149</f>
        <v>90978.159045459208</v>
      </c>
      <c r="AB149" s="5">
        <f>Results_proc_ener!Q149</f>
        <v>2463.7710684203498</v>
      </c>
      <c r="AC149" s="5">
        <f>Results_proc_ener!R149</f>
        <v>184.97826186458221</v>
      </c>
      <c r="AD149" s="5">
        <f>Results_proc_ener!S149</f>
        <v>4660.8750719999998</v>
      </c>
      <c r="AE149" s="5">
        <f>Results_proc_ener!T149</f>
        <v>57475.189375125621</v>
      </c>
    </row>
    <row r="150" spans="1:31" x14ac:dyDescent="0.25">
      <c r="A150" s="5"/>
      <c r="B150" s="5" t="str">
        <f t="shared" si="10"/>
        <v>Mass-H1</v>
      </c>
      <c r="C150" s="5" t="s">
        <v>37</v>
      </c>
      <c r="D150" s="5" t="str">
        <f t="shared" si="9"/>
        <v>H1</v>
      </c>
      <c r="E150" s="5" t="s">
        <v>3</v>
      </c>
      <c r="F150" s="5" t="s">
        <v>54</v>
      </c>
      <c r="G150" s="5" t="s">
        <v>54</v>
      </c>
      <c r="H150" s="5">
        <v>14</v>
      </c>
      <c r="I150" s="5"/>
      <c r="J150" s="5">
        <f t="shared" si="11"/>
        <v>14</v>
      </c>
      <c r="K150" s="5">
        <v>200</v>
      </c>
      <c r="L150" s="8" cm="1">
        <f t="array" ref="L150">_xlfn.SWITCH(K150,200,_xlfn.XLOOKUP(J150,Manufacture!$C$18:$N$18,Manufacture!$C$20:$N$20) + _xlfn.XLOOKUP(B150&amp;"|"&amp;E150,
        Calculate_cap_emi!$L$14:$L$21&amp;"|"&amp;Calculate_cap_emi!$I$14:$I$21,
        Calculate_cap_emi!$AI$14:$AI$21, "Not found", 0), LOOKUP(K150,Manufacture!$C$24:$D$24,Manufacture!$C$26:$D$26) + _xlfn.XLOOKUP(J150,Manufacture!$C$18:$N$18,Manufacture!$C$20:$N$20) + _xlfn.XLOOKUP(B150&amp;"|"&amp;E150,
        Calculate_cap_emi!$L$14:$L$21&amp;"|"&amp;Calculate_cap_emi!$I$14:$I$21,
        Calculate_cap_emi!$AI$14:$AI$21, "Not found", 0))</f>
        <v>3226.1028220957915</v>
      </c>
      <c r="M150" s="8">
        <f>LOOKUP(J150,Manufacture!$C$18:$N$18,Manufacture!$C$20:$N$20)</f>
        <v>2067.610588235294</v>
      </c>
      <c r="N150" s="8" cm="1">
        <f t="array" ref="N150">_xlfn.SWITCH(K150,200,0,LOOKUP(K150,Manufacture!$C$24:$D$24,Manufacture!$C$26:$D$26))</f>
        <v>0</v>
      </c>
      <c r="O150" s="5" cm="1">
        <f t="array" ref="O150">_xlfn.XLOOKUP(B150&amp;"|"&amp;E150,
        Calculate_cap_emi!$L$14:$L$21&amp;"|"&amp;Calculate_cap_emi!$I$14:$I$21,
        Calculate_cap_emi!$AI$14:$AI$21, "Not found", 0)</f>
        <v>1158.4922338604972</v>
      </c>
      <c r="P150" s="8">
        <f t="shared" si="12"/>
        <v>3226.1028220957915</v>
      </c>
      <c r="Q150" s="8" cm="1">
        <f t="array" ref="Q150">_xlfn.SWITCH(K150,200,_xlfn.XLOOKUP(J150,Distribution!$C$18:$N$18,Distribution!$C$20:$N$20) + _xlfn.XLOOKUP(B150&amp;"|"&amp;E150,
        Calculate_cap_emi!$L$14:$L$21&amp;"|"&amp;Calculate_cap_emi!$I$14:$I$21,
        Calculate_cap_emi!$AP$14:$AP$21, "Not found", 0), LOOKUP(K150,Distribution!$C$24:$D$24,Distribution!$C$26:$D$26) + _xlfn.XLOOKUP(J150,Distribution!$C$18:$N$18,Distribution!$C$20:$N$20) + _xlfn.XLOOKUP(B150&amp;"|"&amp;E150,
        Calculate_cap_emi!$L$14:$L$21&amp;"|"&amp;Calculate_cap_emi!$I$14:$I$21,
        Calculate_cap_emi!$AP$14:$AP$21, "Not found", 0))</f>
        <v>119.42122738123018</v>
      </c>
      <c r="R150" s="8" cm="1">
        <f t="array" ref="R150">_xlfn.SWITCH(K150,200,_xlfn.XLOOKUP(J150,Installation!$C$18:$N$18,Installation!$C$20:$N$20) + _xlfn.XLOOKUP(B150&amp;"|"&amp;E150,
        Calculate_cap_emi!$L$14:$L$21&amp;"|"&amp;Calculate_cap_emi!$I$14:$I$21,
        Calculate_cap_emi!$AW$14:$AW$21, "Not found", 0), LOOKUP(K150,Installation!$C$24:$D$24,Installation!$C$26:$D$26) + _xlfn.XLOOKUP(J150,Installation!$C$18:$N$18,Installation!$C$20:$N$20) + _xlfn.XLOOKUP(B150&amp;"|"&amp;E150,
        Calculate_cap_emi!$L$14:$L$21&amp;"|"&amp;Calculate_cap_emi!$I$14:$I$21,
        Calculate_cap_emi!$AW$14:$AW$21, "Not found", 0))</f>
        <v>120.91084605587672</v>
      </c>
      <c r="S150" s="8" cm="1">
        <f t="array" ref="S150">_xlfn.SWITCH(K150,200,_xlfn.XLOOKUP(J150,EOL!$C$18:$N$18,EOL!$C$20:$N$20) + _xlfn.XLOOKUP(B150&amp;"|"&amp;E150,
        Calculate_cap_emi!$L$14:$L$21&amp;"|"&amp;Calculate_cap_emi!$I$14:$I$21,
        Calculate_cap_emi!$BD$14:$BD$21, "Not found", 0), LOOKUP(K150,EOL!$C$24:$D$24,EOL!$C$26:$D$26) + _xlfn.XLOOKUP(J150,EOL!$C$18:$N$18,EOL!$C$20:$N$20) + _xlfn.XLOOKUP(B150&amp;"|"&amp;E150,
        Calculate_cap_emi!$L$14:$L$21&amp;"|"&amp;Calculate_cap_emi!$I$14:$I$21,
        Calculate_cap_emi!$BD$14:$BD$21, "Not found", 0))</f>
        <v>559.21745436838228</v>
      </c>
      <c r="T150" s="8" cm="1">
        <f t="array" ref="T150">_xlfn.SWITCH(K150,200,_xlfn.XLOOKUP(J150,Other!$C$18:$N$18,Other!$C$20:$N$20) + _xlfn.XLOOKUP(B150&amp;"|"&amp;E150,
        Calculate_cap_emi!$L$14:$L$21&amp;"|"&amp;Calculate_cap_emi!$I$14:$I$21,
        Calculate_cap_emi!$BK$14:$BK$21, "Not found", 0), LOOKUP(K150,Other!$C$24:$D$24,Other!$C$26:$D$26) + _xlfn.XLOOKUP(J150,Other!$C$18:$N$18,Other!$C$20:$N$20) + _xlfn.XLOOKUP(B150&amp;"|"&amp;E150,
        Calculate_cap_emi!$L$14:$L$21&amp;"|"&amp;Calculate_cap_emi!$I$14:$I$21,
        Calculate_cap_emi!$BK$14:$BK$21, "Not found", 0))</f>
        <v>2111.8694978237381</v>
      </c>
      <c r="U150" s="8" cm="1">
        <f t="array" ref="U150">_xlfn.SWITCH(K150,200,_xlfn.XLOOKUP(J150,EOL_R!$C$18:$N$18,EOL_R!$C$20:$N$20) + _xlfn.XLOOKUP(B150&amp;"|"&amp;E150,
        Calculate_cap_emi_sens!$L$14:$L$21&amp;"|"&amp;Calculate_cap_emi_sens!$I$14:$I$21,
        Calculate_cap_emi_sens!$BD$14:$BD$21, "Not found", 0), LOOKUP(K150,EOL_R!$C$24:$D$24,EOL_R!$C$26:$D$26) + _xlfn.XLOOKUP(J150,EOL_R!$C$18:$N$18,EOL_R!$C$20:$N$20) + _xlfn.XLOOKUP(B150&amp;"|"&amp;E150,
        Calculate_cap_emi_sens!$L$14:$L$21&amp;"|"&amp;Calculate_cap_emi_sens!$I$14:$I$21,
        Calculate_cap_emi_sens!$BD$14:$BD$21, "Not found", 0))</f>
        <v>377.67131936376518</v>
      </c>
      <c r="V150" s="8" cm="1">
        <f t="array" ref="V150">_xlfn.SWITCH(K150,200,_xlfn.XLOOKUP(J150,Other_R!$C$18:$N$18,Other_R!$C$20:$N$20) + _xlfn.XLOOKUP(B150&amp;"|"&amp;E150,
        Calculate_cap_emi_sens!$L$14:$L$21&amp;"|"&amp;Calculate_cap_emi_sens!$I$14:$I$21,
        Calculate_cap_emi_sens!$BK$14:$BK$21, "Not found", 0), LOOKUP(K150,Other_R!$C$24:$D$24,Other_R!$C$26:$D$26) + _xlfn.XLOOKUP(J150,Other_R!$C$18:$N$18,Other_R!$C$20:$N$20) + _xlfn.XLOOKUP(B150&amp;"|"&amp;E150,
        Calculate_cap_emi_sens!$L$14:$L$21&amp;"|"&amp;Calculate_cap_emi_sens!$I$14:$I$21,
        Calculate_cap_emi_sens!$BK$14:$BK$21, "Not found", 0))</f>
        <v>1581.7688223980645</v>
      </c>
      <c r="W150" s="5">
        <f>Results_proc_ener!L150</f>
        <v>91687.836246054881</v>
      </c>
      <c r="X150" s="5">
        <f>Results_proc_ener!M150</f>
        <v>51534.195201054921</v>
      </c>
      <c r="Y150" s="5">
        <f>Results_proc_ener!N150</f>
        <v>0</v>
      </c>
      <c r="Z150" s="5">
        <f>Results_proc_ener!O150</f>
        <v>40153.641044999968</v>
      </c>
      <c r="AA150" s="5">
        <f>Results_proc_ener!P150</f>
        <v>91687.836246054881</v>
      </c>
      <c r="AB150" s="5">
        <f>Results_proc_ener!Q150</f>
        <v>2529.1796546906498</v>
      </c>
      <c r="AC150" s="5">
        <f>Results_proc_ener!R150</f>
        <v>189.89641838462671</v>
      </c>
      <c r="AD150" s="5">
        <f>Results_proc_ener!S150</f>
        <v>4660.8750719999998</v>
      </c>
      <c r="AE150" s="5">
        <f>Results_proc_ener!T150</f>
        <v>57518.968875051236</v>
      </c>
    </row>
    <row r="151" spans="1:31" x14ac:dyDescent="0.25">
      <c r="A151" s="5"/>
      <c r="B151" s="5" t="str">
        <f t="shared" si="10"/>
        <v>Mass-H1</v>
      </c>
      <c r="C151" s="5" t="s">
        <v>37</v>
      </c>
      <c r="D151" s="5" t="str">
        <f t="shared" si="9"/>
        <v>H1</v>
      </c>
      <c r="E151" s="5" t="s">
        <v>3</v>
      </c>
      <c r="F151" s="5" t="s">
        <v>55</v>
      </c>
      <c r="G151" s="5" t="s">
        <v>55</v>
      </c>
      <c r="H151" s="5">
        <v>5</v>
      </c>
      <c r="I151" s="5"/>
      <c r="J151" s="5">
        <f t="shared" si="11"/>
        <v>5</v>
      </c>
      <c r="K151" s="5">
        <v>500</v>
      </c>
      <c r="L151" s="8" cm="1">
        <f t="array" ref="L151">_xlfn.SWITCH(K151,200,_xlfn.XLOOKUP(J151,Manufacture!$C$18:$N$18,Manufacture!$C$20:$N$20) + _xlfn.XLOOKUP(B151&amp;"|"&amp;E151,
        Calculate_cap_emi!$L$14:$L$21&amp;"|"&amp;Calculate_cap_emi!$I$14:$I$21,
        Calculate_cap_emi!$AI$14:$AI$21, "Not found", 0), LOOKUP(K151,Manufacture!$C$24:$D$24,Manufacture!$C$26:$D$26) + _xlfn.XLOOKUP(J151,Manufacture!$C$18:$N$18,Manufacture!$C$20:$N$20) + _xlfn.XLOOKUP(B151&amp;"|"&amp;E151,
        Calculate_cap_emi!$L$14:$L$21&amp;"|"&amp;Calculate_cap_emi!$I$14:$I$21,
        Calculate_cap_emi!$AI$14:$AI$21, "Not found", 0))</f>
        <v>3205.7822338604974</v>
      </c>
      <c r="M151" s="8">
        <f>LOOKUP(J151,Manufacture!$C$18:$N$18,Manufacture!$C$20:$N$20)</f>
        <v>1711.29</v>
      </c>
      <c r="N151" s="8" cm="1">
        <f t="array" ref="N151">_xlfn.SWITCH(K151,200,0,LOOKUP(K151,Manufacture!$C$24:$D$24,Manufacture!$C$26:$D$26))</f>
        <v>336</v>
      </c>
      <c r="O151" s="5" cm="1">
        <f t="array" ref="O151">_xlfn.XLOOKUP(B151&amp;"|"&amp;E151,
        Calculate_cap_emi!$L$14:$L$21&amp;"|"&amp;Calculate_cap_emi!$I$14:$I$21,
        Calculate_cap_emi!$AI$14:$AI$21, "Not found", 0)</f>
        <v>1158.4922338604972</v>
      </c>
      <c r="P151" s="8">
        <f t="shared" si="12"/>
        <v>3205.7822338604974</v>
      </c>
      <c r="Q151" s="8" cm="1">
        <f t="array" ref="Q151">_xlfn.SWITCH(K151,200,_xlfn.XLOOKUP(J151,Distribution!$C$18:$N$18,Distribution!$C$20:$N$20) + _xlfn.XLOOKUP(B151&amp;"|"&amp;E151,
        Calculate_cap_emi!$L$14:$L$21&amp;"|"&amp;Calculate_cap_emi!$I$14:$I$21,
        Calculate_cap_emi!$AP$14:$AP$21, "Not found", 0), LOOKUP(K151,Distribution!$C$24:$D$24,Distribution!$C$26:$D$26) + _xlfn.XLOOKUP(J151,Distribution!$C$18:$N$18,Distribution!$C$20:$N$20) + _xlfn.XLOOKUP(B151&amp;"|"&amp;E151,
        Calculate_cap_emi!$L$14:$L$21&amp;"|"&amp;Calculate_cap_emi!$I$14:$I$21,
        Calculate_cap_emi!$AP$14:$AP$21, "Not found", 0))</f>
        <v>113.07629033493072</v>
      </c>
      <c r="R151" s="8" cm="1">
        <f t="array" ref="R151">_xlfn.SWITCH(K151,200,_xlfn.XLOOKUP(J151,Installation!$C$18:$N$18,Installation!$C$20:$N$20) + _xlfn.XLOOKUP(B151&amp;"|"&amp;E151,
        Calculate_cap_emi!$L$14:$L$21&amp;"|"&amp;Calculate_cap_emi!$I$14:$I$21,
        Calculate_cap_emi!$AW$14:$AW$21, "Not found", 0), LOOKUP(K151,Installation!$C$24:$D$24,Installation!$C$26:$D$26) + _xlfn.XLOOKUP(J151,Installation!$C$18:$N$18,Installation!$C$20:$N$20) + _xlfn.XLOOKUP(B151&amp;"|"&amp;E151,
        Calculate_cap_emi!$L$14:$L$21&amp;"|"&amp;Calculate_cap_emi!$I$14:$I$21,
        Calculate_cap_emi!$AW$14:$AW$21, "Not found", 0))</f>
        <v>110.23368717022221</v>
      </c>
      <c r="S151" s="8" cm="1">
        <f t="array" ref="S151">_xlfn.SWITCH(K151,200,_xlfn.XLOOKUP(J151,EOL!$C$18:$N$18,EOL!$C$20:$N$20) + _xlfn.XLOOKUP(B151&amp;"|"&amp;E151,
        Calculate_cap_emi!$L$14:$L$21&amp;"|"&amp;Calculate_cap_emi!$I$14:$I$21,
        Calculate_cap_emi!$BD$14:$BD$21, "Not found", 0), LOOKUP(K151,EOL!$C$24:$D$24,EOL!$C$26:$D$26) + _xlfn.XLOOKUP(J151,EOL!$C$18:$N$18,EOL!$C$20:$N$20) + _xlfn.XLOOKUP(B151&amp;"|"&amp;E151,
        Calculate_cap_emi!$L$14:$L$21&amp;"|"&amp;Calculate_cap_emi!$I$14:$I$21,
        Calculate_cap_emi!$BD$14:$BD$21, "Not found", 0))</f>
        <v>555.97806399405079</v>
      </c>
      <c r="T151" s="8" cm="1">
        <f t="array" ref="T151">_xlfn.SWITCH(K151,200,_xlfn.XLOOKUP(J151,Other!$C$18:$N$18,Other!$C$20:$N$20) + _xlfn.XLOOKUP(B151&amp;"|"&amp;E151,
        Calculate_cap_emi!$L$14:$L$21&amp;"|"&amp;Calculate_cap_emi!$I$14:$I$21,
        Calculate_cap_emi!$BK$14:$BK$21, "Not found", 0), LOOKUP(K151,Other!$C$24:$D$24,Other!$C$26:$D$26) + _xlfn.XLOOKUP(J151,Other!$C$18:$N$18,Other!$C$20:$N$20) + _xlfn.XLOOKUP(B151&amp;"|"&amp;E151,
        Calculate_cap_emi!$L$14:$L$21&amp;"|"&amp;Calculate_cap_emi!$I$14:$I$21,
        Calculate_cap_emi!$BK$14:$BK$21, "Not found", 0))</f>
        <v>1914.8617481584758</v>
      </c>
      <c r="U151" s="8" cm="1">
        <f t="array" ref="U151">_xlfn.SWITCH(K151,200,_xlfn.XLOOKUP(J151,EOL_R!$C$18:$N$18,EOL_R!$C$20:$N$20) + _xlfn.XLOOKUP(B151&amp;"|"&amp;E151,
        Calculate_cap_emi_sens!$L$14:$L$21&amp;"|"&amp;Calculate_cap_emi_sens!$I$14:$I$21,
        Calculate_cap_emi_sens!$BD$14:$BD$21, "Not found", 0), LOOKUP(K151,EOL_R!$C$24:$D$24,EOL_R!$C$26:$D$26) + _xlfn.XLOOKUP(J151,EOL_R!$C$18:$N$18,EOL_R!$C$20:$N$20) + _xlfn.XLOOKUP(B151&amp;"|"&amp;E151,
        Calculate_cap_emi_sens!$L$14:$L$21&amp;"|"&amp;Calculate_cap_emi_sens!$I$14:$I$21,
        Calculate_cap_emi_sens!$BD$14:$BD$21, "Not found", 0))</f>
        <v>447.80324883877717</v>
      </c>
      <c r="V151" s="8" cm="1">
        <f t="array" ref="V151">_xlfn.SWITCH(K151,200,_xlfn.XLOOKUP(J151,Other_R!$C$18:$N$18,Other_R!$C$20:$N$20) + _xlfn.XLOOKUP(B151&amp;"|"&amp;E151,
        Calculate_cap_emi_sens!$L$14:$L$21&amp;"|"&amp;Calculate_cap_emi_sens!$I$14:$I$21,
        Calculate_cap_emi_sens!$BK$14:$BK$21, "Not found", 0), LOOKUP(K151,Other_R!$C$24:$D$24,Other_R!$C$26:$D$26) + _xlfn.XLOOKUP(J151,Other_R!$C$18:$N$18,Other_R!$C$20:$N$20) + _xlfn.XLOOKUP(B151&amp;"|"&amp;E151,
        Calculate_cap_emi_sens!$L$14:$L$21&amp;"|"&amp;Calculate_cap_emi_sens!$I$14:$I$21,
        Calculate_cap_emi_sens!$BK$14:$BK$21, "Not found", 0))</f>
        <v>1564.7405031329615</v>
      </c>
      <c r="W151" s="5">
        <f>Results_proc_ener!L151</f>
        <v>99107.87975246516</v>
      </c>
      <c r="X151" s="5">
        <f>Results_proc_ener!M151</f>
        <v>48340.647798374281</v>
      </c>
      <c r="Y151" s="5">
        <f>Results_proc_ener!N151</f>
        <v>10613.59090909091</v>
      </c>
      <c r="Z151" s="5">
        <f>Results_proc_ener!O151</f>
        <v>40153.641044999968</v>
      </c>
      <c r="AA151" s="5">
        <f>Results_proc_ener!P151</f>
        <v>99107.87975246516</v>
      </c>
      <c r="AB151" s="5">
        <f>Results_proc_ener!Q151</f>
        <v>2421.6949912993005</v>
      </c>
      <c r="AC151" s="5">
        <f>Results_proc_ener!R151</f>
        <v>188.76471404442677</v>
      </c>
      <c r="AD151" s="5">
        <f>Results_proc_ener!S151</f>
        <v>15159.920526545453</v>
      </c>
      <c r="AE151" s="5">
        <f>Results_proc_ener!T151</f>
        <v>57321.961125385969</v>
      </c>
    </row>
    <row r="152" spans="1:31" x14ac:dyDescent="0.25">
      <c r="A152" s="5"/>
      <c r="B152" s="5" t="str">
        <f t="shared" si="10"/>
        <v>Mass-H1</v>
      </c>
      <c r="C152" s="5" t="s">
        <v>37</v>
      </c>
      <c r="D152" s="5" t="str">
        <f t="shared" si="9"/>
        <v>H1</v>
      </c>
      <c r="E152" s="5" t="s">
        <v>3</v>
      </c>
      <c r="F152" s="5" t="s">
        <v>55</v>
      </c>
      <c r="G152" s="5" t="s">
        <v>55</v>
      </c>
      <c r="H152" s="5">
        <v>6</v>
      </c>
      <c r="I152" s="5"/>
      <c r="J152" s="5">
        <f t="shared" si="11"/>
        <v>6</v>
      </c>
      <c r="K152" s="5">
        <v>500</v>
      </c>
      <c r="L152" s="8" cm="1">
        <f t="array" ref="L152">_xlfn.SWITCH(K152,200,_xlfn.XLOOKUP(J152,Manufacture!$C$18:$N$18,Manufacture!$C$20:$N$20) + _xlfn.XLOOKUP(B152&amp;"|"&amp;E152,
        Calculate_cap_emi!$L$14:$L$21&amp;"|"&amp;Calculate_cap_emi!$I$14:$I$21,
        Calculate_cap_emi!$AI$14:$AI$21, "Not found", 0), LOOKUP(K152,Manufacture!$C$24:$D$24,Manufacture!$C$26:$D$26) + _xlfn.XLOOKUP(J152,Manufacture!$C$18:$N$18,Manufacture!$C$20:$N$20) + _xlfn.XLOOKUP(B152&amp;"|"&amp;E152,
        Calculate_cap_emi!$L$14:$L$21&amp;"|"&amp;Calculate_cap_emi!$I$14:$I$21,
        Calculate_cap_emi!$AI$14:$AI$21, "Not found", 0))</f>
        <v>3245.3734103310853</v>
      </c>
      <c r="M152" s="8">
        <f>LOOKUP(J152,Manufacture!$C$18:$N$18,Manufacture!$C$20:$N$20)</f>
        <v>1750.8811764705879</v>
      </c>
      <c r="N152" s="8" cm="1">
        <f t="array" ref="N152">_xlfn.SWITCH(K152,200,0,LOOKUP(K152,Manufacture!$C$24:$D$24,Manufacture!$C$26:$D$26))</f>
        <v>336</v>
      </c>
      <c r="O152" s="5" cm="1">
        <f t="array" ref="O152">_xlfn.XLOOKUP(B152&amp;"|"&amp;E152,
        Calculate_cap_emi!$L$14:$L$21&amp;"|"&amp;Calculate_cap_emi!$I$14:$I$21,
        Calculate_cap_emi!$AI$14:$AI$21, "Not found", 0)</f>
        <v>1158.4922338604972</v>
      </c>
      <c r="P152" s="8">
        <f t="shared" si="12"/>
        <v>3245.3734103310853</v>
      </c>
      <c r="Q152" s="8" cm="1">
        <f t="array" ref="Q152">_xlfn.SWITCH(K152,200,_xlfn.XLOOKUP(J152,Distribution!$C$18:$N$18,Distribution!$C$20:$N$20) + _xlfn.XLOOKUP(B152&amp;"|"&amp;E152,
        Calculate_cap_emi!$L$14:$L$21&amp;"|"&amp;Calculate_cap_emi!$I$14:$I$21,
        Calculate_cap_emi!$AP$14:$AP$21, "Not found", 0), LOOKUP(K152,Distribution!$C$24:$D$24,Distribution!$C$26:$D$26) + _xlfn.XLOOKUP(J152,Distribution!$C$18:$N$18,Distribution!$C$20:$N$20) + _xlfn.XLOOKUP(B152&amp;"|"&amp;E152,
        Calculate_cap_emi!$L$14:$L$21&amp;"|"&amp;Calculate_cap_emi!$I$14:$I$21,
        Calculate_cap_emi!$AP$14:$AP$21, "Not found", 0))</f>
        <v>114.62050124916601</v>
      </c>
      <c r="R152" s="8" cm="1">
        <f t="array" ref="R152">_xlfn.SWITCH(K152,200,_xlfn.XLOOKUP(J152,Installation!$C$18:$N$18,Installation!$C$20:$N$20) + _xlfn.XLOOKUP(B152&amp;"|"&amp;E152,
        Calculate_cap_emi!$L$14:$L$21&amp;"|"&amp;Calculate_cap_emi!$I$14:$I$21,
        Calculate_cap_emi!$AW$14:$AW$21, "Not found", 0), LOOKUP(K152,Installation!$C$24:$D$24,Installation!$C$26:$D$26) + _xlfn.XLOOKUP(J152,Installation!$C$18:$N$18,Installation!$C$20:$N$20) + _xlfn.XLOOKUP(B152&amp;"|"&amp;E152,
        Calculate_cap_emi!$L$14:$L$21&amp;"|"&amp;Calculate_cap_emi!$I$14:$I$21,
        Calculate_cap_emi!$AW$14:$AW$21, "Not found", 0))</f>
        <v>112.69276543024446</v>
      </c>
      <c r="S152" s="8" cm="1">
        <f t="array" ref="S152">_xlfn.SWITCH(K152,200,_xlfn.XLOOKUP(J152,EOL!$C$18:$N$18,EOL!$C$20:$N$20) + _xlfn.XLOOKUP(B152&amp;"|"&amp;E152,
        Calculate_cap_emi!$L$14:$L$21&amp;"|"&amp;Calculate_cap_emi!$I$14:$I$21,
        Calculate_cap_emi!$BD$14:$BD$21, "Not found", 0), LOOKUP(K152,EOL!$C$24:$D$24,EOL!$C$26:$D$26) + _xlfn.XLOOKUP(J152,EOL!$C$18:$N$18,EOL!$C$20:$N$20) + _xlfn.XLOOKUP(B152&amp;"|"&amp;E152,
        Calculate_cap_emi!$L$14:$L$21&amp;"|"&amp;Calculate_cap_emi!$I$14:$I$21,
        Calculate_cap_emi!$BD$14:$BD$21, "Not found", 0))</f>
        <v>570.86829928816837</v>
      </c>
      <c r="T152" s="8" cm="1">
        <f t="array" ref="T152">_xlfn.SWITCH(K152,200,_xlfn.XLOOKUP(J152,Other!$C$18:$N$18,Other!$C$20:$N$20) + _xlfn.XLOOKUP(B152&amp;"|"&amp;E152,
        Calculate_cap_emi!$L$14:$L$21&amp;"|"&amp;Calculate_cap_emi!$I$14:$I$21,
        Calculate_cap_emi!$BK$14:$BK$21, "Not found", 0), LOOKUP(K152,Other!$C$24:$D$24,Other!$C$26:$D$26) + _xlfn.XLOOKUP(J152,Other!$C$18:$N$18,Other!$C$20:$N$20) + _xlfn.XLOOKUP(B152&amp;"|"&amp;E152,
        Calculate_cap_emi!$L$14:$L$21&amp;"|"&amp;Calculate_cap_emi!$I$14:$I$21,
        Calculate_cap_emi!$BK$14:$BK$21, "Not found", 0))</f>
        <v>1936.7514981212826</v>
      </c>
      <c r="U152" s="8" cm="1">
        <f t="array" ref="U152">_xlfn.SWITCH(K152,200,_xlfn.XLOOKUP(J152,EOL_R!$C$18:$N$18,EOL_R!$C$20:$N$20) + _xlfn.XLOOKUP(B152&amp;"|"&amp;E152,
        Calculate_cap_emi_sens!$L$14:$L$21&amp;"|"&amp;Calculate_cap_emi_sens!$I$14:$I$21,
        Calculate_cap_emi_sens!$BD$14:$BD$21, "Not found", 0), LOOKUP(K152,EOL_R!$C$24:$D$24,EOL_R!$C$26:$D$26) + _xlfn.XLOOKUP(J152,EOL_R!$C$18:$N$18,EOL_R!$C$20:$N$20) + _xlfn.XLOOKUP(B152&amp;"|"&amp;E152,
        Calculate_cap_emi_sens!$L$14:$L$21&amp;"|"&amp;Calculate_cap_emi_sens!$I$14:$I$21,
        Calculate_cap_emi_sens!$BD$14:$BD$21, "Not found", 0))</f>
        <v>449.70113663464844</v>
      </c>
      <c r="V152" s="8" cm="1">
        <f t="array" ref="V152">_xlfn.SWITCH(K152,200,_xlfn.XLOOKUP(J152,Other_R!$C$18:$N$18,Other_R!$C$20:$N$20) + _xlfn.XLOOKUP(B152&amp;"|"&amp;E152,
        Calculate_cap_emi_sens!$L$14:$L$21&amp;"|"&amp;Calculate_cap_emi_sens!$I$14:$I$21,
        Calculate_cap_emi_sens!$BK$14:$BK$21, "Not found", 0), LOOKUP(K152,Other_R!$C$24:$D$24,Other_R!$C$26:$D$26) + _xlfn.XLOOKUP(J152,Other_R!$C$18:$N$18,Other_R!$C$20:$N$20) + _xlfn.XLOOKUP(B152&amp;"|"&amp;E152,
        Calculate_cap_emi_sens!$L$14:$L$21&amp;"|"&amp;Calculate_cap_emi_sens!$I$14:$I$21,
        Calculate_cap_emi_sens!$BK$14:$BK$21, "Not found", 0))</f>
        <v>1554.7600985572271</v>
      </c>
      <c r="W152" s="5">
        <f>Results_proc_ener!L152</f>
        <v>99462.718352762997</v>
      </c>
      <c r="X152" s="5">
        <f>Results_proc_ener!M152</f>
        <v>48695.486398672118</v>
      </c>
      <c r="Y152" s="5">
        <f>Results_proc_ener!N152</f>
        <v>10613.59090909091</v>
      </c>
      <c r="Z152" s="5">
        <f>Results_proc_ener!O152</f>
        <v>40153.641044999968</v>
      </c>
      <c r="AA152" s="5">
        <f>Results_proc_ener!P152</f>
        <v>99462.718352762997</v>
      </c>
      <c r="AB152" s="5">
        <f>Results_proc_ener!Q152</f>
        <v>2454.3992844344502</v>
      </c>
      <c r="AC152" s="5">
        <f>Results_proc_ener!R152</f>
        <v>191.22379230444903</v>
      </c>
      <c r="AD152" s="5">
        <f>Results_proc_ener!S152</f>
        <v>15159.920526545453</v>
      </c>
      <c r="AE152" s="5">
        <f>Results_proc_ener!T152</f>
        <v>57343.850875348777</v>
      </c>
    </row>
    <row r="153" spans="1:31" x14ac:dyDescent="0.25">
      <c r="A153" s="5"/>
      <c r="B153" s="5" t="str">
        <f t="shared" si="10"/>
        <v>Mass-H1</v>
      </c>
      <c r="C153" s="5" t="s">
        <v>37</v>
      </c>
      <c r="D153" s="5" t="str">
        <f t="shared" si="9"/>
        <v>H1</v>
      </c>
      <c r="E153" s="5" t="s">
        <v>3</v>
      </c>
      <c r="F153" s="5" t="s">
        <v>55</v>
      </c>
      <c r="G153" s="5" t="s">
        <v>55</v>
      </c>
      <c r="H153" s="5">
        <v>8.5</v>
      </c>
      <c r="I153" s="5"/>
      <c r="J153" s="5">
        <f t="shared" si="11"/>
        <v>9</v>
      </c>
      <c r="K153" s="5">
        <v>500</v>
      </c>
      <c r="L153" s="8" cm="1">
        <f t="array" ref="L153">_xlfn.SWITCH(K153,200,_xlfn.XLOOKUP(J153,Manufacture!$C$18:$N$18,Manufacture!$C$20:$N$20) + _xlfn.XLOOKUP(B153&amp;"|"&amp;E153,
        Calculate_cap_emi!$L$14:$L$21&amp;"|"&amp;Calculate_cap_emi!$I$14:$I$21,
        Calculate_cap_emi!$AI$14:$AI$21, "Not found", 0), LOOKUP(K153,Manufacture!$C$24:$D$24,Manufacture!$C$26:$D$26) + _xlfn.XLOOKUP(J153,Manufacture!$C$18:$N$18,Manufacture!$C$20:$N$20) + _xlfn.XLOOKUP(B153&amp;"|"&amp;E153,
        Calculate_cap_emi!$L$14:$L$21&amp;"|"&amp;Calculate_cap_emi!$I$14:$I$21,
        Calculate_cap_emi!$AI$14:$AI$21, "Not found", 0))</f>
        <v>3364.14693974285</v>
      </c>
      <c r="M153" s="8">
        <f>LOOKUP(J153,Manufacture!$C$18:$N$18,Manufacture!$C$20:$N$20)</f>
        <v>1869.654705882353</v>
      </c>
      <c r="N153" s="8" cm="1">
        <f t="array" ref="N153">_xlfn.SWITCH(K153,200,0,LOOKUP(K153,Manufacture!$C$24:$D$24,Manufacture!$C$26:$D$26))</f>
        <v>336</v>
      </c>
      <c r="O153" s="5" cm="1">
        <f t="array" ref="O153">_xlfn.XLOOKUP(B153&amp;"|"&amp;E153,
        Calculate_cap_emi!$L$14:$L$21&amp;"|"&amp;Calculate_cap_emi!$I$14:$I$21,
        Calculate_cap_emi!$AI$14:$AI$21, "Not found", 0)</f>
        <v>1158.4922338604972</v>
      </c>
      <c r="P153" s="8">
        <f t="shared" si="12"/>
        <v>3364.14693974285</v>
      </c>
      <c r="Q153" s="8" cm="1">
        <f t="array" ref="Q153">_xlfn.SWITCH(K153,200,_xlfn.XLOOKUP(J153,Distribution!$C$18:$N$18,Distribution!$C$20:$N$20) + _xlfn.XLOOKUP(B153&amp;"|"&amp;E153,
        Calculate_cap_emi!$L$14:$L$21&amp;"|"&amp;Calculate_cap_emi!$I$14:$I$21,
        Calculate_cap_emi!$AP$14:$AP$21, "Not found", 0), LOOKUP(K153,Distribution!$C$24:$D$24,Distribution!$C$26:$D$26) + _xlfn.XLOOKUP(J153,Distribution!$C$18:$N$18,Distribution!$C$20:$N$20) + _xlfn.XLOOKUP(B153&amp;"|"&amp;E153,
        Calculate_cap_emi!$L$14:$L$21&amp;"|"&amp;Calculate_cap_emi!$I$14:$I$21,
        Calculate_cap_emi!$AP$14:$AP$21, "Not found", 0))</f>
        <v>119.25313399187192</v>
      </c>
      <c r="R153" s="8" cm="1">
        <f t="array" ref="R153">_xlfn.SWITCH(K153,200,_xlfn.XLOOKUP(J153,Installation!$C$18:$N$18,Installation!$C$20:$N$20) + _xlfn.XLOOKUP(B153&amp;"|"&amp;E153,
        Calculate_cap_emi!$L$14:$L$21&amp;"|"&amp;Calculate_cap_emi!$I$14:$I$21,
        Calculate_cap_emi!$AW$14:$AW$21, "Not found", 0), LOOKUP(K153,Installation!$C$24:$D$24,Installation!$C$26:$D$26) + _xlfn.XLOOKUP(J153,Installation!$C$18:$N$18,Installation!$C$20:$N$20) + _xlfn.XLOOKUP(B153&amp;"|"&amp;E153,
        Calculate_cap_emi!$L$14:$L$21&amp;"|"&amp;Calculate_cap_emi!$I$14:$I$21,
        Calculate_cap_emi!$AW$14:$AW$21, "Not found", 0))</f>
        <v>120.07000021031098</v>
      </c>
      <c r="S153" s="8" cm="1">
        <f t="array" ref="S153">_xlfn.SWITCH(K153,200,_xlfn.XLOOKUP(J153,EOL!$C$18:$N$18,EOL!$C$20:$N$20) + _xlfn.XLOOKUP(B153&amp;"|"&amp;E153,
        Calculate_cap_emi!$L$14:$L$21&amp;"|"&amp;Calculate_cap_emi!$I$14:$I$21,
        Calculate_cap_emi!$BD$14:$BD$21, "Not found", 0), LOOKUP(K153,EOL!$C$24:$D$24,EOL!$C$26:$D$26) + _xlfn.XLOOKUP(J153,EOL!$C$18:$N$18,EOL!$C$20:$N$20) + _xlfn.XLOOKUP(B153&amp;"|"&amp;E153,
        Calculate_cap_emi!$L$14:$L$21&amp;"|"&amp;Calculate_cap_emi!$I$14:$I$21,
        Calculate_cap_emi!$BD$14:$BD$21, "Not found", 0))</f>
        <v>615.53900517052148</v>
      </c>
      <c r="T153" s="8" cm="1">
        <f t="array" ref="T153">_xlfn.SWITCH(K153,200,_xlfn.XLOOKUP(J153,Other!$C$18:$N$18,Other!$C$20:$N$20) + _xlfn.XLOOKUP(B153&amp;"|"&amp;E153,
        Calculate_cap_emi!$L$14:$L$21&amp;"|"&amp;Calculate_cap_emi!$I$14:$I$21,
        Calculate_cap_emi!$BK$14:$BK$21, "Not found", 0), LOOKUP(K153,Other!$C$24:$D$24,Other!$C$26:$D$26) + _xlfn.XLOOKUP(J153,Other!$C$18:$N$18,Other!$C$20:$N$20) + _xlfn.XLOOKUP(B153&amp;"|"&amp;E153,
        Calculate_cap_emi!$L$14:$L$21&amp;"|"&amp;Calculate_cap_emi!$I$14:$I$21,
        Calculate_cap_emi!$BK$14:$BK$21, "Not found", 0))</f>
        <v>2002.4207480097029</v>
      </c>
      <c r="U153" s="8" cm="1">
        <f t="array" ref="U153">_xlfn.SWITCH(K153,200,_xlfn.XLOOKUP(J153,EOL_R!$C$18:$N$18,EOL_R!$C$20:$N$20) + _xlfn.XLOOKUP(B153&amp;"|"&amp;E153,
        Calculate_cap_emi_sens!$L$14:$L$21&amp;"|"&amp;Calculate_cap_emi_sens!$I$14:$I$21,
        Calculate_cap_emi_sens!$BD$14:$BD$21, "Not found", 0), LOOKUP(K153,EOL_R!$C$24:$D$24,EOL_R!$C$26:$D$26) + _xlfn.XLOOKUP(J153,EOL_R!$C$18:$N$18,EOL_R!$C$20:$N$20) + _xlfn.XLOOKUP(B153&amp;"|"&amp;E153,
        Calculate_cap_emi_sens!$L$14:$L$21&amp;"|"&amp;Calculate_cap_emi_sens!$I$14:$I$21,
        Calculate_cap_emi_sens!$BD$14:$BD$21, "Not found", 0))</f>
        <v>465.47814680931987</v>
      </c>
      <c r="V153" s="8" cm="1">
        <f t="array" ref="V153">_xlfn.SWITCH(K153,200,_xlfn.XLOOKUP(J153,Other_R!$C$18:$N$18,Other_R!$C$20:$N$20) + _xlfn.XLOOKUP(B153&amp;"|"&amp;E153,
        Calculate_cap_emi_sens!$L$14:$L$21&amp;"|"&amp;Calculate_cap_emi_sens!$I$14:$I$21,
        Calculate_cap_emi_sens!$BK$14:$BK$21, "Not found", 0), LOOKUP(K153,Other_R!$C$24:$D$24,Other_R!$C$26:$D$26) + _xlfn.XLOOKUP(J153,Other_R!$C$18:$N$18,Other_R!$C$20:$N$20) + _xlfn.XLOOKUP(B153&amp;"|"&amp;E153,
        Calculate_cap_emi_sens!$L$14:$L$21&amp;"|"&amp;Calculate_cap_emi_sens!$I$14:$I$21,
        Calculate_cap_emi_sens!$BK$14:$BK$21, "Not found", 0))</f>
        <v>1549.5532771646347</v>
      </c>
      <c r="W153" s="5">
        <f>Results_proc_ener!L153</f>
        <v>100527.23415365649</v>
      </c>
      <c r="X153" s="5">
        <f>Results_proc_ener!M153</f>
        <v>49760.002199565621</v>
      </c>
      <c r="Y153" s="5">
        <f>Results_proc_ener!N153</f>
        <v>10613.59090909091</v>
      </c>
      <c r="Z153" s="5">
        <f>Results_proc_ener!O153</f>
        <v>40153.641044999968</v>
      </c>
      <c r="AA153" s="5">
        <f>Results_proc_ener!P153</f>
        <v>100527.23415365649</v>
      </c>
      <c r="AB153" s="5">
        <f>Results_proc_ener!Q153</f>
        <v>2552.5121638399</v>
      </c>
      <c r="AC153" s="5">
        <f>Results_proc_ener!R153</f>
        <v>198.60102708451552</v>
      </c>
      <c r="AD153" s="5">
        <f>Results_proc_ener!S153</f>
        <v>15159.920526545453</v>
      </c>
      <c r="AE153" s="5">
        <f>Results_proc_ener!T153</f>
        <v>57409.520125237199</v>
      </c>
    </row>
    <row r="154" spans="1:31" x14ac:dyDescent="0.25">
      <c r="A154" s="5"/>
      <c r="B154" s="5" t="str">
        <f t="shared" si="10"/>
        <v>Mass-H1</v>
      </c>
      <c r="C154" s="5" t="s">
        <v>37</v>
      </c>
      <c r="D154" s="5" t="str">
        <f t="shared" si="9"/>
        <v>H1</v>
      </c>
      <c r="E154" s="5" t="s">
        <v>3</v>
      </c>
      <c r="F154" s="5" t="s">
        <v>55</v>
      </c>
      <c r="G154" s="5" t="s">
        <v>55</v>
      </c>
      <c r="H154" s="5">
        <v>14</v>
      </c>
      <c r="I154" s="5"/>
      <c r="J154" s="5">
        <f t="shared" si="11"/>
        <v>14</v>
      </c>
      <c r="K154" s="5">
        <v>500</v>
      </c>
      <c r="L154" s="8" cm="1">
        <f t="array" ref="L154">_xlfn.SWITCH(K154,200,_xlfn.XLOOKUP(J154,Manufacture!$C$18:$N$18,Manufacture!$C$20:$N$20) + _xlfn.XLOOKUP(B154&amp;"|"&amp;E154,
        Calculate_cap_emi!$L$14:$L$21&amp;"|"&amp;Calculate_cap_emi!$I$14:$I$21,
        Calculate_cap_emi!$AI$14:$AI$21, "Not found", 0), LOOKUP(K154,Manufacture!$C$24:$D$24,Manufacture!$C$26:$D$26) + _xlfn.XLOOKUP(J154,Manufacture!$C$18:$N$18,Manufacture!$C$20:$N$20) + _xlfn.XLOOKUP(B154&amp;"|"&amp;E154,
        Calculate_cap_emi!$L$14:$L$21&amp;"|"&amp;Calculate_cap_emi!$I$14:$I$21,
        Calculate_cap_emi!$AI$14:$AI$21, "Not found", 0))</f>
        <v>3562.1028220957915</v>
      </c>
      <c r="M154" s="8">
        <f>LOOKUP(J154,Manufacture!$C$18:$N$18,Manufacture!$C$20:$N$20)</f>
        <v>2067.610588235294</v>
      </c>
      <c r="N154" s="8" cm="1">
        <f t="array" ref="N154">_xlfn.SWITCH(K154,200,0,LOOKUP(K154,Manufacture!$C$24:$D$24,Manufacture!$C$26:$D$26))</f>
        <v>336</v>
      </c>
      <c r="O154" s="5" cm="1">
        <f t="array" ref="O154">_xlfn.XLOOKUP(B154&amp;"|"&amp;E154,
        Calculate_cap_emi!$L$14:$L$21&amp;"|"&amp;Calculate_cap_emi!$I$14:$I$21,
        Calculate_cap_emi!$AI$14:$AI$21, "Not found", 0)</f>
        <v>1158.4922338604972</v>
      </c>
      <c r="P154" s="8">
        <f t="shared" si="12"/>
        <v>3562.1028220957915</v>
      </c>
      <c r="Q154" s="8" cm="1">
        <f t="array" ref="Q154">_xlfn.SWITCH(K154,200,_xlfn.XLOOKUP(J154,Distribution!$C$18:$N$18,Distribution!$C$20:$N$20) + _xlfn.XLOOKUP(B154&amp;"|"&amp;E154,
        Calculate_cap_emi!$L$14:$L$21&amp;"|"&amp;Calculate_cap_emi!$I$14:$I$21,
        Calculate_cap_emi!$AP$14:$AP$21, "Not found", 0), LOOKUP(K154,Distribution!$C$24:$D$24,Distribution!$C$26:$D$26) + _xlfn.XLOOKUP(J154,Distribution!$C$18:$N$18,Distribution!$C$20:$N$20) + _xlfn.XLOOKUP(B154&amp;"|"&amp;E154,
        Calculate_cap_emi!$L$14:$L$21&amp;"|"&amp;Calculate_cap_emi!$I$14:$I$21,
        Calculate_cap_emi!$AP$14:$AP$21, "Not found", 0))</f>
        <v>126.97418856304836</v>
      </c>
      <c r="R154" s="8" cm="1">
        <f t="array" ref="R154">_xlfn.SWITCH(K154,200,_xlfn.XLOOKUP(J154,Installation!$C$18:$N$18,Installation!$C$20:$N$20) + _xlfn.XLOOKUP(B154&amp;"|"&amp;E154,
        Calculate_cap_emi!$L$14:$L$21&amp;"|"&amp;Calculate_cap_emi!$I$14:$I$21,
        Calculate_cap_emi!$AW$14:$AW$21, "Not found", 0), LOOKUP(K154,Installation!$C$24:$D$24,Installation!$C$26:$D$26) + _xlfn.XLOOKUP(J154,Installation!$C$18:$N$18,Installation!$C$20:$N$20) + _xlfn.XLOOKUP(B154&amp;"|"&amp;E154,
        Calculate_cap_emi!$L$14:$L$21&amp;"|"&amp;Calculate_cap_emi!$I$14:$I$21,
        Calculate_cap_emi!$AW$14:$AW$21, "Not found", 0))</f>
        <v>132.36539151042217</v>
      </c>
      <c r="S154" s="8" cm="1">
        <f t="array" ref="S154">_xlfn.SWITCH(K154,200,_xlfn.XLOOKUP(J154,EOL!$C$18:$N$18,EOL!$C$20:$N$20) + _xlfn.XLOOKUP(B154&amp;"|"&amp;E154,
        Calculate_cap_emi!$L$14:$L$21&amp;"|"&amp;Calculate_cap_emi!$I$14:$I$21,
        Calculate_cap_emi!$BD$14:$BD$21, "Not found", 0), LOOKUP(K154,EOL!$C$24:$D$24,EOL!$C$26:$D$26) + _xlfn.XLOOKUP(J154,EOL!$C$18:$N$18,EOL!$C$20:$N$20) + _xlfn.XLOOKUP(B154&amp;"|"&amp;E154,
        Calculate_cap_emi!$L$14:$L$21&amp;"|"&amp;Calculate_cap_emi!$I$14:$I$21,
        Calculate_cap_emi!$BD$14:$BD$21, "Not found", 0))</f>
        <v>689.99018164110953</v>
      </c>
      <c r="T154" s="8" cm="1">
        <f t="array" ref="T154">_xlfn.SWITCH(K154,200,_xlfn.XLOOKUP(J154,Other!$C$18:$N$18,Other!$C$20:$N$20) + _xlfn.XLOOKUP(B154&amp;"|"&amp;E154,
        Calculate_cap_emi!$L$14:$L$21&amp;"|"&amp;Calculate_cap_emi!$I$14:$I$21,
        Calculate_cap_emi!$BK$14:$BK$21, "Not found", 0), LOOKUP(K154,Other!$C$24:$D$24,Other!$C$26:$D$26) + _xlfn.XLOOKUP(J154,Other!$C$18:$N$18,Other!$C$20:$N$20) + _xlfn.XLOOKUP(B154&amp;"|"&amp;E154,
        Calculate_cap_emi!$L$14:$L$21&amp;"|"&amp;Calculate_cap_emi!$I$14:$I$21,
        Calculate_cap_emi!$BK$14:$BK$21, "Not found", 0))</f>
        <v>2111.8694978237381</v>
      </c>
      <c r="U154" s="8" cm="1">
        <f t="array" ref="U154">_xlfn.SWITCH(K154,200,_xlfn.XLOOKUP(J154,EOL_R!$C$18:$N$18,EOL_R!$C$20:$N$20) + _xlfn.XLOOKUP(B154&amp;"|"&amp;E154,
        Calculate_cap_emi_sens!$L$14:$L$21&amp;"|"&amp;Calculate_cap_emi_sens!$I$14:$I$21,
        Calculate_cap_emi_sens!$BD$14:$BD$21, "Not found", 0), LOOKUP(K154,EOL_R!$C$24:$D$24,EOL_R!$C$26:$D$26) + _xlfn.XLOOKUP(J154,EOL_R!$C$18:$N$18,EOL_R!$C$20:$N$20) + _xlfn.XLOOKUP(B154&amp;"|"&amp;E154,
        Calculate_cap_emi_sens!$L$14:$L$21&amp;"|"&amp;Calculate_cap_emi_sens!$I$14:$I$21,
        Calculate_cap_emi_sens!$BD$14:$BD$21, "Not found", 0))</f>
        <v>508.44404663649249</v>
      </c>
      <c r="V154" s="8" cm="1">
        <f t="array" ref="V154">_xlfn.SWITCH(K154,200,_xlfn.XLOOKUP(J154,Other_R!$C$18:$N$18,Other_R!$C$20:$N$20) + _xlfn.XLOOKUP(B154&amp;"|"&amp;E154,
        Calculate_cap_emi_sens!$L$14:$L$21&amp;"|"&amp;Calculate_cap_emi_sens!$I$14:$I$21,
        Calculate_cap_emi_sens!$BK$14:$BK$21, "Not found", 0), LOOKUP(K154,Other_R!$C$24:$D$24,Other_R!$C$26:$D$26) + _xlfn.XLOOKUP(J154,Other_R!$C$18:$N$18,Other_R!$C$20:$N$20) + _xlfn.XLOOKUP(B154&amp;"|"&amp;E154,
        Calculate_cap_emi_sens!$L$14:$L$21&amp;"|"&amp;Calculate_cap_emi_sens!$I$14:$I$21,
        Calculate_cap_emi_sens!$BK$14:$BK$21, "Not found", 0))</f>
        <v>1581.7688223980645</v>
      </c>
      <c r="W154" s="5">
        <f>Results_proc_ener!L154</f>
        <v>102301.42715514579</v>
      </c>
      <c r="X154" s="5">
        <f>Results_proc_ener!M154</f>
        <v>51534.195201054921</v>
      </c>
      <c r="Y154" s="5">
        <f>Results_proc_ener!N154</f>
        <v>10613.59090909091</v>
      </c>
      <c r="Z154" s="5">
        <f>Results_proc_ener!O154</f>
        <v>40153.641044999968</v>
      </c>
      <c r="AA154" s="5">
        <f>Results_proc_ener!P154</f>
        <v>102301.42715514579</v>
      </c>
      <c r="AB154" s="5">
        <f>Results_proc_ener!Q154</f>
        <v>2716.0336295156499</v>
      </c>
      <c r="AC154" s="5">
        <f>Results_proc_ener!R154</f>
        <v>210.89641838462671</v>
      </c>
      <c r="AD154" s="5">
        <f>Results_proc_ener!S154</f>
        <v>15159.920526545453</v>
      </c>
      <c r="AE154" s="5">
        <f>Results_proc_ener!T154</f>
        <v>57518.968875051236</v>
      </c>
    </row>
    <row r="155" spans="1:31" x14ac:dyDescent="0.25">
      <c r="A155" s="5"/>
      <c r="B155" s="5" t="str">
        <f t="shared" si="10"/>
        <v>Mass-H1</v>
      </c>
      <c r="C155" s="5" t="s">
        <v>37</v>
      </c>
      <c r="D155" s="5" t="str">
        <f t="shared" si="9"/>
        <v>H1</v>
      </c>
      <c r="E155" s="5" t="s">
        <v>3</v>
      </c>
      <c r="F155" s="5" t="s">
        <v>57</v>
      </c>
      <c r="G155" s="5" t="s">
        <v>57</v>
      </c>
      <c r="H155" s="5">
        <v>5</v>
      </c>
      <c r="I155" s="5"/>
      <c r="J155" s="5">
        <f t="shared" si="11"/>
        <v>5</v>
      </c>
      <c r="K155" s="5">
        <v>1000</v>
      </c>
      <c r="L155" s="8" cm="1">
        <f t="array" ref="L155">_xlfn.SWITCH(K155,200,_xlfn.XLOOKUP(J155,Manufacture!$C$18:$N$18,Manufacture!$C$20:$N$20) + _xlfn.XLOOKUP(B155&amp;"|"&amp;E155,
        Calculate_cap_emi!$L$14:$L$21&amp;"|"&amp;Calculate_cap_emi!$I$14:$I$21,
        Calculate_cap_emi!$AI$14:$AI$21, "Not found", 0), LOOKUP(K155,Manufacture!$C$24:$D$24,Manufacture!$C$26:$D$26) + _xlfn.XLOOKUP(J155,Manufacture!$C$18:$N$18,Manufacture!$C$20:$N$20) + _xlfn.XLOOKUP(B155&amp;"|"&amp;E155,
        Calculate_cap_emi!$L$14:$L$21&amp;"|"&amp;Calculate_cap_emi!$I$14:$I$21,
        Calculate_cap_emi!$AI$14:$AI$21, "Not found", 0))</f>
        <v>3529.3731429514064</v>
      </c>
      <c r="M155" s="8">
        <f>LOOKUP(J155,Manufacture!$C$18:$N$18,Manufacture!$C$20:$N$20)</f>
        <v>1711.29</v>
      </c>
      <c r="N155" s="8" cm="1">
        <f t="array" ref="N155">_xlfn.SWITCH(K155,200,0,LOOKUP(K155,Manufacture!$C$24:$D$24,Manufacture!$C$26:$D$26))</f>
        <v>659.59090909090912</v>
      </c>
      <c r="O155" s="5" cm="1">
        <f t="array" ref="O155">_xlfn.XLOOKUP(B155&amp;"|"&amp;E155,
        Calculate_cap_emi!$L$14:$L$21&amp;"|"&amp;Calculate_cap_emi!$I$14:$I$21,
        Calculate_cap_emi!$AI$14:$AI$21, "Not found", 0)</f>
        <v>1158.4922338604972</v>
      </c>
      <c r="P155" s="8">
        <f t="shared" si="12"/>
        <v>3529.3731429514064</v>
      </c>
      <c r="Q155" s="8" cm="1">
        <f t="array" ref="Q155">_xlfn.SWITCH(K155,200,_xlfn.XLOOKUP(J155,Distribution!$C$18:$N$18,Distribution!$C$20:$N$20) + _xlfn.XLOOKUP(B155&amp;"|"&amp;E155,
        Calculate_cap_emi!$L$14:$L$21&amp;"|"&amp;Calculate_cap_emi!$I$14:$I$21,
        Calculate_cap_emi!$AP$14:$AP$21, "Not found", 0), LOOKUP(K155,Distribution!$C$24:$D$24,Distribution!$C$26:$D$26) + _xlfn.XLOOKUP(J155,Distribution!$C$18:$N$18,Distribution!$C$20:$N$20) + _xlfn.XLOOKUP(B155&amp;"|"&amp;E155,
        Calculate_cap_emi!$L$14:$L$21&amp;"|"&amp;Calculate_cap_emi!$I$14:$I$21,
        Calculate_cap_emi!$AP$14:$AP$21, "Not found", 0))</f>
        <v>120.37586185129436</v>
      </c>
      <c r="R155" s="8" cm="1">
        <f t="array" ref="R155">_xlfn.SWITCH(K155,200,_xlfn.XLOOKUP(J155,Installation!$C$18:$N$18,Installation!$C$20:$N$20) + _xlfn.XLOOKUP(B155&amp;"|"&amp;E155,
        Calculate_cap_emi!$L$14:$L$21&amp;"|"&amp;Calculate_cap_emi!$I$14:$I$21,
        Calculate_cap_emi!$AW$14:$AW$21, "Not found", 0), LOOKUP(K155,Installation!$C$24:$D$24,Installation!$C$26:$D$26) + _xlfn.XLOOKUP(J155,Installation!$C$18:$N$18,Installation!$C$20:$N$20) + _xlfn.XLOOKUP(B155&amp;"|"&amp;E155,
        Calculate_cap_emi!$L$14:$L$21&amp;"|"&amp;Calculate_cap_emi!$I$14:$I$21,
        Calculate_cap_emi!$AW$14:$AW$21, "Not found", 0))</f>
        <v>110.23368717022221</v>
      </c>
      <c r="S155" s="8" cm="1">
        <f t="array" ref="S155">_xlfn.SWITCH(K155,200,_xlfn.XLOOKUP(J155,EOL!$C$18:$N$18,EOL!$C$20:$N$20) + _xlfn.XLOOKUP(B155&amp;"|"&amp;E155,
        Calculate_cap_emi!$L$14:$L$21&amp;"|"&amp;Calculate_cap_emi!$I$14:$I$21,
        Calculate_cap_emi!$BD$14:$BD$21, "Not found", 0), LOOKUP(K155,EOL!$C$24:$D$24,EOL!$C$26:$D$26) + _xlfn.XLOOKUP(J155,EOL!$C$18:$N$18,EOL!$C$20:$N$20) + _xlfn.XLOOKUP(B155&amp;"|"&amp;E155,
        Calculate_cap_emi!$L$14:$L$21&amp;"|"&amp;Calculate_cap_emi!$I$14:$I$21,
        Calculate_cap_emi!$BD$14:$BD$21, "Not found", 0))</f>
        <v>694.38715490314166</v>
      </c>
      <c r="T155" s="8" cm="1">
        <f t="array" ref="T155">_xlfn.SWITCH(K155,200,_xlfn.XLOOKUP(J155,Other!$C$18:$N$18,Other!$C$20:$N$20) + _xlfn.XLOOKUP(B155&amp;"|"&amp;E155,
        Calculate_cap_emi!$L$14:$L$21&amp;"|"&amp;Calculate_cap_emi!$I$14:$I$21,
        Calculate_cap_emi!$BK$14:$BK$21, "Not found", 0), LOOKUP(K155,Other!$C$24:$D$24,Other!$C$26:$D$26) + _xlfn.XLOOKUP(J155,Other!$C$18:$N$18,Other!$C$20:$N$20) + _xlfn.XLOOKUP(B155&amp;"|"&amp;E155,
        Calculate_cap_emi!$L$14:$L$21&amp;"|"&amp;Calculate_cap_emi!$I$14:$I$21,
        Calculate_cap_emi!$BK$14:$BK$21, "Not found", 0))</f>
        <v>1914.8617481584758</v>
      </c>
      <c r="U155" s="8" cm="1">
        <f t="array" ref="U155">_xlfn.SWITCH(K155,200,_xlfn.XLOOKUP(J155,EOL_R!$C$18:$N$18,EOL_R!$C$20:$N$20) + _xlfn.XLOOKUP(B155&amp;"|"&amp;E155,
        Calculate_cap_emi_sens!$L$14:$L$21&amp;"|"&amp;Calculate_cap_emi_sens!$I$14:$I$21,
        Calculate_cap_emi_sens!$BD$14:$BD$21, "Not found", 0), LOOKUP(K155,EOL_R!$C$24:$D$24,EOL_R!$C$26:$D$26) + _xlfn.XLOOKUP(J155,EOL_R!$C$18:$N$18,EOL_R!$C$20:$N$20) + _xlfn.XLOOKUP(B155&amp;"|"&amp;E155,
        Calculate_cap_emi_sens!$L$14:$L$21&amp;"|"&amp;Calculate_cap_emi_sens!$I$14:$I$21,
        Calculate_cap_emi_sens!$BD$14:$BD$21, "Not found", 0))</f>
        <v>586.2123397478681</v>
      </c>
      <c r="V155" s="8" cm="1">
        <f t="array" ref="V155">_xlfn.SWITCH(K155,200,_xlfn.XLOOKUP(J155,Other_R!$C$18:$N$18,Other_R!$C$20:$N$20) + _xlfn.XLOOKUP(B155&amp;"|"&amp;E155,
        Calculate_cap_emi_sens!$L$14:$L$21&amp;"|"&amp;Calculate_cap_emi_sens!$I$14:$I$21,
        Calculate_cap_emi_sens!$BK$14:$BK$21, "Not found", 0), LOOKUP(K155,Other_R!$C$24:$D$24,Other_R!$C$26:$D$26) + _xlfn.XLOOKUP(J155,Other_R!$C$18:$N$18,Other_R!$C$20:$N$20) + _xlfn.XLOOKUP(B155&amp;"|"&amp;E155,
        Calculate_cap_emi_sens!$L$14:$L$21&amp;"|"&amp;Calculate_cap_emi_sens!$I$14:$I$21,
        Calculate_cap_emi_sens!$BK$14:$BK$21, "Not found", 0))</f>
        <v>1564.7405031329615</v>
      </c>
      <c r="W155" s="5">
        <f>Results_proc_ener!L155</f>
        <v>109067.60702519242</v>
      </c>
      <c r="X155" s="5">
        <f>Results_proc_ener!M155</f>
        <v>48340.647798374281</v>
      </c>
      <c r="Y155" s="5">
        <f>Results_proc_ener!N155</f>
        <v>20573.31818181818</v>
      </c>
      <c r="Z155" s="5">
        <f>Results_proc_ener!O155</f>
        <v>40153.641044999968</v>
      </c>
      <c r="AA155" s="5">
        <f>Results_proc_ener!P155</f>
        <v>109067.60702519242</v>
      </c>
      <c r="AB155" s="5">
        <f>Results_proc_ener!Q155</f>
        <v>2602.2803166463004</v>
      </c>
      <c r="AC155" s="5">
        <f>Results_proc_ener!R155</f>
        <v>194.49198677169949</v>
      </c>
      <c r="AD155" s="5">
        <f>Results_proc_ener!S155</f>
        <v>25296.238708363635</v>
      </c>
      <c r="AE155" s="5">
        <f>Results_proc_ener!T155</f>
        <v>57321.961125385969</v>
      </c>
    </row>
    <row r="156" spans="1:31" x14ac:dyDescent="0.25">
      <c r="A156" s="5"/>
      <c r="B156" s="5" t="str">
        <f t="shared" si="10"/>
        <v>Mass-H1</v>
      </c>
      <c r="C156" s="5" t="s">
        <v>37</v>
      </c>
      <c r="D156" s="5" t="str">
        <f t="shared" si="9"/>
        <v>H1</v>
      </c>
      <c r="E156" s="5" t="s">
        <v>3</v>
      </c>
      <c r="F156" s="5" t="s">
        <v>57</v>
      </c>
      <c r="G156" s="5" t="s">
        <v>57</v>
      </c>
      <c r="H156" s="5">
        <v>6</v>
      </c>
      <c r="I156" s="5"/>
      <c r="J156" s="5">
        <f t="shared" si="11"/>
        <v>6</v>
      </c>
      <c r="K156" s="5">
        <v>1000</v>
      </c>
      <c r="L156" s="8" cm="1">
        <f t="array" ref="L156">_xlfn.SWITCH(K156,200,_xlfn.XLOOKUP(J156,Manufacture!$C$18:$N$18,Manufacture!$C$20:$N$20) + _xlfn.XLOOKUP(B156&amp;"|"&amp;E156,
        Calculate_cap_emi!$L$14:$L$21&amp;"|"&amp;Calculate_cap_emi!$I$14:$I$21,
        Calculate_cap_emi!$AI$14:$AI$21, "Not found", 0), LOOKUP(K156,Manufacture!$C$24:$D$24,Manufacture!$C$26:$D$26) + _xlfn.XLOOKUP(J156,Manufacture!$C$18:$N$18,Manufacture!$C$20:$N$20) + _xlfn.XLOOKUP(B156&amp;"|"&amp;E156,
        Calculate_cap_emi!$L$14:$L$21&amp;"|"&amp;Calculate_cap_emi!$I$14:$I$21,
        Calculate_cap_emi!$AI$14:$AI$21, "Not found", 0))</f>
        <v>3568.9643194219943</v>
      </c>
      <c r="M156" s="8">
        <f>LOOKUP(J156,Manufacture!$C$18:$N$18,Manufacture!$C$20:$N$20)</f>
        <v>1750.8811764705879</v>
      </c>
      <c r="N156" s="8" cm="1">
        <f t="array" ref="N156">_xlfn.SWITCH(K156,200,0,LOOKUP(K156,Manufacture!$C$24:$D$24,Manufacture!$C$26:$D$26))</f>
        <v>659.59090909090912</v>
      </c>
      <c r="O156" s="5" cm="1">
        <f t="array" ref="O156">_xlfn.XLOOKUP(B156&amp;"|"&amp;E156,
        Calculate_cap_emi!$L$14:$L$21&amp;"|"&amp;Calculate_cap_emi!$I$14:$I$21,
        Calculate_cap_emi!$AI$14:$AI$21, "Not found", 0)</f>
        <v>1158.4922338604972</v>
      </c>
      <c r="P156" s="8">
        <f t="shared" si="12"/>
        <v>3568.9643194219943</v>
      </c>
      <c r="Q156" s="8" cm="1">
        <f t="array" ref="Q156">_xlfn.SWITCH(K156,200,_xlfn.XLOOKUP(J156,Distribution!$C$18:$N$18,Distribution!$C$20:$N$20) + _xlfn.XLOOKUP(B156&amp;"|"&amp;E156,
        Calculate_cap_emi!$L$14:$L$21&amp;"|"&amp;Calculate_cap_emi!$I$14:$I$21,
        Calculate_cap_emi!$AP$14:$AP$21, "Not found", 0), LOOKUP(K156,Distribution!$C$24:$D$24,Distribution!$C$26:$D$26) + _xlfn.XLOOKUP(J156,Distribution!$C$18:$N$18,Distribution!$C$20:$N$20) + _xlfn.XLOOKUP(B156&amp;"|"&amp;E156,
        Calculate_cap_emi!$L$14:$L$21&amp;"|"&amp;Calculate_cap_emi!$I$14:$I$21,
        Calculate_cap_emi!$AP$14:$AP$21, "Not found", 0))</f>
        <v>121.92007276552965</v>
      </c>
      <c r="R156" s="8" cm="1">
        <f t="array" ref="R156">_xlfn.SWITCH(K156,200,_xlfn.XLOOKUP(J156,Installation!$C$18:$N$18,Installation!$C$20:$N$20) + _xlfn.XLOOKUP(B156&amp;"|"&amp;E156,
        Calculate_cap_emi!$L$14:$L$21&amp;"|"&amp;Calculate_cap_emi!$I$14:$I$21,
        Calculate_cap_emi!$AW$14:$AW$21, "Not found", 0), LOOKUP(K156,Installation!$C$24:$D$24,Installation!$C$26:$D$26) + _xlfn.XLOOKUP(J156,Installation!$C$18:$N$18,Installation!$C$20:$N$20) + _xlfn.XLOOKUP(B156&amp;"|"&amp;E156,
        Calculate_cap_emi!$L$14:$L$21&amp;"|"&amp;Calculate_cap_emi!$I$14:$I$21,
        Calculate_cap_emi!$AW$14:$AW$21, "Not found", 0))</f>
        <v>112.69276543024446</v>
      </c>
      <c r="S156" s="8" cm="1">
        <f t="array" ref="S156">_xlfn.SWITCH(K156,200,_xlfn.XLOOKUP(J156,EOL!$C$18:$N$18,EOL!$C$20:$N$20) + _xlfn.XLOOKUP(B156&amp;"|"&amp;E156,
        Calculate_cap_emi!$L$14:$L$21&amp;"|"&amp;Calculate_cap_emi!$I$14:$I$21,
        Calculate_cap_emi!$BD$14:$BD$21, "Not found", 0), LOOKUP(K156,EOL!$C$24:$D$24,EOL!$C$26:$D$26) + _xlfn.XLOOKUP(J156,EOL!$C$18:$N$18,EOL!$C$20:$N$20) + _xlfn.XLOOKUP(B156&amp;"|"&amp;E156,
        Calculate_cap_emi!$L$14:$L$21&amp;"|"&amp;Calculate_cap_emi!$I$14:$I$21,
        Calculate_cap_emi!$BD$14:$BD$21, "Not found", 0))</f>
        <v>709.27739019725936</v>
      </c>
      <c r="T156" s="8" cm="1">
        <f t="array" ref="T156">_xlfn.SWITCH(K156,200,_xlfn.XLOOKUP(J156,Other!$C$18:$N$18,Other!$C$20:$N$20) + _xlfn.XLOOKUP(B156&amp;"|"&amp;E156,
        Calculate_cap_emi!$L$14:$L$21&amp;"|"&amp;Calculate_cap_emi!$I$14:$I$21,
        Calculate_cap_emi!$BK$14:$BK$21, "Not found", 0), LOOKUP(K156,Other!$C$24:$D$24,Other!$C$26:$D$26) + _xlfn.XLOOKUP(J156,Other!$C$18:$N$18,Other!$C$20:$N$20) + _xlfn.XLOOKUP(B156&amp;"|"&amp;E156,
        Calculate_cap_emi!$L$14:$L$21&amp;"|"&amp;Calculate_cap_emi!$I$14:$I$21,
        Calculate_cap_emi!$BK$14:$BK$21, "Not found", 0))</f>
        <v>1936.7514981212826</v>
      </c>
      <c r="U156" s="8" cm="1">
        <f t="array" ref="U156">_xlfn.SWITCH(K156,200,_xlfn.XLOOKUP(J156,EOL_R!$C$18:$N$18,EOL_R!$C$20:$N$20) + _xlfn.XLOOKUP(B156&amp;"|"&amp;E156,
        Calculate_cap_emi_sens!$L$14:$L$21&amp;"|"&amp;Calculate_cap_emi_sens!$I$14:$I$21,
        Calculate_cap_emi_sens!$BD$14:$BD$21, "Not found", 0), LOOKUP(K156,EOL_R!$C$24:$D$24,EOL_R!$C$26:$D$26) + _xlfn.XLOOKUP(J156,EOL_R!$C$18:$N$18,EOL_R!$C$20:$N$20) + _xlfn.XLOOKUP(B156&amp;"|"&amp;E156,
        Calculate_cap_emi_sens!$L$14:$L$21&amp;"|"&amp;Calculate_cap_emi_sens!$I$14:$I$21,
        Calculate_cap_emi_sens!$BD$14:$BD$21, "Not found", 0))</f>
        <v>588.11022754373926</v>
      </c>
      <c r="V156" s="8" cm="1">
        <f t="array" ref="V156">_xlfn.SWITCH(K156,200,_xlfn.XLOOKUP(J156,Other_R!$C$18:$N$18,Other_R!$C$20:$N$20) + _xlfn.XLOOKUP(B156&amp;"|"&amp;E156,
        Calculate_cap_emi_sens!$L$14:$L$21&amp;"|"&amp;Calculate_cap_emi_sens!$I$14:$I$21,
        Calculate_cap_emi_sens!$BK$14:$BK$21, "Not found", 0), LOOKUP(K156,Other_R!$C$24:$D$24,Other_R!$C$26:$D$26) + _xlfn.XLOOKUP(J156,Other_R!$C$18:$N$18,Other_R!$C$20:$N$20) + _xlfn.XLOOKUP(B156&amp;"|"&amp;E156,
        Calculate_cap_emi_sens!$L$14:$L$21&amp;"|"&amp;Calculate_cap_emi_sens!$I$14:$I$21,
        Calculate_cap_emi_sens!$BK$14:$BK$21, "Not found", 0))</f>
        <v>1554.7600985572271</v>
      </c>
      <c r="W156" s="5">
        <f>Results_proc_ener!L156</f>
        <v>109422.44562549026</v>
      </c>
      <c r="X156" s="5">
        <f>Results_proc_ener!M156</f>
        <v>48695.486398672118</v>
      </c>
      <c r="Y156" s="5">
        <f>Results_proc_ener!N156</f>
        <v>20573.31818181818</v>
      </c>
      <c r="Z156" s="5">
        <f>Results_proc_ener!O156</f>
        <v>40153.641044999968</v>
      </c>
      <c r="AA156" s="5">
        <f>Results_proc_ener!P156</f>
        <v>109422.44562549026</v>
      </c>
      <c r="AB156" s="5">
        <f>Results_proc_ener!Q156</f>
        <v>2634.9846097814502</v>
      </c>
      <c r="AC156" s="5">
        <f>Results_proc_ener!R156</f>
        <v>196.95106503172175</v>
      </c>
      <c r="AD156" s="5">
        <f>Results_proc_ener!S156</f>
        <v>25296.238708363635</v>
      </c>
      <c r="AE156" s="5">
        <f>Results_proc_ener!T156</f>
        <v>57343.850875348777</v>
      </c>
    </row>
    <row r="157" spans="1:31" x14ac:dyDescent="0.25">
      <c r="A157" s="5"/>
      <c r="B157" s="5" t="str">
        <f t="shared" si="10"/>
        <v>Mass-H1</v>
      </c>
      <c r="C157" s="5" t="s">
        <v>37</v>
      </c>
      <c r="D157" s="5" t="str">
        <f t="shared" si="9"/>
        <v>H1</v>
      </c>
      <c r="E157" s="5" t="s">
        <v>3</v>
      </c>
      <c r="F157" s="5" t="s">
        <v>57</v>
      </c>
      <c r="G157" s="5" t="s">
        <v>57</v>
      </c>
      <c r="H157" s="5">
        <v>8.5</v>
      </c>
      <c r="I157" s="5"/>
      <c r="J157" s="5">
        <f t="shared" si="11"/>
        <v>9</v>
      </c>
      <c r="K157" s="5">
        <v>1000</v>
      </c>
      <c r="L157" s="8" cm="1">
        <f t="array" ref="L157">_xlfn.SWITCH(K157,200,_xlfn.XLOOKUP(J157,Manufacture!$C$18:$N$18,Manufacture!$C$20:$N$20) + _xlfn.XLOOKUP(B157&amp;"|"&amp;E157,
        Calculate_cap_emi!$L$14:$L$21&amp;"|"&amp;Calculate_cap_emi!$I$14:$I$21,
        Calculate_cap_emi!$AI$14:$AI$21, "Not found", 0), LOOKUP(K157,Manufacture!$C$24:$D$24,Manufacture!$C$26:$D$26) + _xlfn.XLOOKUP(J157,Manufacture!$C$18:$N$18,Manufacture!$C$20:$N$20) + _xlfn.XLOOKUP(B157&amp;"|"&amp;E157,
        Calculate_cap_emi!$L$14:$L$21&amp;"|"&amp;Calculate_cap_emi!$I$14:$I$21,
        Calculate_cap_emi!$AI$14:$AI$21, "Not found", 0))</f>
        <v>3687.737848833759</v>
      </c>
      <c r="M157" s="8">
        <f>LOOKUP(J157,Manufacture!$C$18:$N$18,Manufacture!$C$20:$N$20)</f>
        <v>1869.654705882353</v>
      </c>
      <c r="N157" s="8" cm="1">
        <f t="array" ref="N157">_xlfn.SWITCH(K157,200,0,LOOKUP(K157,Manufacture!$C$24:$D$24,Manufacture!$C$26:$D$26))</f>
        <v>659.59090909090912</v>
      </c>
      <c r="O157" s="5" cm="1">
        <f t="array" ref="O157">_xlfn.XLOOKUP(B157&amp;"|"&amp;E157,
        Calculate_cap_emi!$L$14:$L$21&amp;"|"&amp;Calculate_cap_emi!$I$14:$I$21,
        Calculate_cap_emi!$AI$14:$AI$21, "Not found", 0)</f>
        <v>1158.4922338604972</v>
      </c>
      <c r="P157" s="8">
        <f t="shared" si="12"/>
        <v>3687.737848833759</v>
      </c>
      <c r="Q157" s="8" cm="1">
        <f t="array" ref="Q157">_xlfn.SWITCH(K157,200,_xlfn.XLOOKUP(J157,Distribution!$C$18:$N$18,Distribution!$C$20:$N$20) + _xlfn.XLOOKUP(B157&amp;"|"&amp;E157,
        Calculate_cap_emi!$L$14:$L$21&amp;"|"&amp;Calculate_cap_emi!$I$14:$I$21,
        Calculate_cap_emi!$AP$14:$AP$21, "Not found", 0), LOOKUP(K157,Distribution!$C$24:$D$24,Distribution!$C$26:$D$26) + _xlfn.XLOOKUP(J157,Distribution!$C$18:$N$18,Distribution!$C$20:$N$20) + _xlfn.XLOOKUP(B157&amp;"|"&amp;E157,
        Calculate_cap_emi!$L$14:$L$21&amp;"|"&amp;Calculate_cap_emi!$I$14:$I$21,
        Calculate_cap_emi!$AP$14:$AP$21, "Not found", 0))</f>
        <v>126.55270550823556</v>
      </c>
      <c r="R157" s="8" cm="1">
        <f t="array" ref="R157">_xlfn.SWITCH(K157,200,_xlfn.XLOOKUP(J157,Installation!$C$18:$N$18,Installation!$C$20:$N$20) + _xlfn.XLOOKUP(B157&amp;"|"&amp;E157,
        Calculate_cap_emi!$L$14:$L$21&amp;"|"&amp;Calculate_cap_emi!$I$14:$I$21,
        Calculate_cap_emi!$AW$14:$AW$21, "Not found", 0), LOOKUP(K157,Installation!$C$24:$D$24,Installation!$C$26:$D$26) + _xlfn.XLOOKUP(J157,Installation!$C$18:$N$18,Installation!$C$20:$N$20) + _xlfn.XLOOKUP(B157&amp;"|"&amp;E157,
        Calculate_cap_emi!$L$14:$L$21&amp;"|"&amp;Calculate_cap_emi!$I$14:$I$21,
        Calculate_cap_emi!$AW$14:$AW$21, "Not found", 0))</f>
        <v>120.07000021031098</v>
      </c>
      <c r="S157" s="8" cm="1">
        <f t="array" ref="S157">_xlfn.SWITCH(K157,200,_xlfn.XLOOKUP(J157,EOL!$C$18:$N$18,EOL!$C$20:$N$20) + _xlfn.XLOOKUP(B157&amp;"|"&amp;E157,
        Calculate_cap_emi!$L$14:$L$21&amp;"|"&amp;Calculate_cap_emi!$I$14:$I$21,
        Calculate_cap_emi!$BD$14:$BD$21, "Not found", 0), LOOKUP(K157,EOL!$C$24:$D$24,EOL!$C$26:$D$26) + _xlfn.XLOOKUP(J157,EOL!$C$18:$N$18,EOL!$C$20:$N$20) + _xlfn.XLOOKUP(B157&amp;"|"&amp;E157,
        Calculate_cap_emi!$L$14:$L$21&amp;"|"&amp;Calculate_cap_emi!$I$14:$I$21,
        Calculate_cap_emi!$BD$14:$BD$21, "Not found", 0))</f>
        <v>753.94809607961224</v>
      </c>
      <c r="T157" s="8" cm="1">
        <f t="array" ref="T157">_xlfn.SWITCH(K157,200,_xlfn.XLOOKUP(J157,Other!$C$18:$N$18,Other!$C$20:$N$20) + _xlfn.XLOOKUP(B157&amp;"|"&amp;E157,
        Calculate_cap_emi!$L$14:$L$21&amp;"|"&amp;Calculate_cap_emi!$I$14:$I$21,
        Calculate_cap_emi!$BK$14:$BK$21, "Not found", 0), LOOKUP(K157,Other!$C$24:$D$24,Other!$C$26:$D$26) + _xlfn.XLOOKUP(J157,Other!$C$18:$N$18,Other!$C$20:$N$20) + _xlfn.XLOOKUP(B157&amp;"|"&amp;E157,
        Calculate_cap_emi!$L$14:$L$21&amp;"|"&amp;Calculate_cap_emi!$I$14:$I$21,
        Calculate_cap_emi!$BK$14:$BK$21, "Not found", 0))</f>
        <v>2002.4207480097029</v>
      </c>
      <c r="U157" s="8" cm="1">
        <f t="array" ref="U157">_xlfn.SWITCH(K157,200,_xlfn.XLOOKUP(J157,EOL_R!$C$18:$N$18,EOL_R!$C$20:$N$20) + _xlfn.XLOOKUP(B157&amp;"|"&amp;E157,
        Calculate_cap_emi_sens!$L$14:$L$21&amp;"|"&amp;Calculate_cap_emi_sens!$I$14:$I$21,
        Calculate_cap_emi_sens!$BD$14:$BD$21, "Not found", 0), LOOKUP(K157,EOL_R!$C$24:$D$24,EOL_R!$C$26:$D$26) + _xlfn.XLOOKUP(J157,EOL_R!$C$18:$N$18,EOL_R!$C$20:$N$20) + _xlfn.XLOOKUP(B157&amp;"|"&amp;E157,
        Calculate_cap_emi_sens!$L$14:$L$21&amp;"|"&amp;Calculate_cap_emi_sens!$I$14:$I$21,
        Calculate_cap_emi_sens!$BD$14:$BD$21, "Not found", 0))</f>
        <v>603.8872377184108</v>
      </c>
      <c r="V157" s="8" cm="1">
        <f t="array" ref="V157">_xlfn.SWITCH(K157,200,_xlfn.XLOOKUP(J157,Other_R!$C$18:$N$18,Other_R!$C$20:$N$20) + _xlfn.XLOOKUP(B157&amp;"|"&amp;E157,
        Calculate_cap_emi_sens!$L$14:$L$21&amp;"|"&amp;Calculate_cap_emi_sens!$I$14:$I$21,
        Calculate_cap_emi_sens!$BK$14:$BK$21, "Not found", 0), LOOKUP(K157,Other_R!$C$24:$D$24,Other_R!$C$26:$D$26) + _xlfn.XLOOKUP(J157,Other_R!$C$18:$N$18,Other_R!$C$20:$N$20) + _xlfn.XLOOKUP(B157&amp;"|"&amp;E157,
        Calculate_cap_emi_sens!$L$14:$L$21&amp;"|"&amp;Calculate_cap_emi_sens!$I$14:$I$21,
        Calculate_cap_emi_sens!$BK$14:$BK$21, "Not found", 0))</f>
        <v>1549.5532771646347</v>
      </c>
      <c r="W157" s="5">
        <f>Results_proc_ener!L157</f>
        <v>110486.96142638377</v>
      </c>
      <c r="X157" s="5">
        <f>Results_proc_ener!M157</f>
        <v>49760.002199565621</v>
      </c>
      <c r="Y157" s="5">
        <f>Results_proc_ener!N157</f>
        <v>20573.31818181818</v>
      </c>
      <c r="Z157" s="5">
        <f>Results_proc_ener!O157</f>
        <v>40153.641044999968</v>
      </c>
      <c r="AA157" s="5">
        <f>Results_proc_ener!P157</f>
        <v>110486.96142638377</v>
      </c>
      <c r="AB157" s="5">
        <f>Results_proc_ener!Q157</f>
        <v>2733.0974891869</v>
      </c>
      <c r="AC157" s="5">
        <f>Results_proc_ener!R157</f>
        <v>204.32829981178827</v>
      </c>
      <c r="AD157" s="5">
        <f>Results_proc_ener!S157</f>
        <v>25296.238708363635</v>
      </c>
      <c r="AE157" s="5">
        <f>Results_proc_ener!T157</f>
        <v>57409.520125237199</v>
      </c>
    </row>
    <row r="158" spans="1:31" x14ac:dyDescent="0.25">
      <c r="A158" s="5"/>
      <c r="B158" s="5" t="str">
        <f t="shared" si="10"/>
        <v>Mass-H1</v>
      </c>
      <c r="C158" s="5" t="s">
        <v>37</v>
      </c>
      <c r="D158" s="5" t="str">
        <f t="shared" si="9"/>
        <v>H1</v>
      </c>
      <c r="E158" s="5" t="s">
        <v>3</v>
      </c>
      <c r="F158" s="5" t="s">
        <v>57</v>
      </c>
      <c r="G158" s="5" t="s">
        <v>57</v>
      </c>
      <c r="H158" s="5">
        <v>11.2</v>
      </c>
      <c r="I158" s="5"/>
      <c r="J158" s="5">
        <f t="shared" si="11"/>
        <v>12</v>
      </c>
      <c r="K158" s="5">
        <v>1000</v>
      </c>
      <c r="L158" s="8" cm="1">
        <f t="array" ref="L158">_xlfn.SWITCH(K158,200,_xlfn.XLOOKUP(J158,Manufacture!$C$18:$N$18,Manufacture!$C$20:$N$20) + _xlfn.XLOOKUP(B158&amp;"|"&amp;E158,
        Calculate_cap_emi!$L$14:$L$21&amp;"|"&amp;Calculate_cap_emi!$I$14:$I$21,
        Calculate_cap_emi!$AI$14:$AI$21, "Not found", 0), LOOKUP(K158,Manufacture!$C$24:$D$24,Manufacture!$C$26:$D$26) + _xlfn.XLOOKUP(J158,Manufacture!$C$18:$N$18,Manufacture!$C$20:$N$20) + _xlfn.XLOOKUP(B158&amp;"|"&amp;E158,
        Calculate_cap_emi!$L$14:$L$21&amp;"|"&amp;Calculate_cap_emi!$I$14:$I$21,
        Calculate_cap_emi!$AI$14:$AI$21, "Not found", 0))</f>
        <v>3806.5113782455237</v>
      </c>
      <c r="M158" s="8">
        <f>LOOKUP(J158,Manufacture!$C$18:$N$18,Manufacture!$C$20:$N$20)</f>
        <v>1988.4282352941175</v>
      </c>
      <c r="N158" s="8" cm="1">
        <f t="array" ref="N158">_xlfn.SWITCH(K158,200,0,LOOKUP(K158,Manufacture!$C$24:$D$24,Manufacture!$C$26:$D$26))</f>
        <v>659.59090909090912</v>
      </c>
      <c r="O158" s="5" cm="1">
        <f t="array" ref="O158">_xlfn.XLOOKUP(B158&amp;"|"&amp;E158,
        Calculate_cap_emi!$L$14:$L$21&amp;"|"&amp;Calculate_cap_emi!$I$14:$I$21,
        Calculate_cap_emi!$AI$14:$AI$21, "Not found", 0)</f>
        <v>1158.4922338604972</v>
      </c>
      <c r="P158" s="8">
        <f t="shared" si="12"/>
        <v>3806.5113782455237</v>
      </c>
      <c r="Q158" s="8" cm="1">
        <f t="array" ref="Q158">_xlfn.SWITCH(K158,200,_xlfn.XLOOKUP(J158,Distribution!$C$18:$N$18,Distribution!$C$20:$N$20) + _xlfn.XLOOKUP(B158&amp;"|"&amp;E158,
        Calculate_cap_emi!$L$14:$L$21&amp;"|"&amp;Calculate_cap_emi!$I$14:$I$21,
        Calculate_cap_emi!$AP$14:$AP$21, "Not found", 0), LOOKUP(K158,Distribution!$C$24:$D$24,Distribution!$C$26:$D$26) + _xlfn.XLOOKUP(J158,Distribution!$C$18:$N$18,Distribution!$C$20:$N$20) + _xlfn.XLOOKUP(B158&amp;"|"&amp;E158,
        Calculate_cap_emi!$L$14:$L$21&amp;"|"&amp;Calculate_cap_emi!$I$14:$I$21,
        Calculate_cap_emi!$AP$14:$AP$21, "Not found", 0))</f>
        <v>131.18533825094144</v>
      </c>
      <c r="R158" s="8" cm="1">
        <f t="array" ref="R158">_xlfn.SWITCH(K158,200,_xlfn.XLOOKUP(J158,Installation!$C$18:$N$18,Installation!$C$20:$N$20) + _xlfn.XLOOKUP(B158&amp;"|"&amp;E158,
        Calculate_cap_emi!$L$14:$L$21&amp;"|"&amp;Calculate_cap_emi!$I$14:$I$21,
        Calculate_cap_emi!$AW$14:$AW$21, "Not found", 0), LOOKUP(K158,Installation!$C$24:$D$24,Installation!$C$26:$D$26) + _xlfn.XLOOKUP(J158,Installation!$C$18:$N$18,Installation!$C$20:$N$20) + _xlfn.XLOOKUP(B158&amp;"|"&amp;E158,
        Calculate_cap_emi!$L$14:$L$21&amp;"|"&amp;Calculate_cap_emi!$I$14:$I$21,
        Calculate_cap_emi!$AW$14:$AW$21, "Not found", 0))</f>
        <v>127.44723499037765</v>
      </c>
      <c r="S158" s="8" cm="1">
        <f t="array" ref="S158">_xlfn.SWITCH(K158,200,_xlfn.XLOOKUP(J158,EOL!$C$18:$N$18,EOL!$C$20:$N$20) + _xlfn.XLOOKUP(B158&amp;"|"&amp;E158,
        Calculate_cap_emi!$L$14:$L$21&amp;"|"&amp;Calculate_cap_emi!$I$14:$I$21,
        Calculate_cap_emi!$BD$14:$BD$21, "Not found", 0), LOOKUP(K158,EOL!$C$24:$D$24,EOL!$C$26:$D$26) + _xlfn.XLOOKUP(J158,EOL!$C$18:$N$18,EOL!$C$20:$N$20) + _xlfn.XLOOKUP(B158&amp;"|"&amp;E158,
        Calculate_cap_emi!$L$14:$L$21&amp;"|"&amp;Calculate_cap_emi!$I$14:$I$21,
        Calculate_cap_emi!$BD$14:$BD$21, "Not found", 0))</f>
        <v>798.61880196196512</v>
      </c>
      <c r="T158" s="8" cm="1">
        <f t="array" ref="T158">_xlfn.SWITCH(K158,200,_xlfn.XLOOKUP(J158,Other!$C$18:$N$18,Other!$C$20:$N$20) + _xlfn.XLOOKUP(B158&amp;"|"&amp;E158,
        Calculate_cap_emi!$L$14:$L$21&amp;"|"&amp;Calculate_cap_emi!$I$14:$I$21,
        Calculate_cap_emi!$BK$14:$BK$21, "Not found", 0), LOOKUP(K158,Other!$C$24:$D$24,Other!$C$26:$D$26) + _xlfn.XLOOKUP(J158,Other!$C$18:$N$18,Other!$C$20:$N$20) + _xlfn.XLOOKUP(B158&amp;"|"&amp;E158,
        Calculate_cap_emi!$L$14:$L$21&amp;"|"&amp;Calculate_cap_emi!$I$14:$I$21,
        Calculate_cap_emi!$BK$14:$BK$21, "Not found", 0))</f>
        <v>2068.0899978981242</v>
      </c>
      <c r="U158" s="8" cm="1">
        <f t="array" ref="U158">_xlfn.SWITCH(K158,200,_xlfn.XLOOKUP(J158,EOL_R!$C$18:$N$18,EOL_R!$C$20:$N$20) + _xlfn.XLOOKUP(B158&amp;"|"&amp;E158,
        Calculate_cap_emi_sens!$L$14:$L$21&amp;"|"&amp;Calculate_cap_emi_sens!$I$14:$I$21,
        Calculate_cap_emi_sens!$BD$14:$BD$21, "Not found", 0), LOOKUP(K158,EOL_R!$C$24:$D$24,EOL_R!$C$26:$D$26) + _xlfn.XLOOKUP(J158,EOL_R!$C$18:$N$18,EOL_R!$C$20:$N$20) + _xlfn.XLOOKUP(B158&amp;"|"&amp;E158,
        Calculate_cap_emi_sens!$L$14:$L$21&amp;"|"&amp;Calculate_cap_emi_sens!$I$14:$I$21,
        Calculate_cap_emi_sens!$BD$14:$BD$21, "Not found", 0))</f>
        <v>628.05754024729072</v>
      </c>
      <c r="V158" s="8" cm="1">
        <f t="array" ref="V158">_xlfn.SWITCH(K158,200,_xlfn.XLOOKUP(J158,Other_R!$C$18:$N$18,Other_R!$C$20:$N$20) + _xlfn.XLOOKUP(B158&amp;"|"&amp;E158,
        Calculate_cap_emi_sens!$L$14:$L$21&amp;"|"&amp;Calculate_cap_emi_sens!$I$14:$I$21,
        Calculate_cap_emi_sens!$BK$14:$BK$21, "Not found", 0), LOOKUP(K158,Other_R!$C$24:$D$24,Other_R!$C$26:$D$26) + _xlfn.XLOOKUP(J158,Other_R!$C$18:$N$18,Other_R!$C$20:$N$20) + _xlfn.XLOOKUP(B158&amp;"|"&amp;E158,
        Calculate_cap_emi_sens!$L$14:$L$21&amp;"|"&amp;Calculate_cap_emi_sens!$I$14:$I$21,
        Calculate_cap_emi_sens!$BK$14:$BK$21, "Not found", 0))</f>
        <v>1564.9351541925473</v>
      </c>
      <c r="W158" s="5">
        <f>Results_proc_ener!L158</f>
        <v>111551.4772272774</v>
      </c>
      <c r="X158" s="5">
        <f>Results_proc_ener!M158</f>
        <v>50824.518000459248</v>
      </c>
      <c r="Y158" s="5">
        <f>Results_proc_ener!N158</f>
        <v>20573.31818181818</v>
      </c>
      <c r="Z158" s="5">
        <f>Results_proc_ener!O158</f>
        <v>40153.641044999968</v>
      </c>
      <c r="AA158" s="5">
        <f>Results_proc_ener!P158</f>
        <v>111551.4772272774</v>
      </c>
      <c r="AB158" s="5">
        <f>Results_proc_ener!Q158</f>
        <v>2831.2103685923498</v>
      </c>
      <c r="AC158" s="5">
        <f>Results_proc_ener!R158</f>
        <v>211.70553459185493</v>
      </c>
      <c r="AD158" s="5">
        <f>Results_proc_ener!S158</f>
        <v>25296.238708363635</v>
      </c>
      <c r="AE158" s="5">
        <f>Results_proc_ener!T158</f>
        <v>57475.189375125621</v>
      </c>
    </row>
    <row r="159" spans="1:31" x14ac:dyDescent="0.25">
      <c r="A159" s="5"/>
      <c r="B159" s="5" t="str">
        <f t="shared" si="10"/>
        <v>Mass-H1</v>
      </c>
      <c r="C159" s="5" t="s">
        <v>37</v>
      </c>
      <c r="D159" s="5" t="str">
        <f t="shared" si="9"/>
        <v>H1</v>
      </c>
      <c r="E159" s="5" t="s">
        <v>3</v>
      </c>
      <c r="F159" s="5" t="s">
        <v>57</v>
      </c>
      <c r="G159" s="5" t="s">
        <v>57</v>
      </c>
      <c r="H159" s="5">
        <v>14</v>
      </c>
      <c r="I159" s="5"/>
      <c r="J159" s="5">
        <f t="shared" si="11"/>
        <v>14</v>
      </c>
      <c r="K159" s="5">
        <v>1000</v>
      </c>
      <c r="L159" s="8" cm="1">
        <f t="array" ref="L159">_xlfn.SWITCH(K159,200,_xlfn.XLOOKUP(J159,Manufacture!$C$18:$N$18,Manufacture!$C$20:$N$20) + _xlfn.XLOOKUP(B159&amp;"|"&amp;E159,
        Calculate_cap_emi!$L$14:$L$21&amp;"|"&amp;Calculate_cap_emi!$I$14:$I$21,
        Calculate_cap_emi!$AI$14:$AI$21, "Not found", 0), LOOKUP(K159,Manufacture!$C$24:$D$24,Manufacture!$C$26:$D$26) + _xlfn.XLOOKUP(J159,Manufacture!$C$18:$N$18,Manufacture!$C$20:$N$20) + _xlfn.XLOOKUP(B159&amp;"|"&amp;E159,
        Calculate_cap_emi!$L$14:$L$21&amp;"|"&amp;Calculate_cap_emi!$I$14:$I$21,
        Calculate_cap_emi!$AI$14:$AI$21, "Not found", 0))</f>
        <v>3885.6937311867005</v>
      </c>
      <c r="M159" s="8">
        <f>LOOKUP(J159,Manufacture!$C$18:$N$18,Manufacture!$C$20:$N$20)</f>
        <v>2067.610588235294</v>
      </c>
      <c r="N159" s="8" cm="1">
        <f t="array" ref="N159">_xlfn.SWITCH(K159,200,0,LOOKUP(K159,Manufacture!$C$24:$D$24,Manufacture!$C$26:$D$26))</f>
        <v>659.59090909090912</v>
      </c>
      <c r="O159" s="5" cm="1">
        <f t="array" ref="O159">_xlfn.XLOOKUP(B159&amp;"|"&amp;E159,
        Calculate_cap_emi!$L$14:$L$21&amp;"|"&amp;Calculate_cap_emi!$I$14:$I$21,
        Calculate_cap_emi!$AI$14:$AI$21, "Not found", 0)</f>
        <v>1158.4922338604972</v>
      </c>
      <c r="P159" s="8">
        <f t="shared" si="12"/>
        <v>3885.6937311867005</v>
      </c>
      <c r="Q159" s="8" cm="1">
        <f t="array" ref="Q159">_xlfn.SWITCH(K159,200,_xlfn.XLOOKUP(J159,Distribution!$C$18:$N$18,Distribution!$C$20:$N$20) + _xlfn.XLOOKUP(B159&amp;"|"&amp;E159,
        Calculate_cap_emi!$L$14:$L$21&amp;"|"&amp;Calculate_cap_emi!$I$14:$I$21,
        Calculate_cap_emi!$AP$14:$AP$21, "Not found", 0), LOOKUP(K159,Distribution!$C$24:$D$24,Distribution!$C$26:$D$26) + _xlfn.XLOOKUP(J159,Distribution!$C$18:$N$18,Distribution!$C$20:$N$20) + _xlfn.XLOOKUP(B159&amp;"|"&amp;E159,
        Calculate_cap_emi!$L$14:$L$21&amp;"|"&amp;Calculate_cap_emi!$I$14:$I$21,
        Calculate_cap_emi!$AP$14:$AP$21, "Not found", 0))</f>
        <v>134.273760079412</v>
      </c>
      <c r="R159" s="8" cm="1">
        <f t="array" ref="R159">_xlfn.SWITCH(K159,200,_xlfn.XLOOKUP(J159,Installation!$C$18:$N$18,Installation!$C$20:$N$20) + _xlfn.XLOOKUP(B159&amp;"|"&amp;E159,
        Calculate_cap_emi!$L$14:$L$21&amp;"|"&amp;Calculate_cap_emi!$I$14:$I$21,
        Calculate_cap_emi!$AW$14:$AW$21, "Not found", 0), LOOKUP(K159,Installation!$C$24:$D$24,Installation!$C$26:$D$26) + _xlfn.XLOOKUP(J159,Installation!$C$18:$N$18,Installation!$C$20:$N$20) + _xlfn.XLOOKUP(B159&amp;"|"&amp;E159,
        Calculate_cap_emi!$L$14:$L$21&amp;"|"&amp;Calculate_cap_emi!$I$14:$I$21,
        Calculate_cap_emi!$AW$14:$AW$21, "Not found", 0))</f>
        <v>132.36539151042217</v>
      </c>
      <c r="S159" s="8" cm="1">
        <f t="array" ref="S159">_xlfn.SWITCH(K159,200,_xlfn.XLOOKUP(J159,EOL!$C$18:$N$18,EOL!$C$20:$N$20) + _xlfn.XLOOKUP(B159&amp;"|"&amp;E159,
        Calculate_cap_emi!$L$14:$L$21&amp;"|"&amp;Calculate_cap_emi!$I$14:$I$21,
        Calculate_cap_emi!$BD$14:$BD$21, "Not found", 0), LOOKUP(K159,EOL!$C$24:$D$24,EOL!$C$26:$D$26) + _xlfn.XLOOKUP(J159,EOL!$C$18:$N$18,EOL!$C$20:$N$20) + _xlfn.XLOOKUP(B159&amp;"|"&amp;E159,
        Calculate_cap_emi!$L$14:$L$21&amp;"|"&amp;Calculate_cap_emi!$I$14:$I$21,
        Calculate_cap_emi!$BD$14:$BD$21, "Not found", 0))</f>
        <v>828.39927255020052</v>
      </c>
      <c r="T159" s="8" cm="1">
        <f t="array" ref="T159">_xlfn.SWITCH(K159,200,_xlfn.XLOOKUP(J159,Other!$C$18:$N$18,Other!$C$20:$N$20) + _xlfn.XLOOKUP(B159&amp;"|"&amp;E159,
        Calculate_cap_emi!$L$14:$L$21&amp;"|"&amp;Calculate_cap_emi!$I$14:$I$21,
        Calculate_cap_emi!$BK$14:$BK$21, "Not found", 0), LOOKUP(K159,Other!$C$24:$D$24,Other!$C$26:$D$26) + _xlfn.XLOOKUP(J159,Other!$C$18:$N$18,Other!$C$20:$N$20) + _xlfn.XLOOKUP(B159&amp;"|"&amp;E159,
        Calculate_cap_emi!$L$14:$L$21&amp;"|"&amp;Calculate_cap_emi!$I$14:$I$21,
        Calculate_cap_emi!$BK$14:$BK$21, "Not found", 0))</f>
        <v>2111.8694978237381</v>
      </c>
      <c r="U159" s="8" cm="1">
        <f t="array" ref="U159">_xlfn.SWITCH(K159,200,_xlfn.XLOOKUP(J159,EOL_R!$C$18:$N$18,EOL_R!$C$20:$N$20) + _xlfn.XLOOKUP(B159&amp;"|"&amp;E159,
        Calculate_cap_emi_sens!$L$14:$L$21&amp;"|"&amp;Calculate_cap_emi_sens!$I$14:$I$21,
        Calculate_cap_emi_sens!$BD$14:$BD$21, "Not found", 0), LOOKUP(K159,EOL_R!$C$24:$D$24,EOL_R!$C$26:$D$26) + _xlfn.XLOOKUP(J159,EOL_R!$C$18:$N$18,EOL_R!$C$20:$N$20) + _xlfn.XLOOKUP(B159&amp;"|"&amp;E159,
        Calculate_cap_emi_sens!$L$14:$L$21&amp;"|"&amp;Calculate_cap_emi_sens!$I$14:$I$21,
        Calculate_cap_emi_sens!$BD$14:$BD$21, "Not found", 0))</f>
        <v>646.85313754558342</v>
      </c>
      <c r="V159" s="8" cm="1">
        <f t="array" ref="V159">_xlfn.SWITCH(K159,200,_xlfn.XLOOKUP(J159,Other_R!$C$18:$N$18,Other_R!$C$20:$N$20) + _xlfn.XLOOKUP(B159&amp;"|"&amp;E159,
        Calculate_cap_emi_sens!$L$14:$L$21&amp;"|"&amp;Calculate_cap_emi_sens!$I$14:$I$21,
        Calculate_cap_emi_sens!$BK$14:$BK$21, "Not found", 0), LOOKUP(K159,Other_R!$C$24:$D$24,Other_R!$C$26:$D$26) + _xlfn.XLOOKUP(J159,Other_R!$C$18:$N$18,Other_R!$C$20:$N$20) + _xlfn.XLOOKUP(B159&amp;"|"&amp;E159,
        Calculate_cap_emi_sens!$L$14:$L$21&amp;"|"&amp;Calculate_cap_emi_sens!$I$14:$I$21,
        Calculate_cap_emi_sens!$BK$14:$BK$21, "Not found", 0))</f>
        <v>1581.7688223980645</v>
      </c>
      <c r="W159" s="5">
        <f>Results_proc_ener!L159</f>
        <v>112261.15442787307</v>
      </c>
      <c r="X159" s="5">
        <f>Results_proc_ener!M159</f>
        <v>51534.195201054921</v>
      </c>
      <c r="Y159" s="5">
        <f>Results_proc_ener!N159</f>
        <v>20573.31818181818</v>
      </c>
      <c r="Z159" s="5">
        <f>Results_proc_ener!O159</f>
        <v>40153.641044999968</v>
      </c>
      <c r="AA159" s="5">
        <f>Results_proc_ener!P159</f>
        <v>112261.15442787307</v>
      </c>
      <c r="AB159" s="5">
        <f>Results_proc_ener!Q159</f>
        <v>2896.6189548626498</v>
      </c>
      <c r="AC159" s="5">
        <f>Results_proc_ener!R159</f>
        <v>216.62369111189946</v>
      </c>
      <c r="AD159" s="5">
        <f>Results_proc_ener!S159</f>
        <v>25296.238708363635</v>
      </c>
      <c r="AE159" s="5">
        <f>Results_proc_ener!T159</f>
        <v>57518.968875051236</v>
      </c>
    </row>
    <row r="160" spans="1:31" x14ac:dyDescent="0.25">
      <c r="A160" s="5"/>
      <c r="B160" s="5" t="str">
        <f t="shared" si="10"/>
        <v>Mod-H1</v>
      </c>
      <c r="C160" s="5" t="s">
        <v>38</v>
      </c>
      <c r="D160" s="5" t="str">
        <f t="shared" si="9"/>
        <v>H1</v>
      </c>
      <c r="E160" s="5" t="s">
        <v>3</v>
      </c>
      <c r="F160" s="5" t="s">
        <v>54</v>
      </c>
      <c r="G160" s="5" t="s">
        <v>54</v>
      </c>
      <c r="H160" s="5">
        <v>8.5</v>
      </c>
      <c r="I160" s="5"/>
      <c r="J160" s="5">
        <f t="shared" si="11"/>
        <v>9</v>
      </c>
      <c r="K160" s="5">
        <v>200</v>
      </c>
      <c r="L160" s="8" cm="1">
        <f t="array" ref="L160">_xlfn.SWITCH(K160,200,_xlfn.XLOOKUP(J160,Manufacture!$C$18:$N$18,Manufacture!$C$20:$N$20) + _xlfn.XLOOKUP(B160&amp;"|"&amp;E160,
        Calculate_cap_emi!$L$14:$L$21&amp;"|"&amp;Calculate_cap_emi!$I$14:$I$21,
        Calculate_cap_emi!$AI$14:$AI$21, "Not found", 0), LOOKUP(K160,Manufacture!$C$24:$D$24,Manufacture!$C$26:$D$26) + _xlfn.XLOOKUP(J160,Manufacture!$C$18:$N$18,Manufacture!$C$20:$N$20) + _xlfn.XLOOKUP(B160&amp;"|"&amp;E160,
        Calculate_cap_emi!$L$14:$L$21&amp;"|"&amp;Calculate_cap_emi!$I$14:$I$21,
        Calculate_cap_emi!$AI$14:$AI$21, "Not found", 0))</f>
        <v>3385.4835140853947</v>
      </c>
      <c r="M160" s="8">
        <f>LOOKUP(J160,Manufacture!$C$18:$N$18,Manufacture!$C$20:$N$20)</f>
        <v>1869.654705882353</v>
      </c>
      <c r="N160" s="8" cm="1">
        <f t="array" ref="N160">_xlfn.SWITCH(K160,200,0,LOOKUP(K160,Manufacture!$C$24:$D$24,Manufacture!$C$26:$D$26))</f>
        <v>0</v>
      </c>
      <c r="O160" s="5" cm="1">
        <f t="array" ref="O160">_xlfn.XLOOKUP(B160&amp;"|"&amp;E160,
        Calculate_cap_emi!$L$14:$L$21&amp;"|"&amp;Calculate_cap_emi!$I$14:$I$21,
        Calculate_cap_emi!$AI$14:$AI$21, "Not found", 0)</f>
        <v>1515.8288082030419</v>
      </c>
      <c r="P160" s="8">
        <f t="shared" si="12"/>
        <v>3385.4835140853947</v>
      </c>
      <c r="Q160" s="8" cm="1">
        <f t="array" ref="Q160">_xlfn.SWITCH(K160,200,_xlfn.XLOOKUP(J160,Distribution!$C$18:$N$18,Distribution!$C$20:$N$20) + _xlfn.XLOOKUP(B160&amp;"|"&amp;E160,
        Calculate_cap_emi!$L$14:$L$21&amp;"|"&amp;Calculate_cap_emi!$I$14:$I$21,
        Calculate_cap_emi!$AP$14:$AP$21, "Not found", 0), LOOKUP(K160,Distribution!$C$24:$D$24,Distribution!$C$26:$D$26) + _xlfn.XLOOKUP(J160,Distribution!$C$18:$N$18,Distribution!$C$20:$N$20) + _xlfn.XLOOKUP(B160&amp;"|"&amp;E160,
        Calculate_cap_emi!$L$14:$L$21&amp;"|"&amp;Calculate_cap_emi!$I$14:$I$21,
        Calculate_cap_emi!$AP$14:$AP$21, "Not found", 0))</f>
        <v>120.68143197269364</v>
      </c>
      <c r="R160" s="8" cm="1">
        <f t="array" ref="R160">_xlfn.SWITCH(K160,200,_xlfn.XLOOKUP(J160,Installation!$C$18:$N$18,Installation!$C$20:$N$20) + _xlfn.XLOOKUP(B160&amp;"|"&amp;E160,
        Calculate_cap_emi!$L$14:$L$21&amp;"|"&amp;Calculate_cap_emi!$I$14:$I$21,
        Calculate_cap_emi!$AW$14:$AW$21, "Not found", 0), LOOKUP(K160,Installation!$C$24:$D$24,Installation!$C$26:$D$26) + _xlfn.XLOOKUP(J160,Installation!$C$18:$N$18,Installation!$C$20:$N$20) + _xlfn.XLOOKUP(B160&amp;"|"&amp;E160,
        Calculate_cap_emi!$L$14:$L$21&amp;"|"&amp;Calculate_cap_emi!$I$14:$I$21,
        Calculate_cap_emi!$AW$14:$AW$21, "Not found", 0))</f>
        <v>108.94816265795303</v>
      </c>
      <c r="S160" s="8" cm="1">
        <f t="array" ref="S160">_xlfn.SWITCH(K160,200,_xlfn.XLOOKUP(J160,EOL!$C$18:$N$18,EOL!$C$20:$N$20) + _xlfn.XLOOKUP(B160&amp;"|"&amp;E160,
        Calculate_cap_emi!$L$14:$L$21&amp;"|"&amp;Calculate_cap_emi!$I$14:$I$21,
        Calculate_cap_emi!$BD$14:$BD$21, "Not found", 0), LOOKUP(K160,EOL!$C$24:$D$24,EOL!$C$26:$D$26) + _xlfn.XLOOKUP(J160,EOL!$C$18:$N$18,EOL!$C$20:$N$20) + _xlfn.XLOOKUP(B160&amp;"|"&amp;E160,
        Calculate_cap_emi!$L$14:$L$21&amp;"|"&amp;Calculate_cap_emi!$I$14:$I$21,
        Calculate_cap_emi!$BD$14:$BD$21, "Not found", 0))</f>
        <v>541.69640417966912</v>
      </c>
      <c r="T160" s="8" cm="1">
        <f t="array" ref="T160">_xlfn.SWITCH(K160,200,_xlfn.XLOOKUP(J160,Other!$C$18:$N$18,Other!$C$20:$N$20) + _xlfn.XLOOKUP(B160&amp;"|"&amp;E160,
        Calculate_cap_emi!$L$14:$L$21&amp;"|"&amp;Calculate_cap_emi!$I$14:$I$21,
        Calculate_cap_emi!$BK$14:$BK$21, "Not found", 0), LOOKUP(K160,Other!$C$24:$D$24,Other!$C$26:$D$26) + _xlfn.XLOOKUP(J160,Other!$C$18:$N$18,Other!$C$20:$N$20) + _xlfn.XLOOKUP(B160&amp;"|"&amp;E160,
        Calculate_cap_emi!$L$14:$L$21&amp;"|"&amp;Calculate_cap_emi!$I$14:$I$21,
        Calculate_cap_emi!$BK$14:$BK$21, "Not found", 0))</f>
        <v>2340.9083816940783</v>
      </c>
      <c r="U160" s="8" cm="1">
        <f t="array" ref="U160">_xlfn.SWITCH(K160,200,_xlfn.XLOOKUP(J160,EOL_R!$C$18:$N$18,EOL_R!$C$20:$N$20) + _xlfn.XLOOKUP(B160&amp;"|"&amp;E160,
        Calculate_cap_emi_sens!$L$14:$L$21&amp;"|"&amp;Calculate_cap_emi_sens!$I$14:$I$21,
        Calculate_cap_emi_sens!$BD$14:$BD$21, "Not found", 0), LOOKUP(K160,EOL_R!$C$24:$D$24,EOL_R!$C$26:$D$26) + _xlfn.XLOOKUP(J160,EOL_R!$C$18:$N$18,EOL_R!$C$20:$N$20) + _xlfn.XLOOKUP(B160&amp;"|"&amp;E160,
        Calculate_cap_emi_sens!$L$14:$L$21&amp;"|"&amp;Calculate_cap_emi_sens!$I$14:$I$21,
        Calculate_cap_emi_sens!$BD$14:$BD$21, "Not found", 0))</f>
        <v>391.63554581846762</v>
      </c>
      <c r="V160" s="8" cm="1">
        <f t="array" ref="V160">_xlfn.SWITCH(K160,200,_xlfn.XLOOKUP(J160,Other_R!$C$18:$N$18,Other_R!$C$20:$N$20) + _xlfn.XLOOKUP(B160&amp;"|"&amp;E160,
        Calculate_cap_emi_sens!$L$14:$L$21&amp;"|"&amp;Calculate_cap_emi_sens!$I$14:$I$21,
        Calculate_cap_emi_sens!$BK$14:$BK$21, "Not found", 0), LOOKUP(K160,Other_R!$C$24:$D$24,Other_R!$C$26:$D$26) + _xlfn.XLOOKUP(J160,Other_R!$C$18:$N$18,Other_R!$C$20:$N$20) + _xlfn.XLOOKUP(B160&amp;"|"&amp;E160,
        Calculate_cap_emi_sens!$L$14:$L$21&amp;"|"&amp;Calculate_cap_emi_sens!$I$14:$I$21,
        Calculate_cap_emi_sens!$BK$14:$BK$21, "Not found", 0))</f>
        <v>1888.0409108490098</v>
      </c>
      <c r="W160" s="5">
        <f>Results_proc_ener!L160</f>
        <v>102461.64579031555</v>
      </c>
      <c r="X160" s="5">
        <f>Results_proc_ener!M160</f>
        <v>49760.002199565621</v>
      </c>
      <c r="Y160" s="5">
        <f>Results_proc_ener!N160</f>
        <v>0</v>
      </c>
      <c r="Z160" s="5">
        <f>Results_proc_ener!O160</f>
        <v>52701.643590749925</v>
      </c>
      <c r="AA160" s="5">
        <f>Results_proc_ener!P160</f>
        <v>102461.64579031555</v>
      </c>
      <c r="AB160" s="5">
        <f>Results_proc_ener!Q160</f>
        <v>2555.8690790364763</v>
      </c>
      <c r="AC160" s="5">
        <f>Results_proc_ener!R160</f>
        <v>181.24497077514053</v>
      </c>
      <c r="AD160" s="5">
        <f>Results_proc_ener!S160</f>
        <v>5528.3817581999992</v>
      </c>
      <c r="AE160" s="5">
        <f>Results_proc_ener!T160</f>
        <v>73104.755539837191</v>
      </c>
    </row>
    <row r="161" spans="1:31" x14ac:dyDescent="0.25">
      <c r="A161" s="5"/>
      <c r="B161" s="5" t="str">
        <f t="shared" si="10"/>
        <v>Mod-H1</v>
      </c>
      <c r="C161" s="5" t="s">
        <v>38</v>
      </c>
      <c r="D161" s="5" t="str">
        <f t="shared" si="9"/>
        <v>H1</v>
      </c>
      <c r="E161" s="5" t="s">
        <v>3</v>
      </c>
      <c r="F161" s="5" t="s">
        <v>54</v>
      </c>
      <c r="G161" s="5" t="s">
        <v>54</v>
      </c>
      <c r="H161" s="5">
        <v>11.2</v>
      </c>
      <c r="I161" s="5"/>
      <c r="J161" s="5">
        <f t="shared" si="11"/>
        <v>12</v>
      </c>
      <c r="K161" s="5">
        <v>200</v>
      </c>
      <c r="L161" s="8" cm="1">
        <f t="array" ref="L161">_xlfn.SWITCH(K161,200,_xlfn.XLOOKUP(J161,Manufacture!$C$18:$N$18,Manufacture!$C$20:$N$20) + _xlfn.XLOOKUP(B161&amp;"|"&amp;E161,
        Calculate_cap_emi!$L$14:$L$21&amp;"|"&amp;Calculate_cap_emi!$I$14:$I$21,
        Calculate_cap_emi!$AI$14:$AI$21, "Not found", 0), LOOKUP(K161,Manufacture!$C$24:$D$24,Manufacture!$C$26:$D$26) + _xlfn.XLOOKUP(J161,Manufacture!$C$18:$N$18,Manufacture!$C$20:$N$20) + _xlfn.XLOOKUP(B161&amp;"|"&amp;E161,
        Calculate_cap_emi!$L$14:$L$21&amp;"|"&amp;Calculate_cap_emi!$I$14:$I$21,
        Calculate_cap_emi!$AI$14:$AI$21, "Not found", 0))</f>
        <v>3504.2570434971594</v>
      </c>
      <c r="M161" s="8">
        <f>LOOKUP(J161,Manufacture!$C$18:$N$18,Manufacture!$C$20:$N$20)</f>
        <v>1988.4282352941175</v>
      </c>
      <c r="N161" s="8" cm="1">
        <f t="array" ref="N161">_xlfn.SWITCH(K161,200,0,LOOKUP(K161,Manufacture!$C$24:$D$24,Manufacture!$C$26:$D$26))</f>
        <v>0</v>
      </c>
      <c r="O161" s="5" cm="1">
        <f t="array" ref="O161">_xlfn.XLOOKUP(B161&amp;"|"&amp;E161,
        Calculate_cap_emi!$L$14:$L$21&amp;"|"&amp;Calculate_cap_emi!$I$14:$I$21,
        Calculate_cap_emi!$AI$14:$AI$21, "Not found", 0)</f>
        <v>1515.8288082030419</v>
      </c>
      <c r="P161" s="8">
        <f t="shared" si="12"/>
        <v>3504.2570434971594</v>
      </c>
      <c r="Q161" s="8" cm="1">
        <f t="array" ref="Q161">_xlfn.SWITCH(K161,200,_xlfn.XLOOKUP(J161,Distribution!$C$18:$N$18,Distribution!$C$20:$N$20) + _xlfn.XLOOKUP(B161&amp;"|"&amp;E161,
        Calculate_cap_emi!$L$14:$L$21&amp;"|"&amp;Calculate_cap_emi!$I$14:$I$21,
        Calculate_cap_emi!$AP$14:$AP$21, "Not found", 0), LOOKUP(K161,Distribution!$C$24:$D$24,Distribution!$C$26:$D$26) + _xlfn.XLOOKUP(J161,Distribution!$C$18:$N$18,Distribution!$C$20:$N$20) + _xlfn.XLOOKUP(B161&amp;"|"&amp;E161,
        Calculate_cap_emi!$L$14:$L$21&amp;"|"&amp;Calculate_cap_emi!$I$14:$I$21,
        Calculate_cap_emi!$AP$14:$AP$21, "Not found", 0))</f>
        <v>125.31406471539952</v>
      </c>
      <c r="R161" s="8" cm="1">
        <f t="array" ref="R161">_xlfn.SWITCH(K161,200,_xlfn.XLOOKUP(J161,Installation!$C$18:$N$18,Installation!$C$20:$N$20) + _xlfn.XLOOKUP(B161&amp;"|"&amp;E161,
        Calculate_cap_emi!$L$14:$L$21&amp;"|"&amp;Calculate_cap_emi!$I$14:$I$21,
        Calculate_cap_emi!$AW$14:$AW$21, "Not found", 0), LOOKUP(K161,Installation!$C$24:$D$24,Installation!$C$26:$D$26) + _xlfn.XLOOKUP(J161,Installation!$C$18:$N$18,Installation!$C$20:$N$20) + _xlfn.XLOOKUP(B161&amp;"|"&amp;E161,
        Calculate_cap_emi!$L$14:$L$21&amp;"|"&amp;Calculate_cap_emi!$I$14:$I$21,
        Calculate_cap_emi!$AW$14:$AW$21, "Not found", 0))</f>
        <v>116.32539743801971</v>
      </c>
      <c r="S161" s="8" cm="1">
        <f t="array" ref="S161">_xlfn.SWITCH(K161,200,_xlfn.XLOOKUP(J161,EOL!$C$18:$N$18,EOL!$C$20:$N$20) + _xlfn.XLOOKUP(B161&amp;"|"&amp;E161,
        Calculate_cap_emi!$L$14:$L$21&amp;"|"&amp;Calculate_cap_emi!$I$14:$I$21,
        Calculate_cap_emi!$BD$14:$BD$21, "Not found", 0), LOOKUP(K161,EOL!$C$24:$D$24,EOL!$C$26:$D$26) + _xlfn.XLOOKUP(J161,EOL!$C$18:$N$18,EOL!$C$20:$N$20) + _xlfn.XLOOKUP(B161&amp;"|"&amp;E161,
        Calculate_cap_emi!$L$14:$L$21&amp;"|"&amp;Calculate_cap_emi!$I$14:$I$21,
        Calculate_cap_emi!$BD$14:$BD$21, "Not found", 0))</f>
        <v>586.36711006202199</v>
      </c>
      <c r="T161" s="8" cm="1">
        <f t="array" ref="T161">_xlfn.SWITCH(K161,200,_xlfn.XLOOKUP(J161,Other!$C$18:$N$18,Other!$C$20:$N$20) + _xlfn.XLOOKUP(B161&amp;"|"&amp;E161,
        Calculate_cap_emi!$L$14:$L$21&amp;"|"&amp;Calculate_cap_emi!$I$14:$I$21,
        Calculate_cap_emi!$BK$14:$BK$21, "Not found", 0), LOOKUP(K161,Other!$C$24:$D$24,Other!$C$26:$D$26) + _xlfn.XLOOKUP(J161,Other!$C$18:$N$18,Other!$C$20:$N$20) + _xlfn.XLOOKUP(B161&amp;"|"&amp;E161,
        Calculate_cap_emi!$L$14:$L$21&amp;"|"&amp;Calculate_cap_emi!$I$14:$I$21,
        Calculate_cap_emi!$BK$14:$BK$21, "Not found", 0))</f>
        <v>2406.5776315824996</v>
      </c>
      <c r="U161" s="8" cm="1">
        <f t="array" ref="U161">_xlfn.SWITCH(K161,200,_xlfn.XLOOKUP(J161,EOL_R!$C$18:$N$18,EOL_R!$C$20:$N$20) + _xlfn.XLOOKUP(B161&amp;"|"&amp;E161,
        Calculate_cap_emi_sens!$L$14:$L$21&amp;"|"&amp;Calculate_cap_emi_sens!$I$14:$I$21,
        Calculate_cap_emi_sens!$BD$14:$BD$21, "Not found", 0), LOOKUP(K161,EOL_R!$C$24:$D$24,EOL_R!$C$26:$D$26) + _xlfn.XLOOKUP(J161,EOL_R!$C$18:$N$18,EOL_R!$C$20:$N$20) + _xlfn.XLOOKUP(B161&amp;"|"&amp;E161,
        Calculate_cap_emi_sens!$L$14:$L$21&amp;"|"&amp;Calculate_cap_emi_sens!$I$14:$I$21,
        Calculate_cap_emi_sens!$BD$14:$BD$21, "Not found", 0))</f>
        <v>415.80584834734748</v>
      </c>
      <c r="V161" s="8" cm="1">
        <f t="array" ref="V161">_xlfn.SWITCH(K161,200,_xlfn.XLOOKUP(J161,Other_R!$C$18:$N$18,Other_R!$C$20:$N$20) + _xlfn.XLOOKUP(B161&amp;"|"&amp;E161,
        Calculate_cap_emi_sens!$L$14:$L$21&amp;"|"&amp;Calculate_cap_emi_sens!$I$14:$I$21,
        Calculate_cap_emi_sens!$BK$14:$BK$21, "Not found", 0), LOOKUP(K161,Other_R!$C$24:$D$24,Other_R!$C$26:$D$26) + _xlfn.XLOOKUP(J161,Other_R!$C$18:$N$18,Other_R!$C$20:$N$20) + _xlfn.XLOOKUP(B161&amp;"|"&amp;E161,
        Calculate_cap_emi_sens!$L$14:$L$21&amp;"|"&amp;Calculate_cap_emi_sens!$I$14:$I$21,
        Calculate_cap_emi_sens!$BK$14:$BK$21, "Not found", 0))</f>
        <v>1903.4227878769225</v>
      </c>
      <c r="W161" s="5">
        <f>Results_proc_ener!L161</f>
        <v>103526.16159120918</v>
      </c>
      <c r="X161" s="5">
        <f>Results_proc_ener!M161</f>
        <v>50824.518000459248</v>
      </c>
      <c r="Y161" s="5">
        <f>Results_proc_ener!N161</f>
        <v>0</v>
      </c>
      <c r="Z161" s="5">
        <f>Results_proc_ener!O161</f>
        <v>52701.643590749925</v>
      </c>
      <c r="AA161" s="5">
        <f>Results_proc_ener!P161</f>
        <v>103526.16159120918</v>
      </c>
      <c r="AB161" s="5">
        <f>Results_proc_ener!Q161</f>
        <v>2653.9819584419261</v>
      </c>
      <c r="AC161" s="5">
        <f>Results_proc_ener!R161</f>
        <v>188.62220555520722</v>
      </c>
      <c r="AD161" s="5">
        <f>Results_proc_ener!S161</f>
        <v>5528.3817581999992</v>
      </c>
      <c r="AE161" s="5">
        <f>Results_proc_ener!T161</f>
        <v>73170.424789725614</v>
      </c>
    </row>
    <row r="162" spans="1:31" x14ac:dyDescent="0.25">
      <c r="A162" s="5"/>
      <c r="B162" s="5" t="str">
        <f t="shared" si="10"/>
        <v>Mod-H1</v>
      </c>
      <c r="C162" s="5" t="s">
        <v>38</v>
      </c>
      <c r="D162" s="5" t="str">
        <f t="shared" si="9"/>
        <v>H1</v>
      </c>
      <c r="E162" s="5" t="s">
        <v>3</v>
      </c>
      <c r="F162" s="5" t="s">
        <v>54</v>
      </c>
      <c r="G162" s="5" t="s">
        <v>54</v>
      </c>
      <c r="H162" s="5">
        <v>14</v>
      </c>
      <c r="I162" s="5"/>
      <c r="J162" s="5">
        <f t="shared" si="11"/>
        <v>14</v>
      </c>
      <c r="K162" s="5">
        <v>200</v>
      </c>
      <c r="L162" s="8" cm="1">
        <f t="array" ref="L162">_xlfn.SWITCH(K162,200,_xlfn.XLOOKUP(J162,Manufacture!$C$18:$N$18,Manufacture!$C$20:$N$20) + _xlfn.XLOOKUP(B162&amp;"|"&amp;E162,
        Calculate_cap_emi!$L$14:$L$21&amp;"|"&amp;Calculate_cap_emi!$I$14:$I$21,
        Calculate_cap_emi!$AI$14:$AI$21, "Not found", 0), LOOKUP(K162,Manufacture!$C$24:$D$24,Manufacture!$C$26:$D$26) + _xlfn.XLOOKUP(J162,Manufacture!$C$18:$N$18,Manufacture!$C$20:$N$20) + _xlfn.XLOOKUP(B162&amp;"|"&amp;E162,
        Calculate_cap_emi!$L$14:$L$21&amp;"|"&amp;Calculate_cap_emi!$I$14:$I$21,
        Calculate_cap_emi!$AI$14:$AI$21, "Not found", 0))</f>
        <v>3583.4393964383362</v>
      </c>
      <c r="M162" s="8">
        <f>LOOKUP(J162,Manufacture!$C$18:$N$18,Manufacture!$C$20:$N$20)</f>
        <v>2067.610588235294</v>
      </c>
      <c r="N162" s="8" cm="1">
        <f t="array" ref="N162">_xlfn.SWITCH(K162,200,0,LOOKUP(K162,Manufacture!$C$24:$D$24,Manufacture!$C$26:$D$26))</f>
        <v>0</v>
      </c>
      <c r="O162" s="5" cm="1">
        <f t="array" ref="O162">_xlfn.XLOOKUP(B162&amp;"|"&amp;E162,
        Calculate_cap_emi!$L$14:$L$21&amp;"|"&amp;Calculate_cap_emi!$I$14:$I$21,
        Calculate_cap_emi!$AI$14:$AI$21, "Not found", 0)</f>
        <v>1515.8288082030419</v>
      </c>
      <c r="P162" s="8">
        <f t="shared" si="12"/>
        <v>3583.4393964383362</v>
      </c>
      <c r="Q162" s="8" cm="1">
        <f t="array" ref="Q162">_xlfn.SWITCH(K162,200,_xlfn.XLOOKUP(J162,Distribution!$C$18:$N$18,Distribution!$C$20:$N$20) + _xlfn.XLOOKUP(B162&amp;"|"&amp;E162,
        Calculate_cap_emi!$L$14:$L$21&amp;"|"&amp;Calculate_cap_emi!$I$14:$I$21,
        Calculate_cap_emi!$AP$14:$AP$21, "Not found", 0), LOOKUP(K162,Distribution!$C$24:$D$24,Distribution!$C$26:$D$26) + _xlfn.XLOOKUP(J162,Distribution!$C$18:$N$18,Distribution!$C$20:$N$20) + _xlfn.XLOOKUP(B162&amp;"|"&amp;E162,
        Calculate_cap_emi!$L$14:$L$21&amp;"|"&amp;Calculate_cap_emi!$I$14:$I$21,
        Calculate_cap_emi!$AP$14:$AP$21, "Not found", 0))</f>
        <v>128.40248654387008</v>
      </c>
      <c r="R162" s="8" cm="1">
        <f t="array" ref="R162">_xlfn.SWITCH(K162,200,_xlfn.XLOOKUP(J162,Installation!$C$18:$N$18,Installation!$C$20:$N$20) + _xlfn.XLOOKUP(B162&amp;"|"&amp;E162,
        Calculate_cap_emi!$L$14:$L$21&amp;"|"&amp;Calculate_cap_emi!$I$14:$I$21,
        Calculate_cap_emi!$AW$14:$AW$21, "Not found", 0), LOOKUP(K162,Installation!$C$24:$D$24,Installation!$C$26:$D$26) + _xlfn.XLOOKUP(J162,Installation!$C$18:$N$18,Installation!$C$20:$N$20) + _xlfn.XLOOKUP(B162&amp;"|"&amp;E162,
        Calculate_cap_emi!$L$14:$L$21&amp;"|"&amp;Calculate_cap_emi!$I$14:$I$21,
        Calculate_cap_emi!$AW$14:$AW$21, "Not found", 0))</f>
        <v>121.24355395806423</v>
      </c>
      <c r="S162" s="8" cm="1">
        <f t="array" ref="S162">_xlfn.SWITCH(K162,200,_xlfn.XLOOKUP(J162,EOL!$C$18:$N$18,EOL!$C$20:$N$20) + _xlfn.XLOOKUP(B162&amp;"|"&amp;E162,
        Calculate_cap_emi!$L$14:$L$21&amp;"|"&amp;Calculate_cap_emi!$I$14:$I$21,
        Calculate_cap_emi!$BD$14:$BD$21, "Not found", 0), LOOKUP(K162,EOL!$C$24:$D$24,EOL!$C$26:$D$26) + _xlfn.XLOOKUP(J162,EOL!$C$18:$N$18,EOL!$C$20:$N$20) + _xlfn.XLOOKUP(B162&amp;"|"&amp;E162,
        Calculate_cap_emi!$L$14:$L$21&amp;"|"&amp;Calculate_cap_emi!$I$14:$I$21,
        Calculate_cap_emi!$BD$14:$BD$21, "Not found", 0))</f>
        <v>616.14758065025728</v>
      </c>
      <c r="T162" s="8" cm="1">
        <f t="array" ref="T162">_xlfn.SWITCH(K162,200,_xlfn.XLOOKUP(J162,Other!$C$18:$N$18,Other!$C$20:$N$20) + _xlfn.XLOOKUP(B162&amp;"|"&amp;E162,
        Calculate_cap_emi!$L$14:$L$21&amp;"|"&amp;Calculate_cap_emi!$I$14:$I$21,
        Calculate_cap_emi!$BK$14:$BK$21, "Not found", 0), LOOKUP(K162,Other!$C$24:$D$24,Other!$C$26:$D$26) + _xlfn.XLOOKUP(J162,Other!$C$18:$N$18,Other!$C$20:$N$20) + _xlfn.XLOOKUP(B162&amp;"|"&amp;E162,
        Calculate_cap_emi!$L$14:$L$21&amp;"|"&amp;Calculate_cap_emi!$I$14:$I$21,
        Calculate_cap_emi!$BK$14:$BK$21, "Not found", 0))</f>
        <v>2450.3571315081131</v>
      </c>
      <c r="U162" s="8" cm="1">
        <f t="array" ref="U162">_xlfn.SWITCH(K162,200,_xlfn.XLOOKUP(J162,EOL_R!$C$18:$N$18,EOL_R!$C$20:$N$20) + _xlfn.XLOOKUP(B162&amp;"|"&amp;E162,
        Calculate_cap_emi_sens!$L$14:$L$21&amp;"|"&amp;Calculate_cap_emi_sens!$I$14:$I$21,
        Calculate_cap_emi_sens!$BD$14:$BD$21, "Not found", 0), LOOKUP(K162,EOL_R!$C$24:$D$24,EOL_R!$C$26:$D$26) + _xlfn.XLOOKUP(J162,EOL_R!$C$18:$N$18,EOL_R!$C$20:$N$20) + _xlfn.XLOOKUP(B162&amp;"|"&amp;E162,
        Calculate_cap_emi_sens!$L$14:$L$21&amp;"|"&amp;Calculate_cap_emi_sens!$I$14:$I$21,
        Calculate_cap_emi_sens!$BD$14:$BD$21, "Not found", 0))</f>
        <v>434.60144564564018</v>
      </c>
      <c r="V162" s="8" cm="1">
        <f t="array" ref="V162">_xlfn.SWITCH(K162,200,_xlfn.XLOOKUP(J162,Other_R!$C$18:$N$18,Other_R!$C$20:$N$20) + _xlfn.XLOOKUP(B162&amp;"|"&amp;E162,
        Calculate_cap_emi_sens!$L$14:$L$21&amp;"|"&amp;Calculate_cap_emi_sens!$I$14:$I$21,
        Calculate_cap_emi_sens!$BK$14:$BK$21, "Not found", 0), LOOKUP(K162,Other_R!$C$24:$D$24,Other_R!$C$26:$D$26) + _xlfn.XLOOKUP(J162,Other_R!$C$18:$N$18,Other_R!$C$20:$N$20) + _xlfn.XLOOKUP(B162&amp;"|"&amp;E162,
        Calculate_cap_emi_sens!$L$14:$L$21&amp;"|"&amp;Calculate_cap_emi_sens!$I$14:$I$21,
        Calculate_cap_emi_sens!$BK$14:$BK$21, "Not found", 0))</f>
        <v>1920.2564560824396</v>
      </c>
      <c r="W162" s="5">
        <f>Results_proc_ener!L162</f>
        <v>104235.83879180485</v>
      </c>
      <c r="X162" s="5">
        <f>Results_proc_ener!M162</f>
        <v>51534.195201054921</v>
      </c>
      <c r="Y162" s="5">
        <f>Results_proc_ener!N162</f>
        <v>0</v>
      </c>
      <c r="Z162" s="5">
        <f>Results_proc_ener!O162</f>
        <v>52701.643590749925</v>
      </c>
      <c r="AA162" s="5">
        <f>Results_proc_ener!P162</f>
        <v>104235.83879180485</v>
      </c>
      <c r="AB162" s="5">
        <f>Results_proc_ener!Q162</f>
        <v>2719.3905447122261</v>
      </c>
      <c r="AC162" s="5">
        <f>Results_proc_ener!R162</f>
        <v>193.54036207525172</v>
      </c>
      <c r="AD162" s="5">
        <f>Results_proc_ener!S162</f>
        <v>5528.3817581999992</v>
      </c>
      <c r="AE162" s="5">
        <f>Results_proc_ener!T162</f>
        <v>73214.204289651228</v>
      </c>
    </row>
    <row r="163" spans="1:31" x14ac:dyDescent="0.25">
      <c r="A163" s="5"/>
      <c r="B163" s="5" t="str">
        <f t="shared" si="10"/>
        <v>Mod-H1</v>
      </c>
      <c r="C163" s="5" t="s">
        <v>38</v>
      </c>
      <c r="D163" s="5" t="str">
        <f t="shared" si="9"/>
        <v>H1</v>
      </c>
      <c r="E163" s="5" t="s">
        <v>3</v>
      </c>
      <c r="F163" s="5" t="s">
        <v>55</v>
      </c>
      <c r="G163" s="5" t="s">
        <v>55</v>
      </c>
      <c r="H163" s="5">
        <v>5</v>
      </c>
      <c r="I163" s="5"/>
      <c r="J163" s="5">
        <f t="shared" si="11"/>
        <v>5</v>
      </c>
      <c r="K163" s="5">
        <v>500</v>
      </c>
      <c r="L163" s="8" cm="1">
        <f t="array" ref="L163">_xlfn.SWITCH(K163,200,_xlfn.XLOOKUP(J163,Manufacture!$C$18:$N$18,Manufacture!$C$20:$N$20) + _xlfn.XLOOKUP(B163&amp;"|"&amp;E163,
        Calculate_cap_emi!$L$14:$L$21&amp;"|"&amp;Calculate_cap_emi!$I$14:$I$21,
        Calculate_cap_emi!$AI$14:$AI$21, "Not found", 0), LOOKUP(K163,Manufacture!$C$24:$D$24,Manufacture!$C$26:$D$26) + _xlfn.XLOOKUP(J163,Manufacture!$C$18:$N$18,Manufacture!$C$20:$N$20) + _xlfn.XLOOKUP(B163&amp;"|"&amp;E163,
        Calculate_cap_emi!$L$14:$L$21&amp;"|"&amp;Calculate_cap_emi!$I$14:$I$21,
        Calculate_cap_emi!$AI$14:$AI$21, "Not found", 0))</f>
        <v>3563.1188082030421</v>
      </c>
      <c r="M163" s="8">
        <f>LOOKUP(J163,Manufacture!$C$18:$N$18,Manufacture!$C$20:$N$20)</f>
        <v>1711.29</v>
      </c>
      <c r="N163" s="8" cm="1">
        <f t="array" ref="N163">_xlfn.SWITCH(K163,200,0,LOOKUP(K163,Manufacture!$C$24:$D$24,Manufacture!$C$26:$D$26))</f>
        <v>336</v>
      </c>
      <c r="O163" s="5" cm="1">
        <f t="array" ref="O163">_xlfn.XLOOKUP(B163&amp;"|"&amp;E163,
        Calculate_cap_emi!$L$14:$L$21&amp;"|"&amp;Calculate_cap_emi!$I$14:$I$21,
        Calculate_cap_emi!$AI$14:$AI$21, "Not found", 0)</f>
        <v>1515.8288082030419</v>
      </c>
      <c r="P163" s="8">
        <f t="shared" si="12"/>
        <v>3563.1188082030421</v>
      </c>
      <c r="Q163" s="8" cm="1">
        <f t="array" ref="Q163">_xlfn.SWITCH(K163,200,_xlfn.XLOOKUP(J163,Distribution!$C$18:$N$18,Distribution!$C$20:$N$20) + _xlfn.XLOOKUP(B163&amp;"|"&amp;E163,
        Calculate_cap_emi!$L$14:$L$21&amp;"|"&amp;Calculate_cap_emi!$I$14:$I$21,
        Calculate_cap_emi!$AP$14:$AP$21, "Not found", 0), LOOKUP(K163,Distribution!$C$24:$D$24,Distribution!$C$26:$D$26) + _xlfn.XLOOKUP(J163,Distribution!$C$18:$N$18,Distribution!$C$20:$N$20) + _xlfn.XLOOKUP(B163&amp;"|"&amp;E163,
        Calculate_cap_emi!$L$14:$L$21&amp;"|"&amp;Calculate_cap_emi!$I$14:$I$21,
        Calculate_cap_emi!$AP$14:$AP$21, "Not found", 0))</f>
        <v>122.05754949757062</v>
      </c>
      <c r="R163" s="8" cm="1">
        <f t="array" ref="R163">_xlfn.SWITCH(K163,200,_xlfn.XLOOKUP(J163,Installation!$C$18:$N$18,Installation!$C$20:$N$20) + _xlfn.XLOOKUP(B163&amp;"|"&amp;E163,
        Calculate_cap_emi!$L$14:$L$21&amp;"|"&amp;Calculate_cap_emi!$I$14:$I$21,
        Calculate_cap_emi!$AW$14:$AW$21, "Not found", 0), LOOKUP(K163,Installation!$C$24:$D$24,Installation!$C$26:$D$26) + _xlfn.XLOOKUP(J163,Installation!$C$18:$N$18,Installation!$C$20:$N$20) + _xlfn.XLOOKUP(B163&amp;"|"&amp;E163,
        Calculate_cap_emi!$L$14:$L$21&amp;"|"&amp;Calculate_cap_emi!$I$14:$I$21,
        Calculate_cap_emi!$AW$14:$AW$21, "Not found", 0))</f>
        <v>110.56639507240972</v>
      </c>
      <c r="S163" s="8" cm="1">
        <f t="array" ref="S163">_xlfn.SWITCH(K163,200,_xlfn.XLOOKUP(J163,EOL!$C$18:$N$18,EOL!$C$20:$N$20) + _xlfn.XLOOKUP(B163&amp;"|"&amp;E163,
        Calculate_cap_emi!$L$14:$L$21&amp;"|"&amp;Calculate_cap_emi!$I$14:$I$21,
        Calculate_cap_emi!$BD$14:$BD$21, "Not found", 0), LOOKUP(K163,EOL!$C$24:$D$24,EOL!$C$26:$D$26) + _xlfn.XLOOKUP(J163,EOL!$C$18:$N$18,EOL!$C$20:$N$20) + _xlfn.XLOOKUP(B163&amp;"|"&amp;E163,
        Calculate_cap_emi!$L$14:$L$21&amp;"|"&amp;Calculate_cap_emi!$I$14:$I$21,
        Calculate_cap_emi!$BD$14:$BD$21, "Not found", 0))</f>
        <v>612.90819027592579</v>
      </c>
      <c r="T163" s="8" cm="1">
        <f t="array" ref="T163">_xlfn.SWITCH(K163,200,_xlfn.XLOOKUP(J163,Other!$C$18:$N$18,Other!$C$20:$N$20) + _xlfn.XLOOKUP(B163&amp;"|"&amp;E163,
        Calculate_cap_emi!$L$14:$L$21&amp;"|"&amp;Calculate_cap_emi!$I$14:$I$21,
        Calculate_cap_emi!$BK$14:$BK$21, "Not found", 0), LOOKUP(K163,Other!$C$24:$D$24,Other!$C$26:$D$26) + _xlfn.XLOOKUP(J163,Other!$C$18:$N$18,Other!$C$20:$N$20) + _xlfn.XLOOKUP(B163&amp;"|"&amp;E163,
        Calculate_cap_emi!$L$14:$L$21&amp;"|"&amp;Calculate_cap_emi!$I$14:$I$21,
        Calculate_cap_emi!$BK$14:$BK$21, "Not found", 0))</f>
        <v>2253.349381842851</v>
      </c>
      <c r="U163" s="8" cm="1">
        <f t="array" ref="U163">_xlfn.SWITCH(K163,200,_xlfn.XLOOKUP(J163,EOL_R!$C$18:$N$18,EOL_R!$C$20:$N$20) + _xlfn.XLOOKUP(B163&amp;"|"&amp;E163,
        Calculate_cap_emi_sens!$L$14:$L$21&amp;"|"&amp;Calculate_cap_emi_sens!$I$14:$I$21,
        Calculate_cap_emi_sens!$BD$14:$BD$21, "Not found", 0), LOOKUP(K163,EOL_R!$C$24:$D$24,EOL_R!$C$26:$D$26) + _xlfn.XLOOKUP(J163,EOL_R!$C$18:$N$18,EOL_R!$C$20:$N$20) + _xlfn.XLOOKUP(B163&amp;"|"&amp;E163,
        Calculate_cap_emi_sens!$L$14:$L$21&amp;"|"&amp;Calculate_cap_emi_sens!$I$14:$I$21,
        Calculate_cap_emi_sens!$BD$14:$BD$21, "Not found", 0))</f>
        <v>504.73337512065217</v>
      </c>
      <c r="V163" s="8" cm="1">
        <f t="array" ref="V163">_xlfn.SWITCH(K163,200,_xlfn.XLOOKUP(J163,Other_R!$C$18:$N$18,Other_R!$C$20:$N$20) + _xlfn.XLOOKUP(B163&amp;"|"&amp;E163,
        Calculate_cap_emi_sens!$L$14:$L$21&amp;"|"&amp;Calculate_cap_emi_sens!$I$14:$I$21,
        Calculate_cap_emi_sens!$BK$14:$BK$21, "Not found", 0), LOOKUP(K163,Other_R!$C$24:$D$24,Other_R!$C$26:$D$26) + _xlfn.XLOOKUP(J163,Other_R!$C$18:$N$18,Other_R!$C$20:$N$20) + _xlfn.XLOOKUP(B163&amp;"|"&amp;E163,
        Calculate_cap_emi_sens!$L$14:$L$21&amp;"|"&amp;Calculate_cap_emi_sens!$I$14:$I$21,
        Calculate_cap_emi_sens!$BK$14:$BK$21, "Not found", 0))</f>
        <v>1903.2281368173367</v>
      </c>
      <c r="W163" s="5">
        <f>Results_proc_ener!L163</f>
        <v>111655.88229821512</v>
      </c>
      <c r="X163" s="5">
        <f>Results_proc_ener!M163</f>
        <v>48340.647798374281</v>
      </c>
      <c r="Y163" s="5">
        <f>Results_proc_ener!N163</f>
        <v>10613.59090909091</v>
      </c>
      <c r="Z163" s="5">
        <f>Results_proc_ener!O163</f>
        <v>52701.643590749925</v>
      </c>
      <c r="AA163" s="5">
        <f>Results_proc_ener!P163</f>
        <v>111655.88229821512</v>
      </c>
      <c r="AB163" s="5">
        <f>Results_proc_ener!Q163</f>
        <v>2611.9058813208767</v>
      </c>
      <c r="AC163" s="5">
        <f>Results_proc_ener!R163</f>
        <v>192.40865773505178</v>
      </c>
      <c r="AD163" s="5">
        <f>Results_proc_ener!S163</f>
        <v>16027.427212745453</v>
      </c>
      <c r="AE163" s="5">
        <f>Results_proc_ener!T163</f>
        <v>73017.196539985962</v>
      </c>
    </row>
    <row r="164" spans="1:31" x14ac:dyDescent="0.25">
      <c r="A164" s="5"/>
      <c r="B164" s="5" t="str">
        <f t="shared" si="10"/>
        <v>Mod-H1</v>
      </c>
      <c r="C164" s="5" t="s">
        <v>38</v>
      </c>
      <c r="D164" s="5" t="str">
        <f t="shared" si="9"/>
        <v>H1</v>
      </c>
      <c r="E164" s="5" t="s">
        <v>3</v>
      </c>
      <c r="F164" s="5" t="s">
        <v>55</v>
      </c>
      <c r="G164" s="5" t="s">
        <v>55</v>
      </c>
      <c r="H164" s="5">
        <v>6</v>
      </c>
      <c r="I164" s="5"/>
      <c r="J164" s="5">
        <f t="shared" si="11"/>
        <v>6</v>
      </c>
      <c r="K164" s="5">
        <v>500</v>
      </c>
      <c r="L164" s="8" cm="1">
        <f t="array" ref="L164">_xlfn.SWITCH(K164,200,_xlfn.XLOOKUP(J164,Manufacture!$C$18:$N$18,Manufacture!$C$20:$N$20) + _xlfn.XLOOKUP(B164&amp;"|"&amp;E164,
        Calculate_cap_emi!$L$14:$L$21&amp;"|"&amp;Calculate_cap_emi!$I$14:$I$21,
        Calculate_cap_emi!$AI$14:$AI$21, "Not found", 0), LOOKUP(K164,Manufacture!$C$24:$D$24,Manufacture!$C$26:$D$26) + _xlfn.XLOOKUP(J164,Manufacture!$C$18:$N$18,Manufacture!$C$20:$N$20) + _xlfn.XLOOKUP(B164&amp;"|"&amp;E164,
        Calculate_cap_emi!$L$14:$L$21&amp;"|"&amp;Calculate_cap_emi!$I$14:$I$21,
        Calculate_cap_emi!$AI$14:$AI$21, "Not found", 0))</f>
        <v>3602.7099846736301</v>
      </c>
      <c r="M164" s="8">
        <f>LOOKUP(J164,Manufacture!$C$18:$N$18,Manufacture!$C$20:$N$20)</f>
        <v>1750.8811764705879</v>
      </c>
      <c r="N164" s="8" cm="1">
        <f t="array" ref="N164">_xlfn.SWITCH(K164,200,0,LOOKUP(K164,Manufacture!$C$24:$D$24,Manufacture!$C$26:$D$26))</f>
        <v>336</v>
      </c>
      <c r="O164" s="5" cm="1">
        <f t="array" ref="O164">_xlfn.XLOOKUP(B164&amp;"|"&amp;E164,
        Calculate_cap_emi!$L$14:$L$21&amp;"|"&amp;Calculate_cap_emi!$I$14:$I$21,
        Calculate_cap_emi!$AI$14:$AI$21, "Not found", 0)</f>
        <v>1515.8288082030419</v>
      </c>
      <c r="P164" s="8">
        <f t="shared" si="12"/>
        <v>3602.7099846736301</v>
      </c>
      <c r="Q164" s="8" cm="1">
        <f t="array" ref="Q164">_xlfn.SWITCH(K164,200,_xlfn.XLOOKUP(J164,Distribution!$C$18:$N$18,Distribution!$C$20:$N$20) + _xlfn.XLOOKUP(B164&amp;"|"&amp;E164,
        Calculate_cap_emi!$L$14:$L$21&amp;"|"&amp;Calculate_cap_emi!$I$14:$I$21,
        Calculate_cap_emi!$AP$14:$AP$21, "Not found", 0), LOOKUP(K164,Distribution!$C$24:$D$24,Distribution!$C$26:$D$26) + _xlfn.XLOOKUP(J164,Distribution!$C$18:$N$18,Distribution!$C$20:$N$20) + _xlfn.XLOOKUP(B164&amp;"|"&amp;E164,
        Calculate_cap_emi!$L$14:$L$21&amp;"|"&amp;Calculate_cap_emi!$I$14:$I$21,
        Calculate_cap_emi!$AP$14:$AP$21, "Not found", 0))</f>
        <v>123.60176041180591</v>
      </c>
      <c r="R164" s="8" cm="1">
        <f t="array" ref="R164">_xlfn.SWITCH(K164,200,_xlfn.XLOOKUP(J164,Installation!$C$18:$N$18,Installation!$C$20:$N$20) + _xlfn.XLOOKUP(B164&amp;"|"&amp;E164,
        Calculate_cap_emi!$L$14:$L$21&amp;"|"&amp;Calculate_cap_emi!$I$14:$I$21,
        Calculate_cap_emi!$AW$14:$AW$21, "Not found", 0), LOOKUP(K164,Installation!$C$24:$D$24,Installation!$C$26:$D$26) + _xlfn.XLOOKUP(J164,Installation!$C$18:$N$18,Installation!$C$20:$N$20) + _xlfn.XLOOKUP(B164&amp;"|"&amp;E164,
        Calculate_cap_emi!$L$14:$L$21&amp;"|"&amp;Calculate_cap_emi!$I$14:$I$21,
        Calculate_cap_emi!$AW$14:$AW$21, "Not found", 0))</f>
        <v>113.02547333243197</v>
      </c>
      <c r="S164" s="8" cm="1">
        <f t="array" ref="S164">_xlfn.SWITCH(K164,200,_xlfn.XLOOKUP(J164,EOL!$C$18:$N$18,EOL!$C$20:$N$20) + _xlfn.XLOOKUP(B164&amp;"|"&amp;E164,
        Calculate_cap_emi!$L$14:$L$21&amp;"|"&amp;Calculate_cap_emi!$I$14:$I$21,
        Calculate_cap_emi!$BD$14:$BD$21, "Not found", 0), LOOKUP(K164,EOL!$C$24:$D$24,EOL!$C$26:$D$26) + _xlfn.XLOOKUP(J164,EOL!$C$18:$N$18,EOL!$C$20:$N$20) + _xlfn.XLOOKUP(B164&amp;"|"&amp;E164,
        Calculate_cap_emi!$L$14:$L$21&amp;"|"&amp;Calculate_cap_emi!$I$14:$I$21,
        Calculate_cap_emi!$BD$14:$BD$21, "Not found", 0))</f>
        <v>627.79842557004338</v>
      </c>
      <c r="T164" s="8" cm="1">
        <f t="array" ref="T164">_xlfn.SWITCH(K164,200,_xlfn.XLOOKUP(J164,Other!$C$18:$N$18,Other!$C$20:$N$20) + _xlfn.XLOOKUP(B164&amp;"|"&amp;E164,
        Calculate_cap_emi!$L$14:$L$21&amp;"|"&amp;Calculate_cap_emi!$I$14:$I$21,
        Calculate_cap_emi!$BK$14:$BK$21, "Not found", 0), LOOKUP(K164,Other!$C$24:$D$24,Other!$C$26:$D$26) + _xlfn.XLOOKUP(J164,Other!$C$18:$N$18,Other!$C$20:$N$20) + _xlfn.XLOOKUP(B164&amp;"|"&amp;E164,
        Calculate_cap_emi!$L$14:$L$21&amp;"|"&amp;Calculate_cap_emi!$I$14:$I$21,
        Calculate_cap_emi!$BK$14:$BK$21, "Not found", 0))</f>
        <v>2275.239131805658</v>
      </c>
      <c r="U164" s="8" cm="1">
        <f t="array" ref="U164">_xlfn.SWITCH(K164,200,_xlfn.XLOOKUP(J164,EOL_R!$C$18:$N$18,EOL_R!$C$20:$N$20) + _xlfn.XLOOKUP(B164&amp;"|"&amp;E164,
        Calculate_cap_emi_sens!$L$14:$L$21&amp;"|"&amp;Calculate_cap_emi_sens!$I$14:$I$21,
        Calculate_cap_emi_sens!$BD$14:$BD$21, "Not found", 0), LOOKUP(K164,EOL_R!$C$24:$D$24,EOL_R!$C$26:$D$26) + _xlfn.XLOOKUP(J164,EOL_R!$C$18:$N$18,EOL_R!$C$20:$N$20) + _xlfn.XLOOKUP(B164&amp;"|"&amp;E164,
        Calculate_cap_emi_sens!$L$14:$L$21&amp;"|"&amp;Calculate_cap_emi_sens!$I$14:$I$21,
        Calculate_cap_emi_sens!$BD$14:$BD$21, "Not found", 0))</f>
        <v>506.63126291652344</v>
      </c>
      <c r="V164" s="8" cm="1">
        <f t="array" ref="V164">_xlfn.SWITCH(K164,200,_xlfn.XLOOKUP(J164,Other_R!$C$18:$N$18,Other_R!$C$20:$N$20) + _xlfn.XLOOKUP(B164&amp;"|"&amp;E164,
        Calculate_cap_emi_sens!$L$14:$L$21&amp;"|"&amp;Calculate_cap_emi_sens!$I$14:$I$21,
        Calculate_cap_emi_sens!$BK$14:$BK$21, "Not found", 0), LOOKUP(K164,Other_R!$C$24:$D$24,Other_R!$C$26:$D$26) + _xlfn.XLOOKUP(J164,Other_R!$C$18:$N$18,Other_R!$C$20:$N$20) + _xlfn.XLOOKUP(B164&amp;"|"&amp;E164,
        Calculate_cap_emi_sens!$L$14:$L$21&amp;"|"&amp;Calculate_cap_emi_sens!$I$14:$I$21,
        Calculate_cap_emi_sens!$BK$14:$BK$21, "Not found", 0))</f>
        <v>1893.2477322416021</v>
      </c>
      <c r="W164" s="5">
        <f>Results_proc_ener!L164</f>
        <v>112010.72089851295</v>
      </c>
      <c r="X164" s="5">
        <f>Results_proc_ener!M164</f>
        <v>48695.486398672118</v>
      </c>
      <c r="Y164" s="5">
        <f>Results_proc_ener!N164</f>
        <v>10613.59090909091</v>
      </c>
      <c r="Z164" s="5">
        <f>Results_proc_ener!O164</f>
        <v>52701.643590749925</v>
      </c>
      <c r="AA164" s="5">
        <f>Results_proc_ener!P164</f>
        <v>112010.72089851295</v>
      </c>
      <c r="AB164" s="5">
        <f>Results_proc_ener!Q164</f>
        <v>2644.6101744560265</v>
      </c>
      <c r="AC164" s="5">
        <f>Results_proc_ener!R164</f>
        <v>194.86773599507404</v>
      </c>
      <c r="AD164" s="5">
        <f>Results_proc_ener!S164</f>
        <v>16027.427212745453</v>
      </c>
      <c r="AE164" s="5">
        <f>Results_proc_ener!T164</f>
        <v>73039.086289948769</v>
      </c>
    </row>
    <row r="165" spans="1:31" x14ac:dyDescent="0.25">
      <c r="A165" s="5"/>
      <c r="B165" s="5" t="str">
        <f t="shared" si="10"/>
        <v>Mod-H1</v>
      </c>
      <c r="C165" s="5" t="s">
        <v>38</v>
      </c>
      <c r="D165" s="5" t="str">
        <f t="shared" si="9"/>
        <v>H1</v>
      </c>
      <c r="E165" s="5" t="s">
        <v>3</v>
      </c>
      <c r="F165" s="5" t="s">
        <v>55</v>
      </c>
      <c r="G165" s="5" t="s">
        <v>55</v>
      </c>
      <c r="H165" s="5">
        <v>8.5</v>
      </c>
      <c r="I165" s="5"/>
      <c r="J165" s="5">
        <f t="shared" si="11"/>
        <v>9</v>
      </c>
      <c r="K165" s="5">
        <v>500</v>
      </c>
      <c r="L165" s="8" cm="1">
        <f t="array" ref="L165">_xlfn.SWITCH(K165,200,_xlfn.XLOOKUP(J165,Manufacture!$C$18:$N$18,Manufacture!$C$20:$N$20) + _xlfn.XLOOKUP(B165&amp;"|"&amp;E165,
        Calculate_cap_emi!$L$14:$L$21&amp;"|"&amp;Calculate_cap_emi!$I$14:$I$21,
        Calculate_cap_emi!$AI$14:$AI$21, "Not found", 0), LOOKUP(K165,Manufacture!$C$24:$D$24,Manufacture!$C$26:$D$26) + _xlfn.XLOOKUP(J165,Manufacture!$C$18:$N$18,Manufacture!$C$20:$N$20) + _xlfn.XLOOKUP(B165&amp;"|"&amp;E165,
        Calculate_cap_emi!$L$14:$L$21&amp;"|"&amp;Calculate_cap_emi!$I$14:$I$21,
        Calculate_cap_emi!$AI$14:$AI$21, "Not found", 0))</f>
        <v>3721.4835140853947</v>
      </c>
      <c r="M165" s="8">
        <f>LOOKUP(J165,Manufacture!$C$18:$N$18,Manufacture!$C$20:$N$20)</f>
        <v>1869.654705882353</v>
      </c>
      <c r="N165" s="8" cm="1">
        <f t="array" ref="N165">_xlfn.SWITCH(K165,200,0,LOOKUP(K165,Manufacture!$C$24:$D$24,Manufacture!$C$26:$D$26))</f>
        <v>336</v>
      </c>
      <c r="O165" s="5" cm="1">
        <f t="array" ref="O165">_xlfn.XLOOKUP(B165&amp;"|"&amp;E165,
        Calculate_cap_emi!$L$14:$L$21&amp;"|"&amp;Calculate_cap_emi!$I$14:$I$21,
        Calculate_cap_emi!$AI$14:$AI$21, "Not found", 0)</f>
        <v>1515.8288082030419</v>
      </c>
      <c r="P165" s="8">
        <f t="shared" si="12"/>
        <v>3721.4835140853947</v>
      </c>
      <c r="Q165" s="8" cm="1">
        <f t="array" ref="Q165">_xlfn.SWITCH(K165,200,_xlfn.XLOOKUP(J165,Distribution!$C$18:$N$18,Distribution!$C$20:$N$20) + _xlfn.XLOOKUP(B165&amp;"|"&amp;E165,
        Calculate_cap_emi!$L$14:$L$21&amp;"|"&amp;Calculate_cap_emi!$I$14:$I$21,
        Calculate_cap_emi!$AP$14:$AP$21, "Not found", 0), LOOKUP(K165,Distribution!$C$24:$D$24,Distribution!$C$26:$D$26) + _xlfn.XLOOKUP(J165,Distribution!$C$18:$N$18,Distribution!$C$20:$N$20) + _xlfn.XLOOKUP(B165&amp;"|"&amp;E165,
        Calculate_cap_emi!$L$14:$L$21&amp;"|"&amp;Calculate_cap_emi!$I$14:$I$21,
        Calculate_cap_emi!$AP$14:$AP$21, "Not found", 0))</f>
        <v>128.23439315451182</v>
      </c>
      <c r="R165" s="8" cm="1">
        <f t="array" ref="R165">_xlfn.SWITCH(K165,200,_xlfn.XLOOKUP(J165,Installation!$C$18:$N$18,Installation!$C$20:$N$20) + _xlfn.XLOOKUP(B165&amp;"|"&amp;E165,
        Calculate_cap_emi!$L$14:$L$21&amp;"|"&amp;Calculate_cap_emi!$I$14:$I$21,
        Calculate_cap_emi!$AW$14:$AW$21, "Not found", 0), LOOKUP(K165,Installation!$C$24:$D$24,Installation!$C$26:$D$26) + _xlfn.XLOOKUP(J165,Installation!$C$18:$N$18,Installation!$C$20:$N$20) + _xlfn.XLOOKUP(B165&amp;"|"&amp;E165,
        Calculate_cap_emi!$L$14:$L$21&amp;"|"&amp;Calculate_cap_emi!$I$14:$I$21,
        Calculate_cap_emi!$AW$14:$AW$21, "Not found", 0))</f>
        <v>120.40270811249849</v>
      </c>
      <c r="S165" s="8" cm="1">
        <f t="array" ref="S165">_xlfn.SWITCH(K165,200,_xlfn.XLOOKUP(J165,EOL!$C$18:$N$18,EOL!$C$20:$N$20) + _xlfn.XLOOKUP(B165&amp;"|"&amp;E165,
        Calculate_cap_emi!$L$14:$L$21&amp;"|"&amp;Calculate_cap_emi!$I$14:$I$21,
        Calculate_cap_emi!$BD$14:$BD$21, "Not found", 0), LOOKUP(K165,EOL!$C$24:$D$24,EOL!$C$26:$D$26) + _xlfn.XLOOKUP(J165,EOL!$C$18:$N$18,EOL!$C$20:$N$20) + _xlfn.XLOOKUP(B165&amp;"|"&amp;E165,
        Calculate_cap_emi!$L$14:$L$21&amp;"|"&amp;Calculate_cap_emi!$I$14:$I$21,
        Calculate_cap_emi!$BD$14:$BD$21, "Not found", 0))</f>
        <v>672.46913145239637</v>
      </c>
      <c r="T165" s="8" cm="1">
        <f t="array" ref="T165">_xlfn.SWITCH(K165,200,_xlfn.XLOOKUP(J165,Other!$C$18:$N$18,Other!$C$20:$N$20) + _xlfn.XLOOKUP(B165&amp;"|"&amp;E165,
        Calculate_cap_emi!$L$14:$L$21&amp;"|"&amp;Calculate_cap_emi!$I$14:$I$21,
        Calculate_cap_emi!$BK$14:$BK$21, "Not found", 0), LOOKUP(K165,Other!$C$24:$D$24,Other!$C$26:$D$26) + _xlfn.XLOOKUP(J165,Other!$C$18:$N$18,Other!$C$20:$N$20) + _xlfn.XLOOKUP(B165&amp;"|"&amp;E165,
        Calculate_cap_emi!$L$14:$L$21&amp;"|"&amp;Calculate_cap_emi!$I$14:$I$21,
        Calculate_cap_emi!$BK$14:$BK$21, "Not found", 0))</f>
        <v>2340.9083816940783</v>
      </c>
      <c r="U165" s="8" cm="1">
        <f t="array" ref="U165">_xlfn.SWITCH(K165,200,_xlfn.XLOOKUP(J165,EOL_R!$C$18:$N$18,EOL_R!$C$20:$N$20) + _xlfn.XLOOKUP(B165&amp;"|"&amp;E165,
        Calculate_cap_emi_sens!$L$14:$L$21&amp;"|"&amp;Calculate_cap_emi_sens!$I$14:$I$21,
        Calculate_cap_emi_sens!$BD$14:$BD$21, "Not found", 0), LOOKUP(K165,EOL_R!$C$24:$D$24,EOL_R!$C$26:$D$26) + _xlfn.XLOOKUP(J165,EOL_R!$C$18:$N$18,EOL_R!$C$20:$N$20) + _xlfn.XLOOKUP(B165&amp;"|"&amp;E165,
        Calculate_cap_emi_sens!$L$14:$L$21&amp;"|"&amp;Calculate_cap_emi_sens!$I$14:$I$21,
        Calculate_cap_emi_sens!$BD$14:$BD$21, "Not found", 0))</f>
        <v>522.40827309119481</v>
      </c>
      <c r="V165" s="8" cm="1">
        <f t="array" ref="V165">_xlfn.SWITCH(K165,200,_xlfn.XLOOKUP(J165,Other_R!$C$18:$N$18,Other_R!$C$20:$N$20) + _xlfn.XLOOKUP(B165&amp;"|"&amp;E165,
        Calculate_cap_emi_sens!$L$14:$L$21&amp;"|"&amp;Calculate_cap_emi_sens!$I$14:$I$21,
        Calculate_cap_emi_sens!$BK$14:$BK$21, "Not found", 0), LOOKUP(K165,Other_R!$C$24:$D$24,Other_R!$C$26:$D$26) + _xlfn.XLOOKUP(J165,Other_R!$C$18:$N$18,Other_R!$C$20:$N$20) + _xlfn.XLOOKUP(B165&amp;"|"&amp;E165,
        Calculate_cap_emi_sens!$L$14:$L$21&amp;"|"&amp;Calculate_cap_emi_sens!$I$14:$I$21,
        Calculate_cap_emi_sens!$BK$14:$BK$21, "Not found", 0))</f>
        <v>1888.0409108490098</v>
      </c>
      <c r="W165" s="5">
        <f>Results_proc_ener!L165</f>
        <v>113075.23669940647</v>
      </c>
      <c r="X165" s="5">
        <f>Results_proc_ener!M165</f>
        <v>49760.002199565621</v>
      </c>
      <c r="Y165" s="5">
        <f>Results_proc_ener!N165</f>
        <v>10613.59090909091</v>
      </c>
      <c r="Z165" s="5">
        <f>Results_proc_ener!O165</f>
        <v>52701.643590749925</v>
      </c>
      <c r="AA165" s="5">
        <f>Results_proc_ener!P165</f>
        <v>113075.23669940647</v>
      </c>
      <c r="AB165" s="5">
        <f>Results_proc_ener!Q165</f>
        <v>2742.7230538614763</v>
      </c>
      <c r="AC165" s="5">
        <f>Results_proc_ener!R165</f>
        <v>202.24497077514053</v>
      </c>
      <c r="AD165" s="5">
        <f>Results_proc_ener!S165</f>
        <v>16027.427212745453</v>
      </c>
      <c r="AE165" s="5">
        <f>Results_proc_ener!T165</f>
        <v>73104.755539837191</v>
      </c>
    </row>
    <row r="166" spans="1:31" x14ac:dyDescent="0.25">
      <c r="A166" s="5"/>
      <c r="B166" s="5" t="str">
        <f t="shared" si="10"/>
        <v>Mod-H1</v>
      </c>
      <c r="C166" s="5" t="s">
        <v>38</v>
      </c>
      <c r="D166" s="5" t="str">
        <f t="shared" si="9"/>
        <v>H1</v>
      </c>
      <c r="E166" s="5" t="s">
        <v>3</v>
      </c>
      <c r="F166" s="5" t="s">
        <v>55</v>
      </c>
      <c r="G166" s="5" t="s">
        <v>55</v>
      </c>
      <c r="H166" s="5">
        <v>14</v>
      </c>
      <c r="I166" s="5"/>
      <c r="J166" s="5">
        <f t="shared" si="11"/>
        <v>14</v>
      </c>
      <c r="K166" s="5">
        <v>500</v>
      </c>
      <c r="L166" s="8" cm="1">
        <f t="array" ref="L166">_xlfn.SWITCH(K166,200,_xlfn.XLOOKUP(J166,Manufacture!$C$18:$N$18,Manufacture!$C$20:$N$20) + _xlfn.XLOOKUP(B166&amp;"|"&amp;E166,
        Calculate_cap_emi!$L$14:$L$21&amp;"|"&amp;Calculate_cap_emi!$I$14:$I$21,
        Calculate_cap_emi!$AI$14:$AI$21, "Not found", 0), LOOKUP(K166,Manufacture!$C$24:$D$24,Manufacture!$C$26:$D$26) + _xlfn.XLOOKUP(J166,Manufacture!$C$18:$N$18,Manufacture!$C$20:$N$20) + _xlfn.XLOOKUP(B166&amp;"|"&amp;E166,
        Calculate_cap_emi!$L$14:$L$21&amp;"|"&amp;Calculate_cap_emi!$I$14:$I$21,
        Calculate_cap_emi!$AI$14:$AI$21, "Not found", 0))</f>
        <v>3919.4393964383362</v>
      </c>
      <c r="M166" s="8">
        <f>LOOKUP(J166,Manufacture!$C$18:$N$18,Manufacture!$C$20:$N$20)</f>
        <v>2067.610588235294</v>
      </c>
      <c r="N166" s="8" cm="1">
        <f t="array" ref="N166">_xlfn.SWITCH(K166,200,0,LOOKUP(K166,Manufacture!$C$24:$D$24,Manufacture!$C$26:$D$26))</f>
        <v>336</v>
      </c>
      <c r="O166" s="5" cm="1">
        <f t="array" ref="O166">_xlfn.XLOOKUP(B166&amp;"|"&amp;E166,
        Calculate_cap_emi!$L$14:$L$21&amp;"|"&amp;Calculate_cap_emi!$I$14:$I$21,
        Calculate_cap_emi!$AI$14:$AI$21, "Not found", 0)</f>
        <v>1515.8288082030419</v>
      </c>
      <c r="P166" s="8">
        <f t="shared" si="12"/>
        <v>3919.4393964383362</v>
      </c>
      <c r="Q166" s="8" cm="1">
        <f t="array" ref="Q166">_xlfn.SWITCH(K166,200,_xlfn.XLOOKUP(J166,Distribution!$C$18:$N$18,Distribution!$C$20:$N$20) + _xlfn.XLOOKUP(B166&amp;"|"&amp;E166,
        Calculate_cap_emi!$L$14:$L$21&amp;"|"&amp;Calculate_cap_emi!$I$14:$I$21,
        Calculate_cap_emi!$AP$14:$AP$21, "Not found", 0), LOOKUP(K166,Distribution!$C$24:$D$24,Distribution!$C$26:$D$26) + _xlfn.XLOOKUP(J166,Distribution!$C$18:$N$18,Distribution!$C$20:$N$20) + _xlfn.XLOOKUP(B166&amp;"|"&amp;E166,
        Calculate_cap_emi!$L$14:$L$21&amp;"|"&amp;Calculate_cap_emi!$I$14:$I$21,
        Calculate_cap_emi!$AP$14:$AP$21, "Not found", 0))</f>
        <v>135.95544772568826</v>
      </c>
      <c r="R166" s="8" cm="1">
        <f t="array" ref="R166">_xlfn.SWITCH(K166,200,_xlfn.XLOOKUP(J166,Installation!$C$18:$N$18,Installation!$C$20:$N$20) + _xlfn.XLOOKUP(B166&amp;"|"&amp;E166,
        Calculate_cap_emi!$L$14:$L$21&amp;"|"&amp;Calculate_cap_emi!$I$14:$I$21,
        Calculate_cap_emi!$AW$14:$AW$21, "Not found", 0), LOOKUP(K166,Installation!$C$24:$D$24,Installation!$C$26:$D$26) + _xlfn.XLOOKUP(J166,Installation!$C$18:$N$18,Installation!$C$20:$N$20) + _xlfn.XLOOKUP(B166&amp;"|"&amp;E166,
        Calculate_cap_emi!$L$14:$L$21&amp;"|"&amp;Calculate_cap_emi!$I$14:$I$21,
        Calculate_cap_emi!$AW$14:$AW$21, "Not found", 0))</f>
        <v>132.69809941260968</v>
      </c>
      <c r="S166" s="8" cm="1">
        <f t="array" ref="S166">_xlfn.SWITCH(K166,200,_xlfn.XLOOKUP(J166,EOL!$C$18:$N$18,EOL!$C$20:$N$20) + _xlfn.XLOOKUP(B166&amp;"|"&amp;E166,
        Calculate_cap_emi!$L$14:$L$21&amp;"|"&amp;Calculate_cap_emi!$I$14:$I$21,
        Calculate_cap_emi!$BD$14:$BD$21, "Not found", 0), LOOKUP(K166,EOL!$C$24:$D$24,EOL!$C$26:$D$26) + _xlfn.XLOOKUP(J166,EOL!$C$18:$N$18,EOL!$C$20:$N$20) + _xlfn.XLOOKUP(B166&amp;"|"&amp;E166,
        Calculate_cap_emi!$L$14:$L$21&amp;"|"&amp;Calculate_cap_emi!$I$14:$I$21,
        Calculate_cap_emi!$BD$14:$BD$21, "Not found", 0))</f>
        <v>746.92030792298465</v>
      </c>
      <c r="T166" s="8" cm="1">
        <f t="array" ref="T166">_xlfn.SWITCH(K166,200,_xlfn.XLOOKUP(J166,Other!$C$18:$N$18,Other!$C$20:$N$20) + _xlfn.XLOOKUP(B166&amp;"|"&amp;E166,
        Calculate_cap_emi!$L$14:$L$21&amp;"|"&amp;Calculate_cap_emi!$I$14:$I$21,
        Calculate_cap_emi!$BK$14:$BK$21, "Not found", 0), LOOKUP(K166,Other!$C$24:$D$24,Other!$C$26:$D$26) + _xlfn.XLOOKUP(J166,Other!$C$18:$N$18,Other!$C$20:$N$20) + _xlfn.XLOOKUP(B166&amp;"|"&amp;E166,
        Calculate_cap_emi!$L$14:$L$21&amp;"|"&amp;Calculate_cap_emi!$I$14:$I$21,
        Calculate_cap_emi!$BK$14:$BK$21, "Not found", 0))</f>
        <v>2450.3571315081131</v>
      </c>
      <c r="U166" s="8" cm="1">
        <f t="array" ref="U166">_xlfn.SWITCH(K166,200,_xlfn.XLOOKUP(J166,EOL_R!$C$18:$N$18,EOL_R!$C$20:$N$20) + _xlfn.XLOOKUP(B166&amp;"|"&amp;E166,
        Calculate_cap_emi_sens!$L$14:$L$21&amp;"|"&amp;Calculate_cap_emi_sens!$I$14:$I$21,
        Calculate_cap_emi_sens!$BD$14:$BD$21, "Not found", 0), LOOKUP(K166,EOL_R!$C$24:$D$24,EOL_R!$C$26:$D$26) + _xlfn.XLOOKUP(J166,EOL_R!$C$18:$N$18,EOL_R!$C$20:$N$20) + _xlfn.XLOOKUP(B166&amp;"|"&amp;E166,
        Calculate_cap_emi_sens!$L$14:$L$21&amp;"|"&amp;Calculate_cap_emi_sens!$I$14:$I$21,
        Calculate_cap_emi_sens!$BD$14:$BD$21, "Not found", 0))</f>
        <v>565.37417291836755</v>
      </c>
      <c r="V166" s="8" cm="1">
        <f t="array" ref="V166">_xlfn.SWITCH(K166,200,_xlfn.XLOOKUP(J166,Other_R!$C$18:$N$18,Other_R!$C$20:$N$20) + _xlfn.XLOOKUP(B166&amp;"|"&amp;E166,
        Calculate_cap_emi_sens!$L$14:$L$21&amp;"|"&amp;Calculate_cap_emi_sens!$I$14:$I$21,
        Calculate_cap_emi_sens!$BK$14:$BK$21, "Not found", 0), LOOKUP(K166,Other_R!$C$24:$D$24,Other_R!$C$26:$D$26) + _xlfn.XLOOKUP(J166,Other_R!$C$18:$N$18,Other_R!$C$20:$N$20) + _xlfn.XLOOKUP(B166&amp;"|"&amp;E166,
        Calculate_cap_emi_sens!$L$14:$L$21&amp;"|"&amp;Calculate_cap_emi_sens!$I$14:$I$21,
        Calculate_cap_emi_sens!$BK$14:$BK$21, "Not found", 0))</f>
        <v>1920.2564560824396</v>
      </c>
      <c r="W166" s="5">
        <f>Results_proc_ener!L166</f>
        <v>114849.42970089577</v>
      </c>
      <c r="X166" s="5">
        <f>Results_proc_ener!M166</f>
        <v>51534.195201054921</v>
      </c>
      <c r="Y166" s="5">
        <f>Results_proc_ener!N166</f>
        <v>10613.59090909091</v>
      </c>
      <c r="Z166" s="5">
        <f>Results_proc_ener!O166</f>
        <v>52701.643590749925</v>
      </c>
      <c r="AA166" s="5">
        <f>Results_proc_ener!P166</f>
        <v>114849.42970089577</v>
      </c>
      <c r="AB166" s="5">
        <f>Results_proc_ener!Q166</f>
        <v>2906.2445195372261</v>
      </c>
      <c r="AC166" s="5">
        <f>Results_proc_ener!R166</f>
        <v>214.54036207525172</v>
      </c>
      <c r="AD166" s="5">
        <f>Results_proc_ener!S166</f>
        <v>16027.427212745453</v>
      </c>
      <c r="AE166" s="5">
        <f>Results_proc_ener!T166</f>
        <v>73214.204289651228</v>
      </c>
    </row>
    <row r="167" spans="1:31" x14ac:dyDescent="0.25">
      <c r="A167" s="5"/>
      <c r="B167" s="5" t="str">
        <f t="shared" si="10"/>
        <v>Mod-H1</v>
      </c>
      <c r="C167" s="5" t="s">
        <v>38</v>
      </c>
      <c r="D167" s="5" t="str">
        <f t="shared" si="9"/>
        <v>H1</v>
      </c>
      <c r="E167" s="5" t="s">
        <v>3</v>
      </c>
      <c r="F167" s="5" t="s">
        <v>57</v>
      </c>
      <c r="G167" s="5" t="s">
        <v>57</v>
      </c>
      <c r="H167" s="5">
        <v>5</v>
      </c>
      <c r="I167" s="5"/>
      <c r="J167" s="5">
        <f t="shared" si="11"/>
        <v>5</v>
      </c>
      <c r="K167" s="5">
        <v>1000</v>
      </c>
      <c r="L167" s="8" cm="1">
        <f t="array" ref="L167">_xlfn.SWITCH(K167,200,_xlfn.XLOOKUP(J167,Manufacture!$C$18:$N$18,Manufacture!$C$20:$N$20) + _xlfn.XLOOKUP(B167&amp;"|"&amp;E167,
        Calculate_cap_emi!$L$14:$L$21&amp;"|"&amp;Calculate_cap_emi!$I$14:$I$21,
        Calculate_cap_emi!$AI$14:$AI$21, "Not found", 0), LOOKUP(K167,Manufacture!$C$24:$D$24,Manufacture!$C$26:$D$26) + _xlfn.XLOOKUP(J167,Manufacture!$C$18:$N$18,Manufacture!$C$20:$N$20) + _xlfn.XLOOKUP(B167&amp;"|"&amp;E167,
        Calculate_cap_emi!$L$14:$L$21&amp;"|"&amp;Calculate_cap_emi!$I$14:$I$21,
        Calculate_cap_emi!$AI$14:$AI$21, "Not found", 0))</f>
        <v>3886.7097172939511</v>
      </c>
      <c r="M167" s="8">
        <f>LOOKUP(J167,Manufacture!$C$18:$N$18,Manufacture!$C$20:$N$20)</f>
        <v>1711.29</v>
      </c>
      <c r="N167" s="8" cm="1">
        <f t="array" ref="N167">_xlfn.SWITCH(K167,200,0,LOOKUP(K167,Manufacture!$C$24:$D$24,Manufacture!$C$26:$D$26))</f>
        <v>659.59090909090912</v>
      </c>
      <c r="O167" s="5" cm="1">
        <f t="array" ref="O167">_xlfn.XLOOKUP(B167&amp;"|"&amp;E167,
        Calculate_cap_emi!$L$14:$L$21&amp;"|"&amp;Calculate_cap_emi!$I$14:$I$21,
        Calculate_cap_emi!$AI$14:$AI$21, "Not found", 0)</f>
        <v>1515.8288082030419</v>
      </c>
      <c r="P167" s="8">
        <f t="shared" si="12"/>
        <v>3886.7097172939511</v>
      </c>
      <c r="Q167" s="8" cm="1">
        <f t="array" ref="Q167">_xlfn.SWITCH(K167,200,_xlfn.XLOOKUP(J167,Distribution!$C$18:$N$18,Distribution!$C$20:$N$20) + _xlfn.XLOOKUP(B167&amp;"|"&amp;E167,
        Calculate_cap_emi!$L$14:$L$21&amp;"|"&amp;Calculate_cap_emi!$I$14:$I$21,
        Calculate_cap_emi!$AP$14:$AP$21, "Not found", 0), LOOKUP(K167,Distribution!$C$24:$D$24,Distribution!$C$26:$D$26) + _xlfn.XLOOKUP(J167,Distribution!$C$18:$N$18,Distribution!$C$20:$N$20) + _xlfn.XLOOKUP(B167&amp;"|"&amp;E167,
        Calculate_cap_emi!$L$14:$L$21&amp;"|"&amp;Calculate_cap_emi!$I$14:$I$21,
        Calculate_cap_emi!$AP$14:$AP$21, "Not found", 0))</f>
        <v>129.35712101393426</v>
      </c>
      <c r="R167" s="8" cm="1">
        <f t="array" ref="R167">_xlfn.SWITCH(K167,200,_xlfn.XLOOKUP(J167,Installation!$C$18:$N$18,Installation!$C$20:$N$20) + _xlfn.XLOOKUP(B167&amp;"|"&amp;E167,
        Calculate_cap_emi!$L$14:$L$21&amp;"|"&amp;Calculate_cap_emi!$I$14:$I$21,
        Calculate_cap_emi!$AW$14:$AW$21, "Not found", 0), LOOKUP(K167,Installation!$C$24:$D$24,Installation!$C$26:$D$26) + _xlfn.XLOOKUP(J167,Installation!$C$18:$N$18,Installation!$C$20:$N$20) + _xlfn.XLOOKUP(B167&amp;"|"&amp;E167,
        Calculate_cap_emi!$L$14:$L$21&amp;"|"&amp;Calculate_cap_emi!$I$14:$I$21,
        Calculate_cap_emi!$AW$14:$AW$21, "Not found", 0))</f>
        <v>110.56639507240972</v>
      </c>
      <c r="S167" s="8" cm="1">
        <f t="array" ref="S167">_xlfn.SWITCH(K167,200,_xlfn.XLOOKUP(J167,EOL!$C$18:$N$18,EOL!$C$20:$N$20) + _xlfn.XLOOKUP(B167&amp;"|"&amp;E167,
        Calculate_cap_emi!$L$14:$L$21&amp;"|"&amp;Calculate_cap_emi!$I$14:$I$21,
        Calculate_cap_emi!$BD$14:$BD$21, "Not found", 0), LOOKUP(K167,EOL!$C$24:$D$24,EOL!$C$26:$D$26) + _xlfn.XLOOKUP(J167,EOL!$C$18:$N$18,EOL!$C$20:$N$20) + _xlfn.XLOOKUP(B167&amp;"|"&amp;E167,
        Calculate_cap_emi!$L$14:$L$21&amp;"|"&amp;Calculate_cap_emi!$I$14:$I$21,
        Calculate_cap_emi!$BD$14:$BD$21, "Not found", 0))</f>
        <v>751.31728118501678</v>
      </c>
      <c r="T167" s="8" cm="1">
        <f t="array" ref="T167">_xlfn.SWITCH(K167,200,_xlfn.XLOOKUP(J167,Other!$C$18:$N$18,Other!$C$20:$N$20) + _xlfn.XLOOKUP(B167&amp;"|"&amp;E167,
        Calculate_cap_emi!$L$14:$L$21&amp;"|"&amp;Calculate_cap_emi!$I$14:$I$21,
        Calculate_cap_emi!$BK$14:$BK$21, "Not found", 0), LOOKUP(K167,Other!$C$24:$D$24,Other!$C$26:$D$26) + _xlfn.XLOOKUP(J167,Other!$C$18:$N$18,Other!$C$20:$N$20) + _xlfn.XLOOKUP(B167&amp;"|"&amp;E167,
        Calculate_cap_emi!$L$14:$L$21&amp;"|"&amp;Calculate_cap_emi!$I$14:$I$21,
        Calculate_cap_emi!$BK$14:$BK$21, "Not found", 0))</f>
        <v>2253.349381842851</v>
      </c>
      <c r="U167" s="8" cm="1">
        <f t="array" ref="U167">_xlfn.SWITCH(K167,200,_xlfn.XLOOKUP(J167,EOL_R!$C$18:$N$18,EOL_R!$C$20:$N$20) + _xlfn.XLOOKUP(B167&amp;"|"&amp;E167,
        Calculate_cap_emi_sens!$L$14:$L$21&amp;"|"&amp;Calculate_cap_emi_sens!$I$14:$I$21,
        Calculate_cap_emi_sens!$BD$14:$BD$21, "Not found", 0), LOOKUP(K167,EOL_R!$C$24:$D$24,EOL_R!$C$26:$D$26) + _xlfn.XLOOKUP(J167,EOL_R!$C$18:$N$18,EOL_R!$C$20:$N$20) + _xlfn.XLOOKUP(B167&amp;"|"&amp;E167,
        Calculate_cap_emi_sens!$L$14:$L$21&amp;"|"&amp;Calculate_cap_emi_sens!$I$14:$I$21,
        Calculate_cap_emi_sens!$BD$14:$BD$21, "Not found", 0))</f>
        <v>643.14246602974299</v>
      </c>
      <c r="V167" s="8" cm="1">
        <f t="array" ref="V167">_xlfn.SWITCH(K167,200,_xlfn.XLOOKUP(J167,Other_R!$C$18:$N$18,Other_R!$C$20:$N$20) + _xlfn.XLOOKUP(B167&amp;"|"&amp;E167,
        Calculate_cap_emi_sens!$L$14:$L$21&amp;"|"&amp;Calculate_cap_emi_sens!$I$14:$I$21,
        Calculate_cap_emi_sens!$BK$14:$BK$21, "Not found", 0), LOOKUP(K167,Other_R!$C$24:$D$24,Other_R!$C$26:$D$26) + _xlfn.XLOOKUP(J167,Other_R!$C$18:$N$18,Other_R!$C$20:$N$20) + _xlfn.XLOOKUP(B167&amp;"|"&amp;E167,
        Calculate_cap_emi_sens!$L$14:$L$21&amp;"|"&amp;Calculate_cap_emi_sens!$I$14:$I$21,
        Calculate_cap_emi_sens!$BK$14:$BK$21, "Not found", 0))</f>
        <v>1903.2281368173367</v>
      </c>
      <c r="W167" s="5">
        <f>Results_proc_ener!L167</f>
        <v>121615.60957094238</v>
      </c>
      <c r="X167" s="5">
        <f>Results_proc_ener!M167</f>
        <v>48340.647798374281</v>
      </c>
      <c r="Y167" s="5">
        <f>Results_proc_ener!N167</f>
        <v>20573.31818181818</v>
      </c>
      <c r="Z167" s="5">
        <f>Results_proc_ener!O167</f>
        <v>52701.643590749925</v>
      </c>
      <c r="AA167" s="5">
        <f>Results_proc_ener!P167</f>
        <v>121615.60957094238</v>
      </c>
      <c r="AB167" s="5">
        <f>Results_proc_ener!Q167</f>
        <v>2792.4912066678767</v>
      </c>
      <c r="AC167" s="5">
        <f>Results_proc_ener!R167</f>
        <v>198.1359304623245</v>
      </c>
      <c r="AD167" s="5">
        <f>Results_proc_ener!S167</f>
        <v>26163.745394563633</v>
      </c>
      <c r="AE167" s="5">
        <f>Results_proc_ener!T167</f>
        <v>73017.196539985962</v>
      </c>
    </row>
    <row r="168" spans="1:31" x14ac:dyDescent="0.25">
      <c r="A168" s="5"/>
      <c r="B168" s="5" t="str">
        <f t="shared" si="10"/>
        <v>Mod-H1</v>
      </c>
      <c r="C168" s="5" t="s">
        <v>38</v>
      </c>
      <c r="D168" s="5" t="str">
        <f t="shared" si="9"/>
        <v>H1</v>
      </c>
      <c r="E168" s="5" t="s">
        <v>3</v>
      </c>
      <c r="F168" s="5" t="s">
        <v>57</v>
      </c>
      <c r="G168" s="5" t="s">
        <v>57</v>
      </c>
      <c r="H168" s="5">
        <v>6</v>
      </c>
      <c r="I168" s="5"/>
      <c r="J168" s="5">
        <f t="shared" si="11"/>
        <v>6</v>
      </c>
      <c r="K168" s="5">
        <v>1000</v>
      </c>
      <c r="L168" s="8" cm="1">
        <f t="array" ref="L168">_xlfn.SWITCH(K168,200,_xlfn.XLOOKUP(J168,Manufacture!$C$18:$N$18,Manufacture!$C$20:$N$20) + _xlfn.XLOOKUP(B168&amp;"|"&amp;E168,
        Calculate_cap_emi!$L$14:$L$21&amp;"|"&amp;Calculate_cap_emi!$I$14:$I$21,
        Calculate_cap_emi!$AI$14:$AI$21, "Not found", 0), LOOKUP(K168,Manufacture!$C$24:$D$24,Manufacture!$C$26:$D$26) + _xlfn.XLOOKUP(J168,Manufacture!$C$18:$N$18,Manufacture!$C$20:$N$20) + _xlfn.XLOOKUP(B168&amp;"|"&amp;E168,
        Calculate_cap_emi!$L$14:$L$21&amp;"|"&amp;Calculate_cap_emi!$I$14:$I$21,
        Calculate_cap_emi!$AI$14:$AI$21, "Not found", 0))</f>
        <v>3926.3008937645391</v>
      </c>
      <c r="M168" s="8">
        <f>LOOKUP(J168,Manufacture!$C$18:$N$18,Manufacture!$C$20:$N$20)</f>
        <v>1750.8811764705879</v>
      </c>
      <c r="N168" s="8" cm="1">
        <f t="array" ref="N168">_xlfn.SWITCH(K168,200,0,LOOKUP(K168,Manufacture!$C$24:$D$24,Manufacture!$C$26:$D$26))</f>
        <v>659.59090909090912</v>
      </c>
      <c r="O168" s="5" cm="1">
        <f t="array" ref="O168">_xlfn.XLOOKUP(B168&amp;"|"&amp;E168,
        Calculate_cap_emi!$L$14:$L$21&amp;"|"&amp;Calculate_cap_emi!$I$14:$I$21,
        Calculate_cap_emi!$AI$14:$AI$21, "Not found", 0)</f>
        <v>1515.8288082030419</v>
      </c>
      <c r="P168" s="8">
        <f t="shared" si="12"/>
        <v>3926.3008937645391</v>
      </c>
      <c r="Q168" s="8" cm="1">
        <f t="array" ref="Q168">_xlfn.SWITCH(K168,200,_xlfn.XLOOKUP(J168,Distribution!$C$18:$N$18,Distribution!$C$20:$N$20) + _xlfn.XLOOKUP(B168&amp;"|"&amp;E168,
        Calculate_cap_emi!$L$14:$L$21&amp;"|"&amp;Calculate_cap_emi!$I$14:$I$21,
        Calculate_cap_emi!$AP$14:$AP$21, "Not found", 0), LOOKUP(K168,Distribution!$C$24:$D$24,Distribution!$C$26:$D$26) + _xlfn.XLOOKUP(J168,Distribution!$C$18:$N$18,Distribution!$C$20:$N$20) + _xlfn.XLOOKUP(B168&amp;"|"&amp;E168,
        Calculate_cap_emi!$L$14:$L$21&amp;"|"&amp;Calculate_cap_emi!$I$14:$I$21,
        Calculate_cap_emi!$AP$14:$AP$21, "Not found", 0))</f>
        <v>130.90133192816955</v>
      </c>
      <c r="R168" s="8" cm="1">
        <f t="array" ref="R168">_xlfn.SWITCH(K168,200,_xlfn.XLOOKUP(J168,Installation!$C$18:$N$18,Installation!$C$20:$N$20) + _xlfn.XLOOKUP(B168&amp;"|"&amp;E168,
        Calculate_cap_emi!$L$14:$L$21&amp;"|"&amp;Calculate_cap_emi!$I$14:$I$21,
        Calculate_cap_emi!$AW$14:$AW$21, "Not found", 0), LOOKUP(K168,Installation!$C$24:$D$24,Installation!$C$26:$D$26) + _xlfn.XLOOKUP(J168,Installation!$C$18:$N$18,Installation!$C$20:$N$20) + _xlfn.XLOOKUP(B168&amp;"|"&amp;E168,
        Calculate_cap_emi!$L$14:$L$21&amp;"|"&amp;Calculate_cap_emi!$I$14:$I$21,
        Calculate_cap_emi!$AW$14:$AW$21, "Not found", 0))</f>
        <v>113.02547333243197</v>
      </c>
      <c r="S168" s="8" cm="1">
        <f t="array" ref="S168">_xlfn.SWITCH(K168,200,_xlfn.XLOOKUP(J168,EOL!$C$18:$N$18,EOL!$C$20:$N$20) + _xlfn.XLOOKUP(B168&amp;"|"&amp;E168,
        Calculate_cap_emi!$L$14:$L$21&amp;"|"&amp;Calculate_cap_emi!$I$14:$I$21,
        Calculate_cap_emi!$BD$14:$BD$21, "Not found", 0), LOOKUP(K168,EOL!$C$24:$D$24,EOL!$C$26:$D$26) + _xlfn.XLOOKUP(J168,EOL!$C$18:$N$18,EOL!$C$20:$N$20) + _xlfn.XLOOKUP(B168&amp;"|"&amp;E168,
        Calculate_cap_emi!$L$14:$L$21&amp;"|"&amp;Calculate_cap_emi!$I$14:$I$21,
        Calculate_cap_emi!$BD$14:$BD$21, "Not found", 0))</f>
        <v>766.20751647913426</v>
      </c>
      <c r="T168" s="8" cm="1">
        <f t="array" ref="T168">_xlfn.SWITCH(K168,200,_xlfn.XLOOKUP(J168,Other!$C$18:$N$18,Other!$C$20:$N$20) + _xlfn.XLOOKUP(B168&amp;"|"&amp;E168,
        Calculate_cap_emi!$L$14:$L$21&amp;"|"&amp;Calculate_cap_emi!$I$14:$I$21,
        Calculate_cap_emi!$BK$14:$BK$21, "Not found", 0), LOOKUP(K168,Other!$C$24:$D$24,Other!$C$26:$D$26) + _xlfn.XLOOKUP(J168,Other!$C$18:$N$18,Other!$C$20:$N$20) + _xlfn.XLOOKUP(B168&amp;"|"&amp;E168,
        Calculate_cap_emi!$L$14:$L$21&amp;"|"&amp;Calculate_cap_emi!$I$14:$I$21,
        Calculate_cap_emi!$BK$14:$BK$21, "Not found", 0))</f>
        <v>2275.239131805658</v>
      </c>
      <c r="U168" s="8" cm="1">
        <f t="array" ref="U168">_xlfn.SWITCH(K168,200,_xlfn.XLOOKUP(J168,EOL_R!$C$18:$N$18,EOL_R!$C$20:$N$20) + _xlfn.XLOOKUP(B168&amp;"|"&amp;E168,
        Calculate_cap_emi_sens!$L$14:$L$21&amp;"|"&amp;Calculate_cap_emi_sens!$I$14:$I$21,
        Calculate_cap_emi_sens!$BD$14:$BD$21, "Not found", 0), LOOKUP(K168,EOL_R!$C$24:$D$24,EOL_R!$C$26:$D$26) + _xlfn.XLOOKUP(J168,EOL_R!$C$18:$N$18,EOL_R!$C$20:$N$20) + _xlfn.XLOOKUP(B168&amp;"|"&amp;E168,
        Calculate_cap_emi_sens!$L$14:$L$21&amp;"|"&amp;Calculate_cap_emi_sens!$I$14:$I$21,
        Calculate_cap_emi_sens!$BD$14:$BD$21, "Not found", 0))</f>
        <v>645.04035382561437</v>
      </c>
      <c r="V168" s="8" cm="1">
        <f t="array" ref="V168">_xlfn.SWITCH(K168,200,_xlfn.XLOOKUP(J168,Other_R!$C$18:$N$18,Other_R!$C$20:$N$20) + _xlfn.XLOOKUP(B168&amp;"|"&amp;E168,
        Calculate_cap_emi_sens!$L$14:$L$21&amp;"|"&amp;Calculate_cap_emi_sens!$I$14:$I$21,
        Calculate_cap_emi_sens!$BK$14:$BK$21, "Not found", 0), LOOKUP(K168,Other_R!$C$24:$D$24,Other_R!$C$26:$D$26) + _xlfn.XLOOKUP(J168,Other_R!$C$18:$N$18,Other_R!$C$20:$N$20) + _xlfn.XLOOKUP(B168&amp;"|"&amp;E168,
        Calculate_cap_emi_sens!$L$14:$L$21&amp;"|"&amp;Calculate_cap_emi_sens!$I$14:$I$21,
        Calculate_cap_emi_sens!$BK$14:$BK$21, "Not found", 0))</f>
        <v>1893.2477322416021</v>
      </c>
      <c r="W168" s="5">
        <f>Results_proc_ener!L168</f>
        <v>121970.44817124022</v>
      </c>
      <c r="X168" s="5">
        <f>Results_proc_ener!M168</f>
        <v>48695.486398672118</v>
      </c>
      <c r="Y168" s="5">
        <f>Results_proc_ener!N168</f>
        <v>20573.31818181818</v>
      </c>
      <c r="Z168" s="5">
        <f>Results_proc_ener!O168</f>
        <v>52701.643590749925</v>
      </c>
      <c r="AA168" s="5">
        <f>Results_proc_ener!P168</f>
        <v>121970.44817124022</v>
      </c>
      <c r="AB168" s="5">
        <f>Results_proc_ener!Q168</f>
        <v>2825.1954998030265</v>
      </c>
      <c r="AC168" s="5">
        <f>Results_proc_ener!R168</f>
        <v>200.59500872234676</v>
      </c>
      <c r="AD168" s="5">
        <f>Results_proc_ener!S168</f>
        <v>26163.745394563633</v>
      </c>
      <c r="AE168" s="5">
        <f>Results_proc_ener!T168</f>
        <v>73039.086289948769</v>
      </c>
    </row>
    <row r="169" spans="1:31" x14ac:dyDescent="0.25">
      <c r="A169" s="5"/>
      <c r="B169" s="5" t="str">
        <f t="shared" si="10"/>
        <v>Mod-H1</v>
      </c>
      <c r="C169" s="5" t="s">
        <v>38</v>
      </c>
      <c r="D169" s="5" t="str">
        <f t="shared" si="9"/>
        <v>H1</v>
      </c>
      <c r="E169" s="5" t="s">
        <v>3</v>
      </c>
      <c r="F169" s="5" t="s">
        <v>57</v>
      </c>
      <c r="G169" s="5" t="s">
        <v>57</v>
      </c>
      <c r="H169" s="5">
        <v>8.5</v>
      </c>
      <c r="I169" s="5"/>
      <c r="J169" s="5">
        <f t="shared" si="11"/>
        <v>9</v>
      </c>
      <c r="K169" s="5">
        <v>1000</v>
      </c>
      <c r="L169" s="8" cm="1">
        <f t="array" ref="L169">_xlfn.SWITCH(K169,200,_xlfn.XLOOKUP(J169,Manufacture!$C$18:$N$18,Manufacture!$C$20:$N$20) + _xlfn.XLOOKUP(B169&amp;"|"&amp;E169,
        Calculate_cap_emi!$L$14:$L$21&amp;"|"&amp;Calculate_cap_emi!$I$14:$I$21,
        Calculate_cap_emi!$AI$14:$AI$21, "Not found", 0), LOOKUP(K169,Manufacture!$C$24:$D$24,Manufacture!$C$26:$D$26) + _xlfn.XLOOKUP(J169,Manufacture!$C$18:$N$18,Manufacture!$C$20:$N$20) + _xlfn.XLOOKUP(B169&amp;"|"&amp;E169,
        Calculate_cap_emi!$L$14:$L$21&amp;"|"&amp;Calculate_cap_emi!$I$14:$I$21,
        Calculate_cap_emi!$AI$14:$AI$21, "Not found", 0))</f>
        <v>4045.0744231763038</v>
      </c>
      <c r="M169" s="8">
        <f>LOOKUP(J169,Manufacture!$C$18:$N$18,Manufacture!$C$20:$N$20)</f>
        <v>1869.654705882353</v>
      </c>
      <c r="N169" s="8" cm="1">
        <f t="array" ref="N169">_xlfn.SWITCH(K169,200,0,LOOKUP(K169,Manufacture!$C$24:$D$24,Manufacture!$C$26:$D$26))</f>
        <v>659.59090909090912</v>
      </c>
      <c r="O169" s="5" cm="1">
        <f t="array" ref="O169">_xlfn.XLOOKUP(B169&amp;"|"&amp;E169,
        Calculate_cap_emi!$L$14:$L$21&amp;"|"&amp;Calculate_cap_emi!$I$14:$I$21,
        Calculate_cap_emi!$AI$14:$AI$21, "Not found", 0)</f>
        <v>1515.8288082030419</v>
      </c>
      <c r="P169" s="8">
        <f t="shared" si="12"/>
        <v>4045.0744231763038</v>
      </c>
      <c r="Q169" s="8" cm="1">
        <f t="array" ref="Q169">_xlfn.SWITCH(K169,200,_xlfn.XLOOKUP(J169,Distribution!$C$18:$N$18,Distribution!$C$20:$N$20) + _xlfn.XLOOKUP(B169&amp;"|"&amp;E169,
        Calculate_cap_emi!$L$14:$L$21&amp;"|"&amp;Calculate_cap_emi!$I$14:$I$21,
        Calculate_cap_emi!$AP$14:$AP$21, "Not found", 0), LOOKUP(K169,Distribution!$C$24:$D$24,Distribution!$C$26:$D$26) + _xlfn.XLOOKUP(J169,Distribution!$C$18:$N$18,Distribution!$C$20:$N$20) + _xlfn.XLOOKUP(B169&amp;"|"&amp;E169,
        Calculate_cap_emi!$L$14:$L$21&amp;"|"&amp;Calculate_cap_emi!$I$14:$I$21,
        Calculate_cap_emi!$AP$14:$AP$21, "Not found", 0))</f>
        <v>135.53396467087546</v>
      </c>
      <c r="R169" s="8" cm="1">
        <f t="array" ref="R169">_xlfn.SWITCH(K169,200,_xlfn.XLOOKUP(J169,Installation!$C$18:$N$18,Installation!$C$20:$N$20) + _xlfn.XLOOKUP(B169&amp;"|"&amp;E169,
        Calculate_cap_emi!$L$14:$L$21&amp;"|"&amp;Calculate_cap_emi!$I$14:$I$21,
        Calculate_cap_emi!$AW$14:$AW$21, "Not found", 0), LOOKUP(K169,Installation!$C$24:$D$24,Installation!$C$26:$D$26) + _xlfn.XLOOKUP(J169,Installation!$C$18:$N$18,Installation!$C$20:$N$20) + _xlfn.XLOOKUP(B169&amp;"|"&amp;E169,
        Calculate_cap_emi!$L$14:$L$21&amp;"|"&amp;Calculate_cap_emi!$I$14:$I$21,
        Calculate_cap_emi!$AW$14:$AW$21, "Not found", 0))</f>
        <v>120.40270811249849</v>
      </c>
      <c r="S169" s="8" cm="1">
        <f t="array" ref="S169">_xlfn.SWITCH(K169,200,_xlfn.XLOOKUP(J169,EOL!$C$18:$N$18,EOL!$C$20:$N$20) + _xlfn.XLOOKUP(B169&amp;"|"&amp;E169,
        Calculate_cap_emi!$L$14:$L$21&amp;"|"&amp;Calculate_cap_emi!$I$14:$I$21,
        Calculate_cap_emi!$BD$14:$BD$21, "Not found", 0), LOOKUP(K169,EOL!$C$24:$D$24,EOL!$C$26:$D$26) + _xlfn.XLOOKUP(J169,EOL!$C$18:$N$18,EOL!$C$20:$N$20) + _xlfn.XLOOKUP(B169&amp;"|"&amp;E169,
        Calculate_cap_emi!$L$14:$L$21&amp;"|"&amp;Calculate_cap_emi!$I$14:$I$21,
        Calculate_cap_emi!$BD$14:$BD$21, "Not found", 0))</f>
        <v>810.87822236148736</v>
      </c>
      <c r="T169" s="8" cm="1">
        <f t="array" ref="T169">_xlfn.SWITCH(K169,200,_xlfn.XLOOKUP(J169,Other!$C$18:$N$18,Other!$C$20:$N$20) + _xlfn.XLOOKUP(B169&amp;"|"&amp;E169,
        Calculate_cap_emi!$L$14:$L$21&amp;"|"&amp;Calculate_cap_emi!$I$14:$I$21,
        Calculate_cap_emi!$BK$14:$BK$21, "Not found", 0), LOOKUP(K169,Other!$C$24:$D$24,Other!$C$26:$D$26) + _xlfn.XLOOKUP(J169,Other!$C$18:$N$18,Other!$C$20:$N$20) + _xlfn.XLOOKUP(B169&amp;"|"&amp;E169,
        Calculate_cap_emi!$L$14:$L$21&amp;"|"&amp;Calculate_cap_emi!$I$14:$I$21,
        Calculate_cap_emi!$BK$14:$BK$21, "Not found", 0))</f>
        <v>2340.9083816940783</v>
      </c>
      <c r="U169" s="8" cm="1">
        <f t="array" ref="U169">_xlfn.SWITCH(K169,200,_xlfn.XLOOKUP(J169,EOL_R!$C$18:$N$18,EOL_R!$C$20:$N$20) + _xlfn.XLOOKUP(B169&amp;"|"&amp;E169,
        Calculate_cap_emi_sens!$L$14:$L$21&amp;"|"&amp;Calculate_cap_emi_sens!$I$14:$I$21,
        Calculate_cap_emi_sens!$BD$14:$BD$21, "Not found", 0), LOOKUP(K169,EOL_R!$C$24:$D$24,EOL_R!$C$26:$D$26) + _xlfn.XLOOKUP(J169,EOL_R!$C$18:$N$18,EOL_R!$C$20:$N$20) + _xlfn.XLOOKUP(B169&amp;"|"&amp;E169,
        Calculate_cap_emi_sens!$L$14:$L$21&amp;"|"&amp;Calculate_cap_emi_sens!$I$14:$I$21,
        Calculate_cap_emi_sens!$BD$14:$BD$21, "Not found", 0))</f>
        <v>660.81736400028581</v>
      </c>
      <c r="V169" s="8" cm="1">
        <f t="array" ref="V169">_xlfn.SWITCH(K169,200,_xlfn.XLOOKUP(J169,Other_R!$C$18:$N$18,Other_R!$C$20:$N$20) + _xlfn.XLOOKUP(B169&amp;"|"&amp;E169,
        Calculate_cap_emi_sens!$L$14:$L$21&amp;"|"&amp;Calculate_cap_emi_sens!$I$14:$I$21,
        Calculate_cap_emi_sens!$BK$14:$BK$21, "Not found", 0), LOOKUP(K169,Other_R!$C$24:$D$24,Other_R!$C$26:$D$26) + _xlfn.XLOOKUP(J169,Other_R!$C$18:$N$18,Other_R!$C$20:$N$20) + _xlfn.XLOOKUP(B169&amp;"|"&amp;E169,
        Calculate_cap_emi_sens!$L$14:$L$21&amp;"|"&amp;Calculate_cap_emi_sens!$I$14:$I$21,
        Calculate_cap_emi_sens!$BK$14:$BK$21, "Not found", 0))</f>
        <v>1888.0409108490098</v>
      </c>
      <c r="W169" s="5">
        <f>Results_proc_ener!L169</f>
        <v>123034.96397213373</v>
      </c>
      <c r="X169" s="5">
        <f>Results_proc_ener!M169</f>
        <v>49760.002199565621</v>
      </c>
      <c r="Y169" s="5">
        <f>Results_proc_ener!N169</f>
        <v>20573.31818181818</v>
      </c>
      <c r="Z169" s="5">
        <f>Results_proc_ener!O169</f>
        <v>52701.643590749925</v>
      </c>
      <c r="AA169" s="5">
        <f>Results_proc_ener!P169</f>
        <v>123034.96397213373</v>
      </c>
      <c r="AB169" s="5">
        <f>Results_proc_ener!Q169</f>
        <v>2923.3083792084763</v>
      </c>
      <c r="AC169" s="5">
        <f>Results_proc_ener!R169</f>
        <v>207.97224350241328</v>
      </c>
      <c r="AD169" s="5">
        <f>Results_proc_ener!S169</f>
        <v>26163.745394563633</v>
      </c>
      <c r="AE169" s="5">
        <f>Results_proc_ener!T169</f>
        <v>73104.755539837191</v>
      </c>
    </row>
    <row r="170" spans="1:31" x14ac:dyDescent="0.25">
      <c r="A170" s="5"/>
      <c r="B170" s="5" t="str">
        <f t="shared" si="10"/>
        <v>Mod-H1</v>
      </c>
      <c r="C170" s="5" t="s">
        <v>38</v>
      </c>
      <c r="D170" s="5" t="str">
        <f t="shared" si="9"/>
        <v>H1</v>
      </c>
      <c r="E170" s="5" t="s">
        <v>3</v>
      </c>
      <c r="F170" s="5" t="s">
        <v>57</v>
      </c>
      <c r="G170" s="5" t="s">
        <v>57</v>
      </c>
      <c r="H170" s="5">
        <v>11.2</v>
      </c>
      <c r="I170" s="5"/>
      <c r="J170" s="5">
        <f t="shared" si="11"/>
        <v>12</v>
      </c>
      <c r="K170" s="5">
        <v>1000</v>
      </c>
      <c r="L170" s="8" cm="1">
        <f t="array" ref="L170">_xlfn.SWITCH(K170,200,_xlfn.XLOOKUP(J170,Manufacture!$C$18:$N$18,Manufacture!$C$20:$N$20) + _xlfn.XLOOKUP(B170&amp;"|"&amp;E170,
        Calculate_cap_emi!$L$14:$L$21&amp;"|"&amp;Calculate_cap_emi!$I$14:$I$21,
        Calculate_cap_emi!$AI$14:$AI$21, "Not found", 0), LOOKUP(K170,Manufacture!$C$24:$D$24,Manufacture!$C$26:$D$26) + _xlfn.XLOOKUP(J170,Manufacture!$C$18:$N$18,Manufacture!$C$20:$N$20) + _xlfn.XLOOKUP(B170&amp;"|"&amp;E170,
        Calculate_cap_emi!$L$14:$L$21&amp;"|"&amp;Calculate_cap_emi!$I$14:$I$21,
        Calculate_cap_emi!$AI$14:$AI$21, "Not found", 0))</f>
        <v>4163.8479525880684</v>
      </c>
      <c r="M170" s="8">
        <f>LOOKUP(J170,Manufacture!$C$18:$N$18,Manufacture!$C$20:$N$20)</f>
        <v>1988.4282352941175</v>
      </c>
      <c r="N170" s="8" cm="1">
        <f t="array" ref="N170">_xlfn.SWITCH(K170,200,0,LOOKUP(K170,Manufacture!$C$24:$D$24,Manufacture!$C$26:$D$26))</f>
        <v>659.59090909090912</v>
      </c>
      <c r="O170" s="5" cm="1">
        <f t="array" ref="O170">_xlfn.XLOOKUP(B170&amp;"|"&amp;E170,
        Calculate_cap_emi!$L$14:$L$21&amp;"|"&amp;Calculate_cap_emi!$I$14:$I$21,
        Calculate_cap_emi!$AI$14:$AI$21, "Not found", 0)</f>
        <v>1515.8288082030419</v>
      </c>
      <c r="P170" s="8">
        <f t="shared" si="12"/>
        <v>4163.8479525880684</v>
      </c>
      <c r="Q170" s="8" cm="1">
        <f t="array" ref="Q170">_xlfn.SWITCH(K170,200,_xlfn.XLOOKUP(J170,Distribution!$C$18:$N$18,Distribution!$C$20:$N$20) + _xlfn.XLOOKUP(B170&amp;"|"&amp;E170,
        Calculate_cap_emi!$L$14:$L$21&amp;"|"&amp;Calculate_cap_emi!$I$14:$I$21,
        Calculate_cap_emi!$AP$14:$AP$21, "Not found", 0), LOOKUP(K170,Distribution!$C$24:$D$24,Distribution!$C$26:$D$26) + _xlfn.XLOOKUP(J170,Distribution!$C$18:$N$18,Distribution!$C$20:$N$20) + _xlfn.XLOOKUP(B170&amp;"|"&amp;E170,
        Calculate_cap_emi!$L$14:$L$21&amp;"|"&amp;Calculate_cap_emi!$I$14:$I$21,
        Calculate_cap_emi!$AP$14:$AP$21, "Not found", 0))</f>
        <v>140.16659741358134</v>
      </c>
      <c r="R170" s="8" cm="1">
        <f t="array" ref="R170">_xlfn.SWITCH(K170,200,_xlfn.XLOOKUP(J170,Installation!$C$18:$N$18,Installation!$C$20:$N$20) + _xlfn.XLOOKUP(B170&amp;"|"&amp;E170,
        Calculate_cap_emi!$L$14:$L$21&amp;"|"&amp;Calculate_cap_emi!$I$14:$I$21,
        Calculate_cap_emi!$AW$14:$AW$21, "Not found", 0), LOOKUP(K170,Installation!$C$24:$D$24,Installation!$C$26:$D$26) + _xlfn.XLOOKUP(J170,Installation!$C$18:$N$18,Installation!$C$20:$N$20) + _xlfn.XLOOKUP(B170&amp;"|"&amp;E170,
        Calculate_cap_emi!$L$14:$L$21&amp;"|"&amp;Calculate_cap_emi!$I$14:$I$21,
        Calculate_cap_emi!$AW$14:$AW$21, "Not found", 0))</f>
        <v>127.77994289256516</v>
      </c>
      <c r="S170" s="8" cm="1">
        <f t="array" ref="S170">_xlfn.SWITCH(K170,200,_xlfn.XLOOKUP(J170,EOL!$C$18:$N$18,EOL!$C$20:$N$20) + _xlfn.XLOOKUP(B170&amp;"|"&amp;E170,
        Calculate_cap_emi!$L$14:$L$21&amp;"|"&amp;Calculate_cap_emi!$I$14:$I$21,
        Calculate_cap_emi!$BD$14:$BD$21, "Not found", 0), LOOKUP(K170,EOL!$C$24:$D$24,EOL!$C$26:$D$26) + _xlfn.XLOOKUP(J170,EOL!$C$18:$N$18,EOL!$C$20:$N$20) + _xlfn.XLOOKUP(B170&amp;"|"&amp;E170,
        Calculate_cap_emi!$L$14:$L$21&amp;"|"&amp;Calculate_cap_emi!$I$14:$I$21,
        Calculate_cap_emi!$BD$14:$BD$21, "Not found", 0))</f>
        <v>855.54892824384024</v>
      </c>
      <c r="T170" s="8" cm="1">
        <f t="array" ref="T170">_xlfn.SWITCH(K170,200,_xlfn.XLOOKUP(J170,Other!$C$18:$N$18,Other!$C$20:$N$20) + _xlfn.XLOOKUP(B170&amp;"|"&amp;E170,
        Calculate_cap_emi!$L$14:$L$21&amp;"|"&amp;Calculate_cap_emi!$I$14:$I$21,
        Calculate_cap_emi!$BK$14:$BK$21, "Not found", 0), LOOKUP(K170,Other!$C$24:$D$24,Other!$C$26:$D$26) + _xlfn.XLOOKUP(J170,Other!$C$18:$N$18,Other!$C$20:$N$20) + _xlfn.XLOOKUP(B170&amp;"|"&amp;E170,
        Calculate_cap_emi!$L$14:$L$21&amp;"|"&amp;Calculate_cap_emi!$I$14:$I$21,
        Calculate_cap_emi!$BK$14:$BK$21, "Not found", 0))</f>
        <v>2406.5776315824996</v>
      </c>
      <c r="U170" s="8" cm="1">
        <f t="array" ref="U170">_xlfn.SWITCH(K170,200,_xlfn.XLOOKUP(J170,EOL_R!$C$18:$N$18,EOL_R!$C$20:$N$20) + _xlfn.XLOOKUP(B170&amp;"|"&amp;E170,
        Calculate_cap_emi_sens!$L$14:$L$21&amp;"|"&amp;Calculate_cap_emi_sens!$I$14:$I$21,
        Calculate_cap_emi_sens!$BD$14:$BD$21, "Not found", 0), LOOKUP(K170,EOL_R!$C$24:$D$24,EOL_R!$C$26:$D$26) + _xlfn.XLOOKUP(J170,EOL_R!$C$18:$N$18,EOL_R!$C$20:$N$20) + _xlfn.XLOOKUP(B170&amp;"|"&amp;E170,
        Calculate_cap_emi_sens!$L$14:$L$21&amp;"|"&amp;Calculate_cap_emi_sens!$I$14:$I$21,
        Calculate_cap_emi_sens!$BD$14:$BD$21, "Not found", 0))</f>
        <v>684.98766652916561</v>
      </c>
      <c r="V170" s="8" cm="1">
        <f t="array" ref="V170">_xlfn.SWITCH(K170,200,_xlfn.XLOOKUP(J170,Other_R!$C$18:$N$18,Other_R!$C$20:$N$20) + _xlfn.XLOOKUP(B170&amp;"|"&amp;E170,
        Calculate_cap_emi_sens!$L$14:$L$21&amp;"|"&amp;Calculate_cap_emi_sens!$I$14:$I$21,
        Calculate_cap_emi_sens!$BK$14:$BK$21, "Not found", 0), LOOKUP(K170,Other_R!$C$24:$D$24,Other_R!$C$26:$D$26) + _xlfn.XLOOKUP(J170,Other_R!$C$18:$N$18,Other_R!$C$20:$N$20) + _xlfn.XLOOKUP(B170&amp;"|"&amp;E170,
        Calculate_cap_emi_sens!$L$14:$L$21&amp;"|"&amp;Calculate_cap_emi_sens!$I$14:$I$21,
        Calculate_cap_emi_sens!$BK$14:$BK$21, "Not found", 0))</f>
        <v>1903.4227878769225</v>
      </c>
      <c r="W170" s="5">
        <f>Results_proc_ener!L170</f>
        <v>124099.47977302736</v>
      </c>
      <c r="X170" s="5">
        <f>Results_proc_ener!M170</f>
        <v>50824.518000459248</v>
      </c>
      <c r="Y170" s="5">
        <f>Results_proc_ener!N170</f>
        <v>20573.31818181818</v>
      </c>
      <c r="Z170" s="5">
        <f>Results_proc_ener!O170</f>
        <v>52701.643590749925</v>
      </c>
      <c r="AA170" s="5">
        <f>Results_proc_ener!P170</f>
        <v>124099.47977302736</v>
      </c>
      <c r="AB170" s="5">
        <f>Results_proc_ener!Q170</f>
        <v>3021.4212586139261</v>
      </c>
      <c r="AC170" s="5">
        <f>Results_proc_ener!R170</f>
        <v>215.34947828247994</v>
      </c>
      <c r="AD170" s="5">
        <f>Results_proc_ener!S170</f>
        <v>26163.745394563633</v>
      </c>
      <c r="AE170" s="5">
        <f>Results_proc_ener!T170</f>
        <v>73170.424789725614</v>
      </c>
    </row>
    <row r="171" spans="1:31" x14ac:dyDescent="0.25">
      <c r="A171" s="5"/>
      <c r="B171" s="5" t="str">
        <f t="shared" si="10"/>
        <v>Mod-H1</v>
      </c>
      <c r="C171" s="5" t="s">
        <v>38</v>
      </c>
      <c r="D171" s="5" t="str">
        <f t="shared" si="9"/>
        <v>H1</v>
      </c>
      <c r="E171" s="5" t="s">
        <v>3</v>
      </c>
      <c r="F171" s="5" t="s">
        <v>57</v>
      </c>
      <c r="G171" s="5" t="s">
        <v>57</v>
      </c>
      <c r="H171" s="5">
        <v>14</v>
      </c>
      <c r="I171" s="5"/>
      <c r="J171" s="5">
        <f t="shared" si="11"/>
        <v>14</v>
      </c>
      <c r="K171" s="5">
        <v>1000</v>
      </c>
      <c r="L171" s="8" cm="1">
        <f t="array" ref="L171">_xlfn.SWITCH(K171,200,_xlfn.XLOOKUP(J171,Manufacture!$C$18:$N$18,Manufacture!$C$20:$N$20) + _xlfn.XLOOKUP(B171&amp;"|"&amp;E171,
        Calculate_cap_emi!$L$14:$L$21&amp;"|"&amp;Calculate_cap_emi!$I$14:$I$21,
        Calculate_cap_emi!$AI$14:$AI$21, "Not found", 0), LOOKUP(K171,Manufacture!$C$24:$D$24,Manufacture!$C$26:$D$26) + _xlfn.XLOOKUP(J171,Manufacture!$C$18:$N$18,Manufacture!$C$20:$N$20) + _xlfn.XLOOKUP(B171&amp;"|"&amp;E171,
        Calculate_cap_emi!$L$14:$L$21&amp;"|"&amp;Calculate_cap_emi!$I$14:$I$21,
        Calculate_cap_emi!$AI$14:$AI$21, "Not found", 0))</f>
        <v>4243.0303055292452</v>
      </c>
      <c r="M171" s="8">
        <f>LOOKUP(J171,Manufacture!$C$18:$N$18,Manufacture!$C$20:$N$20)</f>
        <v>2067.610588235294</v>
      </c>
      <c r="N171" s="8" cm="1">
        <f t="array" ref="N171">_xlfn.SWITCH(K171,200,0,LOOKUP(K171,Manufacture!$C$24:$D$24,Manufacture!$C$26:$D$26))</f>
        <v>659.59090909090912</v>
      </c>
      <c r="O171" s="5" cm="1">
        <f t="array" ref="O171">_xlfn.XLOOKUP(B171&amp;"|"&amp;E171,
        Calculate_cap_emi!$L$14:$L$21&amp;"|"&amp;Calculate_cap_emi!$I$14:$I$21,
        Calculate_cap_emi!$AI$14:$AI$21, "Not found", 0)</f>
        <v>1515.8288082030419</v>
      </c>
      <c r="P171" s="8">
        <f t="shared" si="12"/>
        <v>4243.0303055292452</v>
      </c>
      <c r="Q171" s="8" cm="1">
        <f t="array" ref="Q171">_xlfn.SWITCH(K171,200,_xlfn.XLOOKUP(J171,Distribution!$C$18:$N$18,Distribution!$C$20:$N$20) + _xlfn.XLOOKUP(B171&amp;"|"&amp;E171,
        Calculate_cap_emi!$L$14:$L$21&amp;"|"&amp;Calculate_cap_emi!$I$14:$I$21,
        Calculate_cap_emi!$AP$14:$AP$21, "Not found", 0), LOOKUP(K171,Distribution!$C$24:$D$24,Distribution!$C$26:$D$26) + _xlfn.XLOOKUP(J171,Distribution!$C$18:$N$18,Distribution!$C$20:$N$20) + _xlfn.XLOOKUP(B171&amp;"|"&amp;E171,
        Calculate_cap_emi!$L$14:$L$21&amp;"|"&amp;Calculate_cap_emi!$I$14:$I$21,
        Calculate_cap_emi!$AP$14:$AP$21, "Not found", 0))</f>
        <v>143.2550192420519</v>
      </c>
      <c r="R171" s="8" cm="1">
        <f t="array" ref="R171">_xlfn.SWITCH(K171,200,_xlfn.XLOOKUP(J171,Installation!$C$18:$N$18,Installation!$C$20:$N$20) + _xlfn.XLOOKUP(B171&amp;"|"&amp;E171,
        Calculate_cap_emi!$L$14:$L$21&amp;"|"&amp;Calculate_cap_emi!$I$14:$I$21,
        Calculate_cap_emi!$AW$14:$AW$21, "Not found", 0), LOOKUP(K171,Installation!$C$24:$D$24,Installation!$C$26:$D$26) + _xlfn.XLOOKUP(J171,Installation!$C$18:$N$18,Installation!$C$20:$N$20) + _xlfn.XLOOKUP(B171&amp;"|"&amp;E171,
        Calculate_cap_emi!$L$14:$L$21&amp;"|"&amp;Calculate_cap_emi!$I$14:$I$21,
        Calculate_cap_emi!$AW$14:$AW$21, "Not found", 0))</f>
        <v>132.69809941260968</v>
      </c>
      <c r="S171" s="8" cm="1">
        <f t="array" ref="S171">_xlfn.SWITCH(K171,200,_xlfn.XLOOKUP(J171,EOL!$C$18:$N$18,EOL!$C$20:$N$20) + _xlfn.XLOOKUP(B171&amp;"|"&amp;E171,
        Calculate_cap_emi!$L$14:$L$21&amp;"|"&amp;Calculate_cap_emi!$I$14:$I$21,
        Calculate_cap_emi!$BD$14:$BD$21, "Not found", 0), LOOKUP(K171,EOL!$C$24:$D$24,EOL!$C$26:$D$26) + _xlfn.XLOOKUP(J171,EOL!$C$18:$N$18,EOL!$C$20:$N$20) + _xlfn.XLOOKUP(B171&amp;"|"&amp;E171,
        Calculate_cap_emi!$L$14:$L$21&amp;"|"&amp;Calculate_cap_emi!$I$14:$I$21,
        Calculate_cap_emi!$BD$14:$BD$21, "Not found", 0))</f>
        <v>885.32939883207541</v>
      </c>
      <c r="T171" s="8" cm="1">
        <f t="array" ref="T171">_xlfn.SWITCH(K171,200,_xlfn.XLOOKUP(J171,Other!$C$18:$N$18,Other!$C$20:$N$20) + _xlfn.XLOOKUP(B171&amp;"|"&amp;E171,
        Calculate_cap_emi!$L$14:$L$21&amp;"|"&amp;Calculate_cap_emi!$I$14:$I$21,
        Calculate_cap_emi!$BK$14:$BK$21, "Not found", 0), LOOKUP(K171,Other!$C$24:$D$24,Other!$C$26:$D$26) + _xlfn.XLOOKUP(J171,Other!$C$18:$N$18,Other!$C$20:$N$20) + _xlfn.XLOOKUP(B171&amp;"|"&amp;E171,
        Calculate_cap_emi!$L$14:$L$21&amp;"|"&amp;Calculate_cap_emi!$I$14:$I$21,
        Calculate_cap_emi!$BK$14:$BK$21, "Not found", 0))</f>
        <v>2450.3571315081131</v>
      </c>
      <c r="U171" s="8" cm="1">
        <f t="array" ref="U171">_xlfn.SWITCH(K171,200,_xlfn.XLOOKUP(J171,EOL_R!$C$18:$N$18,EOL_R!$C$20:$N$20) + _xlfn.XLOOKUP(B171&amp;"|"&amp;E171,
        Calculate_cap_emi_sens!$L$14:$L$21&amp;"|"&amp;Calculate_cap_emi_sens!$I$14:$I$21,
        Calculate_cap_emi_sens!$BD$14:$BD$21, "Not found", 0), LOOKUP(K171,EOL_R!$C$24:$D$24,EOL_R!$C$26:$D$26) + _xlfn.XLOOKUP(J171,EOL_R!$C$18:$N$18,EOL_R!$C$20:$N$20) + _xlfn.XLOOKUP(B171&amp;"|"&amp;E171,
        Calculate_cap_emi_sens!$L$14:$L$21&amp;"|"&amp;Calculate_cap_emi_sens!$I$14:$I$21,
        Calculate_cap_emi_sens!$BD$14:$BD$21, "Not found", 0))</f>
        <v>703.78326382745831</v>
      </c>
      <c r="V171" s="8" cm="1">
        <f t="array" ref="V171">_xlfn.SWITCH(K171,200,_xlfn.XLOOKUP(J171,Other_R!$C$18:$N$18,Other_R!$C$20:$N$20) + _xlfn.XLOOKUP(B171&amp;"|"&amp;E171,
        Calculate_cap_emi_sens!$L$14:$L$21&amp;"|"&amp;Calculate_cap_emi_sens!$I$14:$I$21,
        Calculate_cap_emi_sens!$BK$14:$BK$21, "Not found", 0), LOOKUP(K171,Other_R!$C$24:$D$24,Other_R!$C$26:$D$26) + _xlfn.XLOOKUP(J171,Other_R!$C$18:$N$18,Other_R!$C$20:$N$20) + _xlfn.XLOOKUP(B171&amp;"|"&amp;E171,
        Calculate_cap_emi_sens!$L$14:$L$21&amp;"|"&amp;Calculate_cap_emi_sens!$I$14:$I$21,
        Calculate_cap_emi_sens!$BK$14:$BK$21, "Not found", 0))</f>
        <v>1920.2564560824396</v>
      </c>
      <c r="W171" s="5">
        <f>Results_proc_ener!L171</f>
        <v>124809.15697362303</v>
      </c>
      <c r="X171" s="5">
        <f>Results_proc_ener!M171</f>
        <v>51534.195201054921</v>
      </c>
      <c r="Y171" s="5">
        <f>Results_proc_ener!N171</f>
        <v>20573.31818181818</v>
      </c>
      <c r="Z171" s="5">
        <f>Results_proc_ener!O171</f>
        <v>52701.643590749925</v>
      </c>
      <c r="AA171" s="5">
        <f>Results_proc_ener!P171</f>
        <v>124809.15697362303</v>
      </c>
      <c r="AB171" s="5">
        <f>Results_proc_ener!Q171</f>
        <v>3086.8298448842261</v>
      </c>
      <c r="AC171" s="5">
        <f>Results_proc_ener!R171</f>
        <v>220.26763480252447</v>
      </c>
      <c r="AD171" s="5">
        <f>Results_proc_ener!S171</f>
        <v>26163.745394563633</v>
      </c>
      <c r="AE171" s="5">
        <f>Results_proc_ener!T171</f>
        <v>73214.204289651228</v>
      </c>
    </row>
    <row r="172" spans="1:31" x14ac:dyDescent="0.25">
      <c r="A172" s="5"/>
      <c r="B172" s="5" t="str">
        <f t="shared" si="10"/>
        <v>Mass-H1</v>
      </c>
      <c r="C172" s="5" t="s">
        <v>37</v>
      </c>
      <c r="D172" s="5" t="str">
        <f t="shared" si="9"/>
        <v>H1</v>
      </c>
      <c r="E172" s="5" t="s">
        <v>11</v>
      </c>
      <c r="F172" s="5" t="s">
        <v>54</v>
      </c>
      <c r="G172" s="5" t="s">
        <v>54</v>
      </c>
      <c r="H172" s="5">
        <v>8.5</v>
      </c>
      <c r="I172" s="5"/>
      <c r="J172" s="5">
        <f t="shared" si="11"/>
        <v>9</v>
      </c>
      <c r="K172" s="5">
        <v>200</v>
      </c>
      <c r="L172" s="8" cm="1">
        <f t="array" ref="L172">_xlfn.SWITCH(K172,200,_xlfn.XLOOKUP(J172,Manufacture!$C$18:$N$18,Manufacture!$C$20:$N$20) + _xlfn.XLOOKUP(B172&amp;"|"&amp;E172,
        Calculate_cap_emi!$L$14:$L$21&amp;"|"&amp;Calculate_cap_emi!$I$14:$I$21,
        Calculate_cap_emi!$AI$14:$AI$21, "Not found", 0), LOOKUP(K172,Manufacture!$C$24:$D$24,Manufacture!$C$26:$D$26) + _xlfn.XLOOKUP(J172,Manufacture!$C$18:$N$18,Manufacture!$C$20:$N$20) + _xlfn.XLOOKUP(B172&amp;"|"&amp;E172,
        Calculate_cap_emi!$L$14:$L$21&amp;"|"&amp;Calculate_cap_emi!$I$14:$I$21,
        Calculate_cap_emi!$AI$14:$AI$21, "Not found", 0))</f>
        <v>3176.1069887013177</v>
      </c>
      <c r="M172" s="8">
        <f>LOOKUP(J172,Manufacture!$C$18:$N$18,Manufacture!$C$20:$N$20)</f>
        <v>1869.654705882353</v>
      </c>
      <c r="N172" s="8" cm="1">
        <f t="array" ref="N172">_xlfn.SWITCH(K172,200,0,LOOKUP(K172,Manufacture!$C$24:$D$24,Manufacture!$C$26:$D$26))</f>
        <v>0</v>
      </c>
      <c r="O172" s="5" cm="1">
        <f t="array" ref="O172">_xlfn.XLOOKUP(B172&amp;"|"&amp;E172,
        Calculate_cap_emi!$L$14:$L$21&amp;"|"&amp;Calculate_cap_emi!$I$14:$I$21,
        Calculate_cap_emi!$AI$14:$AI$21, "Not found", 0)</f>
        <v>1306.4522828189647</v>
      </c>
      <c r="P172" s="8">
        <f t="shared" si="12"/>
        <v>3176.1069887013177</v>
      </c>
      <c r="Q172" s="8" cm="1">
        <f t="array" ref="Q172">_xlfn.SWITCH(K172,200,_xlfn.XLOOKUP(J172,Distribution!$C$18:$N$18,Distribution!$C$20:$N$20) + _xlfn.XLOOKUP(B172&amp;"|"&amp;E172,
        Calculate_cap_emi!$L$14:$L$21&amp;"|"&amp;Calculate_cap_emi!$I$14:$I$21,
        Calculate_cap_emi!$AP$14:$AP$21, "Not found", 0), LOOKUP(K172,Distribution!$C$24:$D$24,Distribution!$C$26:$D$26) + _xlfn.XLOOKUP(J172,Distribution!$C$18:$N$18,Distribution!$C$20:$N$20) + _xlfn.XLOOKUP(B172&amp;"|"&amp;E172,
        Calculate_cap_emi!$L$14:$L$21&amp;"|"&amp;Calculate_cap_emi!$I$14:$I$21,
        Calculate_cap_emi!$AP$14:$AP$21, "Not found", 0))</f>
        <v>115.41789982031167</v>
      </c>
      <c r="R172" s="8" cm="1">
        <f t="array" ref="R172">_xlfn.SWITCH(K172,200,_xlfn.XLOOKUP(J172,Installation!$C$18:$N$18,Installation!$C$20:$N$20) + _xlfn.XLOOKUP(B172&amp;"|"&amp;E172,
        Calculate_cap_emi!$L$14:$L$21&amp;"|"&amp;Calculate_cap_emi!$I$14:$I$21,
        Calculate_cap_emi!$AW$14:$AW$21, "Not found", 0), LOOKUP(K172,Installation!$C$24:$D$24,Installation!$C$26:$D$26) + _xlfn.XLOOKUP(J172,Installation!$C$18:$N$18,Installation!$C$20:$N$20) + _xlfn.XLOOKUP(B172&amp;"|"&amp;E172,
        Calculate_cap_emi!$L$14:$L$21&amp;"|"&amp;Calculate_cap_emi!$I$14:$I$21,
        Calculate_cap_emi!$AW$14:$AW$21, "Not found", 0))</f>
        <v>110.70417104889053</v>
      </c>
      <c r="S172" s="8" cm="1">
        <f t="array" ref="S172">_xlfn.SWITCH(K172,200,_xlfn.XLOOKUP(J172,EOL!$C$18:$N$18,EOL!$C$20:$N$20) + _xlfn.XLOOKUP(B172&amp;"|"&amp;E172,
        Calculate_cap_emi!$L$14:$L$21&amp;"|"&amp;Calculate_cap_emi!$I$14:$I$21,
        Calculate_cap_emi!$BD$14:$BD$21, "Not found", 0), LOOKUP(K172,EOL!$C$24:$D$24,EOL!$C$26:$D$26) + _xlfn.XLOOKUP(J172,EOL!$C$18:$N$18,EOL!$C$20:$N$20) + _xlfn.XLOOKUP(B172&amp;"|"&amp;E172,
        Calculate_cap_emi!$L$14:$L$21&amp;"|"&amp;Calculate_cap_emi!$I$14:$I$21,
        Calculate_cap_emi!$BD$14:$BD$21, "Not found", 0))</f>
        <v>508.33209026404415</v>
      </c>
      <c r="T172" s="8" cm="1">
        <f t="array" ref="T172">_xlfn.SWITCH(K172,200,_xlfn.XLOOKUP(J172,Other!$C$18:$N$18,Other!$C$20:$N$20) + _xlfn.XLOOKUP(B172&amp;"|"&amp;E172,
        Calculate_cap_emi!$L$14:$L$21&amp;"|"&amp;Calculate_cap_emi!$I$14:$I$21,
        Calculate_cap_emi!$BK$14:$BK$21, "Not found", 0), LOOKUP(K172,Other!$C$24:$D$24,Other!$C$26:$D$26) + _xlfn.XLOOKUP(J172,Other!$C$18:$N$18,Other!$C$20:$N$20) + _xlfn.XLOOKUP(B172&amp;"|"&amp;E172,
        Calculate_cap_emi!$L$14:$L$21&amp;"|"&amp;Calculate_cap_emi!$I$14:$I$21,
        Calculate_cap_emi!$BK$14:$BK$21, "Not found", 0))</f>
        <v>2183.8497771109533</v>
      </c>
      <c r="U172" s="8" cm="1">
        <f t="array" ref="U172">_xlfn.SWITCH(K172,200,_xlfn.XLOOKUP(J172,EOL_R!$C$18:$N$18,EOL_R!$C$20:$N$20) + _xlfn.XLOOKUP(B172&amp;"|"&amp;E172,
        Calculate_cap_emi_sens!$L$14:$L$21&amp;"|"&amp;Calculate_cap_emi_sens!$I$14:$I$21,
        Calculate_cap_emi_sens!$BD$14:$BD$21, "Not found", 0), LOOKUP(K172,EOL_R!$C$24:$D$24,EOL_R!$C$26:$D$26) + _xlfn.XLOOKUP(J172,EOL_R!$C$18:$N$18,EOL_R!$C$20:$N$20) + _xlfn.XLOOKUP(B172&amp;"|"&amp;E172,
        Calculate_cap_emi_sens!$L$14:$L$21&amp;"|"&amp;Calculate_cap_emi_sens!$I$14:$I$21,
        Calculate_cap_emi_sens!$BD$14:$BD$21, "Not found", 0))</f>
        <v>358.27123190284266</v>
      </c>
      <c r="V172" s="8" cm="1">
        <f t="array" ref="V172">_xlfn.SWITCH(K172,200,_xlfn.XLOOKUP(J172,Other_R!$C$18:$N$18,Other_R!$C$20:$N$20) + _xlfn.XLOOKUP(B172&amp;"|"&amp;E172,
        Calculate_cap_emi_sens!$L$14:$L$21&amp;"|"&amp;Calculate_cap_emi_sens!$I$14:$I$21,
        Calculate_cap_emi_sens!$BK$14:$BK$21, "Not found", 0), LOOKUP(K172,Other_R!$C$24:$D$24,Other_R!$C$26:$D$26) + _xlfn.XLOOKUP(J172,Other_R!$C$18:$N$18,Other_R!$C$20:$N$20) + _xlfn.XLOOKUP(B172&amp;"|"&amp;E172,
        Calculate_cap_emi_sens!$L$14:$L$21&amp;"|"&amp;Calculate_cap_emi_sens!$I$14:$I$21,
        Calculate_cap_emi_sens!$BK$14:$BK$21, "Not found", 0))</f>
        <v>1730.9823062658847</v>
      </c>
      <c r="W172" s="5">
        <f>Results_proc_ener!L172</f>
        <v>94932.855229065579</v>
      </c>
      <c r="X172" s="5">
        <f>Results_proc_ener!M172</f>
        <v>49760.002199565621</v>
      </c>
      <c r="Y172" s="5">
        <f>Results_proc_ener!N172</f>
        <v>0</v>
      </c>
      <c r="Z172" s="5">
        <f>Results_proc_ener!O172</f>
        <v>45172.853029499965</v>
      </c>
      <c r="AA172" s="5">
        <f>Results_proc_ener!P172</f>
        <v>94932.855229065579</v>
      </c>
      <c r="AB172" s="5">
        <f>Results_proc_ener!Q172</f>
        <v>2444.3946056656987</v>
      </c>
      <c r="AC172" s="5">
        <f>Results_proc_ener!R172</f>
        <v>200.47744362826552</v>
      </c>
      <c r="AD172" s="5">
        <f>Results_proc_ener!S172</f>
        <v>5019.9731652</v>
      </c>
      <c r="AE172" s="5">
        <f>Results_proc_ener!T172</f>
        <v>65822.150426137203</v>
      </c>
    </row>
    <row r="173" spans="1:31" x14ac:dyDescent="0.25">
      <c r="A173" s="5"/>
      <c r="B173" s="5" t="str">
        <f t="shared" si="10"/>
        <v>Mass-H1</v>
      </c>
      <c r="C173" s="5" t="s">
        <v>37</v>
      </c>
      <c r="D173" s="5" t="str">
        <f t="shared" si="9"/>
        <v>H1</v>
      </c>
      <c r="E173" s="5" t="s">
        <v>11</v>
      </c>
      <c r="F173" s="5" t="s">
        <v>54</v>
      </c>
      <c r="G173" s="5" t="s">
        <v>54</v>
      </c>
      <c r="H173" s="5">
        <v>11.2</v>
      </c>
      <c r="I173" s="5"/>
      <c r="J173" s="5">
        <f t="shared" si="11"/>
        <v>12</v>
      </c>
      <c r="K173" s="5">
        <v>200</v>
      </c>
      <c r="L173" s="8" cm="1">
        <f t="array" ref="L173">_xlfn.SWITCH(K173,200,_xlfn.XLOOKUP(J173,Manufacture!$C$18:$N$18,Manufacture!$C$20:$N$20) + _xlfn.XLOOKUP(B173&amp;"|"&amp;E173,
        Calculate_cap_emi!$L$14:$L$21&amp;"|"&amp;Calculate_cap_emi!$I$14:$I$21,
        Calculate_cap_emi!$AI$14:$AI$21, "Not found", 0), LOOKUP(K173,Manufacture!$C$24:$D$24,Manufacture!$C$26:$D$26) + _xlfn.XLOOKUP(J173,Manufacture!$C$18:$N$18,Manufacture!$C$20:$N$20) + _xlfn.XLOOKUP(B173&amp;"|"&amp;E173,
        Calculate_cap_emi!$L$14:$L$21&amp;"|"&amp;Calculate_cap_emi!$I$14:$I$21,
        Calculate_cap_emi!$AI$14:$AI$21, "Not found", 0))</f>
        <v>3294.880518113082</v>
      </c>
      <c r="M173" s="8">
        <f>LOOKUP(J173,Manufacture!$C$18:$N$18,Manufacture!$C$20:$N$20)</f>
        <v>1988.4282352941175</v>
      </c>
      <c r="N173" s="8" cm="1">
        <f t="array" ref="N173">_xlfn.SWITCH(K173,200,0,LOOKUP(K173,Manufacture!$C$24:$D$24,Manufacture!$C$26:$D$26))</f>
        <v>0</v>
      </c>
      <c r="O173" s="5" cm="1">
        <f t="array" ref="O173">_xlfn.XLOOKUP(B173&amp;"|"&amp;E173,
        Calculate_cap_emi!$L$14:$L$21&amp;"|"&amp;Calculate_cap_emi!$I$14:$I$21,
        Calculate_cap_emi!$AI$14:$AI$21, "Not found", 0)</f>
        <v>1306.4522828189647</v>
      </c>
      <c r="P173" s="8">
        <f t="shared" si="12"/>
        <v>3294.880518113082</v>
      </c>
      <c r="Q173" s="8" cm="1">
        <f t="array" ref="Q173">_xlfn.SWITCH(K173,200,_xlfn.XLOOKUP(J173,Distribution!$C$18:$N$18,Distribution!$C$20:$N$20) + _xlfn.XLOOKUP(B173&amp;"|"&amp;E173,
        Calculate_cap_emi!$L$14:$L$21&amp;"|"&amp;Calculate_cap_emi!$I$14:$I$21,
        Calculate_cap_emi!$AP$14:$AP$21, "Not found", 0), LOOKUP(K173,Distribution!$C$24:$D$24,Distribution!$C$26:$D$26) + _xlfn.XLOOKUP(J173,Distribution!$C$18:$N$18,Distribution!$C$20:$N$20) + _xlfn.XLOOKUP(B173&amp;"|"&amp;E173,
        Calculate_cap_emi!$L$14:$L$21&amp;"|"&amp;Calculate_cap_emi!$I$14:$I$21,
        Calculate_cap_emi!$AP$14:$AP$21, "Not found", 0))</f>
        <v>120.05053256301755</v>
      </c>
      <c r="R173" s="8" cm="1">
        <f t="array" ref="R173">_xlfn.SWITCH(K173,200,_xlfn.XLOOKUP(J173,Installation!$C$18:$N$18,Installation!$C$20:$N$20) + _xlfn.XLOOKUP(B173&amp;"|"&amp;E173,
        Calculate_cap_emi!$L$14:$L$21&amp;"|"&amp;Calculate_cap_emi!$I$14:$I$21,
        Calculate_cap_emi!$AW$14:$AW$21, "Not found", 0), LOOKUP(K173,Installation!$C$24:$D$24,Installation!$C$26:$D$26) + _xlfn.XLOOKUP(J173,Installation!$C$18:$N$18,Installation!$C$20:$N$20) + _xlfn.XLOOKUP(B173&amp;"|"&amp;E173,
        Calculate_cap_emi!$L$14:$L$21&amp;"|"&amp;Calculate_cap_emi!$I$14:$I$21,
        Calculate_cap_emi!$AW$14:$AW$21, "Not found", 0))</f>
        <v>118.0814058289572</v>
      </c>
      <c r="S173" s="8" cm="1">
        <f t="array" ref="S173">_xlfn.SWITCH(K173,200,_xlfn.XLOOKUP(J173,EOL!$C$18:$N$18,EOL!$C$20:$N$20) + _xlfn.XLOOKUP(B173&amp;"|"&amp;E173,
        Calculate_cap_emi!$L$14:$L$21&amp;"|"&amp;Calculate_cap_emi!$I$14:$I$21,
        Calculate_cap_emi!$BD$14:$BD$21, "Not found", 0), LOOKUP(K173,EOL!$C$24:$D$24,EOL!$C$26:$D$26) + _xlfn.XLOOKUP(J173,EOL!$C$18:$N$18,EOL!$C$20:$N$20) + _xlfn.XLOOKUP(B173&amp;"|"&amp;E173,
        Calculate_cap_emi!$L$14:$L$21&amp;"|"&amp;Calculate_cap_emi!$I$14:$I$21,
        Calculate_cap_emi!$BD$14:$BD$21, "Not found", 0))</f>
        <v>553.00279614639703</v>
      </c>
      <c r="T173" s="8" cm="1">
        <f t="array" ref="T173">_xlfn.SWITCH(K173,200,_xlfn.XLOOKUP(J173,Other!$C$18:$N$18,Other!$C$20:$N$20) + _xlfn.XLOOKUP(B173&amp;"|"&amp;E173,
        Calculate_cap_emi!$L$14:$L$21&amp;"|"&amp;Calculate_cap_emi!$I$14:$I$21,
        Calculate_cap_emi!$BK$14:$BK$21, "Not found", 0), LOOKUP(K173,Other!$C$24:$D$24,Other!$C$26:$D$26) + _xlfn.XLOOKUP(J173,Other!$C$18:$N$18,Other!$C$20:$N$20) + _xlfn.XLOOKUP(B173&amp;"|"&amp;E173,
        Calculate_cap_emi!$L$14:$L$21&amp;"|"&amp;Calculate_cap_emi!$I$14:$I$21,
        Calculate_cap_emi!$BK$14:$BK$21, "Not found", 0))</f>
        <v>2249.5190269993745</v>
      </c>
      <c r="U173" s="8" cm="1">
        <f t="array" ref="U173">_xlfn.SWITCH(K173,200,_xlfn.XLOOKUP(J173,EOL_R!$C$18:$N$18,EOL_R!$C$20:$N$20) + _xlfn.XLOOKUP(B173&amp;"|"&amp;E173,
        Calculate_cap_emi_sens!$L$14:$L$21&amp;"|"&amp;Calculate_cap_emi_sens!$I$14:$I$21,
        Calculate_cap_emi_sens!$BD$14:$BD$21, "Not found", 0), LOOKUP(K173,EOL_R!$C$24:$D$24,EOL_R!$C$26:$D$26) + _xlfn.XLOOKUP(J173,EOL_R!$C$18:$N$18,EOL_R!$C$20:$N$20) + _xlfn.XLOOKUP(B173&amp;"|"&amp;E173,
        Calculate_cap_emi_sens!$L$14:$L$21&amp;"|"&amp;Calculate_cap_emi_sens!$I$14:$I$21,
        Calculate_cap_emi_sens!$BD$14:$BD$21, "Not found", 0))</f>
        <v>382.44153443172252</v>
      </c>
      <c r="V173" s="8" cm="1">
        <f t="array" ref="V173">_xlfn.SWITCH(K173,200,_xlfn.XLOOKUP(J173,Other_R!$C$18:$N$18,Other_R!$C$20:$N$20) + _xlfn.XLOOKUP(B173&amp;"|"&amp;E173,
        Calculate_cap_emi_sens!$L$14:$L$21&amp;"|"&amp;Calculate_cap_emi_sens!$I$14:$I$21,
        Calculate_cap_emi_sens!$BK$14:$BK$21, "Not found", 0), LOOKUP(K173,Other_R!$C$24:$D$24,Other_R!$C$26:$D$26) + _xlfn.XLOOKUP(J173,Other_R!$C$18:$N$18,Other_R!$C$20:$N$20) + _xlfn.XLOOKUP(B173&amp;"|"&amp;E173,
        Calculate_cap_emi_sens!$L$14:$L$21&amp;"|"&amp;Calculate_cap_emi_sens!$I$14:$I$21,
        Calculate_cap_emi_sens!$BK$14:$BK$21, "Not found", 0))</f>
        <v>1746.3641832937974</v>
      </c>
      <c r="W173" s="5">
        <f>Results_proc_ener!L173</f>
        <v>95997.371029959206</v>
      </c>
      <c r="X173" s="5">
        <f>Results_proc_ener!M173</f>
        <v>50824.518000459248</v>
      </c>
      <c r="Y173" s="5">
        <f>Results_proc_ener!N173</f>
        <v>0</v>
      </c>
      <c r="Z173" s="5">
        <f>Results_proc_ener!O173</f>
        <v>45172.853029499965</v>
      </c>
      <c r="AA173" s="5">
        <f>Results_proc_ener!P173</f>
        <v>95997.371029959206</v>
      </c>
      <c r="AB173" s="5">
        <f>Results_proc_ener!Q173</f>
        <v>2542.507485071148</v>
      </c>
      <c r="AC173" s="5">
        <f>Results_proc_ener!R173</f>
        <v>207.85467840833221</v>
      </c>
      <c r="AD173" s="5">
        <f>Results_proc_ener!S173</f>
        <v>5019.9731652</v>
      </c>
      <c r="AE173" s="5">
        <f>Results_proc_ener!T173</f>
        <v>65887.819676025625</v>
      </c>
    </row>
    <row r="174" spans="1:31" x14ac:dyDescent="0.25">
      <c r="A174" s="5"/>
      <c r="B174" s="5" t="str">
        <f t="shared" si="10"/>
        <v>Mass-H1</v>
      </c>
      <c r="C174" s="5" t="s">
        <v>37</v>
      </c>
      <c r="D174" s="5" t="str">
        <f t="shared" si="9"/>
        <v>H1</v>
      </c>
      <c r="E174" s="5" t="s">
        <v>11</v>
      </c>
      <c r="F174" s="5" t="s">
        <v>54</v>
      </c>
      <c r="G174" s="5" t="s">
        <v>54</v>
      </c>
      <c r="H174" s="5">
        <v>14</v>
      </c>
      <c r="I174" s="5"/>
      <c r="J174" s="5">
        <f t="shared" si="11"/>
        <v>14</v>
      </c>
      <c r="K174" s="5">
        <v>200</v>
      </c>
      <c r="L174" s="8" cm="1">
        <f t="array" ref="L174">_xlfn.SWITCH(K174,200,_xlfn.XLOOKUP(J174,Manufacture!$C$18:$N$18,Manufacture!$C$20:$N$20) + _xlfn.XLOOKUP(B174&amp;"|"&amp;E174,
        Calculate_cap_emi!$L$14:$L$21&amp;"|"&amp;Calculate_cap_emi!$I$14:$I$21,
        Calculate_cap_emi!$AI$14:$AI$21, "Not found", 0), LOOKUP(K174,Manufacture!$C$24:$D$24,Manufacture!$C$26:$D$26) + _xlfn.XLOOKUP(J174,Manufacture!$C$18:$N$18,Manufacture!$C$20:$N$20) + _xlfn.XLOOKUP(B174&amp;"|"&amp;E174,
        Calculate_cap_emi!$L$14:$L$21&amp;"|"&amp;Calculate_cap_emi!$I$14:$I$21,
        Calculate_cap_emi!$AI$14:$AI$21, "Not found", 0))</f>
        <v>3374.0628710542587</v>
      </c>
      <c r="M174" s="8">
        <f>LOOKUP(J174,Manufacture!$C$18:$N$18,Manufacture!$C$20:$N$20)</f>
        <v>2067.610588235294</v>
      </c>
      <c r="N174" s="8" cm="1">
        <f t="array" ref="N174">_xlfn.SWITCH(K174,200,0,LOOKUP(K174,Manufacture!$C$24:$D$24,Manufacture!$C$26:$D$26))</f>
        <v>0</v>
      </c>
      <c r="O174" s="5" cm="1">
        <f t="array" ref="O174">_xlfn.XLOOKUP(B174&amp;"|"&amp;E174,
        Calculate_cap_emi!$L$14:$L$21&amp;"|"&amp;Calculate_cap_emi!$I$14:$I$21,
        Calculate_cap_emi!$AI$14:$AI$21, "Not found", 0)</f>
        <v>1306.4522828189647</v>
      </c>
      <c r="P174" s="8">
        <f t="shared" si="12"/>
        <v>3374.0628710542587</v>
      </c>
      <c r="Q174" s="8" cm="1">
        <f t="array" ref="Q174">_xlfn.SWITCH(K174,200,_xlfn.XLOOKUP(J174,Distribution!$C$18:$N$18,Distribution!$C$20:$N$20) + _xlfn.XLOOKUP(B174&amp;"|"&amp;E174,
        Calculate_cap_emi!$L$14:$L$21&amp;"|"&amp;Calculate_cap_emi!$I$14:$I$21,
        Calculate_cap_emi!$AP$14:$AP$21, "Not found", 0), LOOKUP(K174,Distribution!$C$24:$D$24,Distribution!$C$26:$D$26) + _xlfn.XLOOKUP(J174,Distribution!$C$18:$N$18,Distribution!$C$20:$N$20) + _xlfn.XLOOKUP(B174&amp;"|"&amp;E174,
        Calculate_cap_emi!$L$14:$L$21&amp;"|"&amp;Calculate_cap_emi!$I$14:$I$21,
        Calculate_cap_emi!$AP$14:$AP$21, "Not found", 0))</f>
        <v>123.13895439148811</v>
      </c>
      <c r="R174" s="8" cm="1">
        <f t="array" ref="R174">_xlfn.SWITCH(K174,200,_xlfn.XLOOKUP(J174,Installation!$C$18:$N$18,Installation!$C$20:$N$20) + _xlfn.XLOOKUP(B174&amp;"|"&amp;E174,
        Calculate_cap_emi!$L$14:$L$21&amp;"|"&amp;Calculate_cap_emi!$I$14:$I$21,
        Calculate_cap_emi!$AW$14:$AW$21, "Not found", 0), LOOKUP(K174,Installation!$C$24:$D$24,Installation!$C$26:$D$26) + _xlfn.XLOOKUP(J174,Installation!$C$18:$N$18,Installation!$C$20:$N$20) + _xlfn.XLOOKUP(B174&amp;"|"&amp;E174,
        Calculate_cap_emi!$L$14:$L$21&amp;"|"&amp;Calculate_cap_emi!$I$14:$I$21,
        Calculate_cap_emi!$AW$14:$AW$21, "Not found", 0))</f>
        <v>122.99956234900172</v>
      </c>
      <c r="S174" s="8" cm="1">
        <f t="array" ref="S174">_xlfn.SWITCH(K174,200,_xlfn.XLOOKUP(J174,EOL!$C$18:$N$18,EOL!$C$20:$N$20) + _xlfn.XLOOKUP(B174&amp;"|"&amp;E174,
        Calculate_cap_emi!$L$14:$L$21&amp;"|"&amp;Calculate_cap_emi!$I$14:$I$21,
        Calculate_cap_emi!$BD$14:$BD$21, "Not found", 0), LOOKUP(K174,EOL!$C$24:$D$24,EOL!$C$26:$D$26) + _xlfn.XLOOKUP(J174,EOL!$C$18:$N$18,EOL!$C$20:$N$20) + _xlfn.XLOOKUP(B174&amp;"|"&amp;E174,
        Calculate_cap_emi!$L$14:$L$21&amp;"|"&amp;Calculate_cap_emi!$I$14:$I$21,
        Calculate_cap_emi!$BD$14:$BD$21, "Not found", 0))</f>
        <v>582.78326673463232</v>
      </c>
      <c r="T174" s="8" cm="1">
        <f t="array" ref="T174">_xlfn.SWITCH(K174,200,_xlfn.XLOOKUP(J174,Other!$C$18:$N$18,Other!$C$20:$N$20) + _xlfn.XLOOKUP(B174&amp;"|"&amp;E174,
        Calculate_cap_emi!$L$14:$L$21&amp;"|"&amp;Calculate_cap_emi!$I$14:$I$21,
        Calculate_cap_emi!$BK$14:$BK$21, "Not found", 0), LOOKUP(K174,Other!$C$24:$D$24,Other!$C$26:$D$26) + _xlfn.XLOOKUP(J174,Other!$C$18:$N$18,Other!$C$20:$N$20) + _xlfn.XLOOKUP(B174&amp;"|"&amp;E174,
        Calculate_cap_emi!$L$14:$L$21&amp;"|"&amp;Calculate_cap_emi!$I$14:$I$21,
        Calculate_cap_emi!$BK$14:$BK$21, "Not found", 0))</f>
        <v>2293.298526924988</v>
      </c>
      <c r="U174" s="8" cm="1">
        <f t="array" ref="U174">_xlfn.SWITCH(K174,200,_xlfn.XLOOKUP(J174,EOL_R!$C$18:$N$18,EOL_R!$C$20:$N$20) + _xlfn.XLOOKUP(B174&amp;"|"&amp;E174,
        Calculate_cap_emi_sens!$L$14:$L$21&amp;"|"&amp;Calculate_cap_emi_sens!$I$14:$I$21,
        Calculate_cap_emi_sens!$BD$14:$BD$21, "Not found", 0), LOOKUP(K174,EOL_R!$C$24:$D$24,EOL_R!$C$26:$D$26) + _xlfn.XLOOKUP(J174,EOL_R!$C$18:$N$18,EOL_R!$C$20:$N$20) + _xlfn.XLOOKUP(B174&amp;"|"&amp;E174,
        Calculate_cap_emi_sens!$L$14:$L$21&amp;"|"&amp;Calculate_cap_emi_sens!$I$14:$I$21,
        Calculate_cap_emi_sens!$BD$14:$BD$21, "Not found", 0))</f>
        <v>401.23713173001522</v>
      </c>
      <c r="V174" s="8" cm="1">
        <f t="array" ref="V174">_xlfn.SWITCH(K174,200,_xlfn.XLOOKUP(J174,Other_R!$C$18:$N$18,Other_R!$C$20:$N$20) + _xlfn.XLOOKUP(B174&amp;"|"&amp;E174,
        Calculate_cap_emi_sens!$L$14:$L$21&amp;"|"&amp;Calculate_cap_emi_sens!$I$14:$I$21,
        Calculate_cap_emi_sens!$BK$14:$BK$21, "Not found", 0), LOOKUP(K174,Other_R!$C$24:$D$24,Other_R!$C$26:$D$26) + _xlfn.XLOOKUP(J174,Other_R!$C$18:$N$18,Other_R!$C$20:$N$20) + _xlfn.XLOOKUP(B174&amp;"|"&amp;E174,
        Calculate_cap_emi_sens!$L$14:$L$21&amp;"|"&amp;Calculate_cap_emi_sens!$I$14:$I$21,
        Calculate_cap_emi_sens!$BK$14:$BK$21, "Not found", 0))</f>
        <v>1763.1978514993145</v>
      </c>
      <c r="W174" s="5">
        <f>Results_proc_ener!L174</f>
        <v>96707.048230554879</v>
      </c>
      <c r="X174" s="5">
        <f>Results_proc_ener!M174</f>
        <v>51534.195201054921</v>
      </c>
      <c r="Y174" s="5">
        <f>Results_proc_ener!N174</f>
        <v>0</v>
      </c>
      <c r="Z174" s="5">
        <f>Results_proc_ener!O174</f>
        <v>45172.853029499965</v>
      </c>
      <c r="AA174" s="5">
        <f>Results_proc_ener!P174</f>
        <v>96707.048230554879</v>
      </c>
      <c r="AB174" s="5">
        <f>Results_proc_ener!Q174</f>
        <v>2607.9160713414485</v>
      </c>
      <c r="AC174" s="5">
        <f>Results_proc_ener!R174</f>
        <v>212.77283492837671</v>
      </c>
      <c r="AD174" s="5">
        <f>Results_proc_ener!S174</f>
        <v>5019.9731652</v>
      </c>
      <c r="AE174" s="5">
        <f>Results_proc_ener!T174</f>
        <v>65931.599175951225</v>
      </c>
    </row>
    <row r="175" spans="1:31" x14ac:dyDescent="0.25">
      <c r="A175" s="5"/>
      <c r="B175" s="5" t="str">
        <f t="shared" si="10"/>
        <v>Mass-H1</v>
      </c>
      <c r="C175" s="5" t="s">
        <v>37</v>
      </c>
      <c r="D175" s="5" t="str">
        <f t="shared" si="9"/>
        <v>H1</v>
      </c>
      <c r="E175" s="5" t="s">
        <v>11</v>
      </c>
      <c r="F175" s="5" t="s">
        <v>55</v>
      </c>
      <c r="G175" s="5" t="s">
        <v>55</v>
      </c>
      <c r="H175" s="5">
        <v>5</v>
      </c>
      <c r="I175" s="5"/>
      <c r="J175" s="5">
        <f t="shared" si="11"/>
        <v>5</v>
      </c>
      <c r="K175" s="5">
        <v>500</v>
      </c>
      <c r="L175" s="8" cm="1">
        <f t="array" ref="L175">_xlfn.SWITCH(K175,200,_xlfn.XLOOKUP(J175,Manufacture!$C$18:$N$18,Manufacture!$C$20:$N$20) + _xlfn.XLOOKUP(B175&amp;"|"&amp;E175,
        Calculate_cap_emi!$L$14:$L$21&amp;"|"&amp;Calculate_cap_emi!$I$14:$I$21,
        Calculate_cap_emi!$AI$14:$AI$21, "Not found", 0), LOOKUP(K175,Manufacture!$C$24:$D$24,Manufacture!$C$26:$D$26) + _xlfn.XLOOKUP(J175,Manufacture!$C$18:$N$18,Manufacture!$C$20:$N$20) + _xlfn.XLOOKUP(B175&amp;"|"&amp;E175,
        Calculate_cap_emi!$L$14:$L$21&amp;"|"&amp;Calculate_cap_emi!$I$14:$I$21,
        Calculate_cap_emi!$AI$14:$AI$21, "Not found", 0))</f>
        <v>3353.7422828189647</v>
      </c>
      <c r="M175" s="8">
        <f>LOOKUP(J175,Manufacture!$C$18:$N$18,Manufacture!$C$20:$N$20)</f>
        <v>1711.29</v>
      </c>
      <c r="N175" s="8" cm="1">
        <f t="array" ref="N175">_xlfn.SWITCH(K175,200,0,LOOKUP(K175,Manufacture!$C$24:$D$24,Manufacture!$C$26:$D$26))</f>
        <v>336</v>
      </c>
      <c r="O175" s="5" cm="1">
        <f t="array" ref="O175">_xlfn.XLOOKUP(B175&amp;"|"&amp;E175,
        Calculate_cap_emi!$L$14:$L$21&amp;"|"&amp;Calculate_cap_emi!$I$14:$I$21,
        Calculate_cap_emi!$AI$14:$AI$21, "Not found", 0)</f>
        <v>1306.4522828189647</v>
      </c>
      <c r="P175" s="8">
        <f t="shared" si="12"/>
        <v>3353.7422828189647</v>
      </c>
      <c r="Q175" s="8" cm="1">
        <f t="array" ref="Q175">_xlfn.SWITCH(K175,200,_xlfn.XLOOKUP(J175,Distribution!$C$18:$N$18,Distribution!$C$20:$N$20) + _xlfn.XLOOKUP(B175&amp;"|"&amp;E175,
        Calculate_cap_emi!$L$14:$L$21&amp;"|"&amp;Calculate_cap_emi!$I$14:$I$21,
        Calculate_cap_emi!$AP$14:$AP$21, "Not found", 0), LOOKUP(K175,Distribution!$C$24:$D$24,Distribution!$C$26:$D$26) + _xlfn.XLOOKUP(J175,Distribution!$C$18:$N$18,Distribution!$C$20:$N$20) + _xlfn.XLOOKUP(B175&amp;"|"&amp;E175,
        Calculate_cap_emi!$L$14:$L$21&amp;"|"&amp;Calculate_cap_emi!$I$14:$I$21,
        Calculate_cap_emi!$AP$14:$AP$21, "Not found", 0))</f>
        <v>116.79401734518865</v>
      </c>
      <c r="R175" s="8" cm="1">
        <f t="array" ref="R175">_xlfn.SWITCH(K175,200,_xlfn.XLOOKUP(J175,Installation!$C$18:$N$18,Installation!$C$20:$N$20) + _xlfn.XLOOKUP(B175&amp;"|"&amp;E175,
        Calculate_cap_emi!$L$14:$L$21&amp;"|"&amp;Calculate_cap_emi!$I$14:$I$21,
        Calculate_cap_emi!$AW$14:$AW$21, "Not found", 0), LOOKUP(K175,Installation!$C$24:$D$24,Installation!$C$26:$D$26) + _xlfn.XLOOKUP(J175,Installation!$C$18:$N$18,Installation!$C$20:$N$20) + _xlfn.XLOOKUP(B175&amp;"|"&amp;E175,
        Calculate_cap_emi!$L$14:$L$21&amp;"|"&amp;Calculate_cap_emi!$I$14:$I$21,
        Calculate_cap_emi!$AW$14:$AW$21, "Not found", 0))</f>
        <v>112.32240346334721</v>
      </c>
      <c r="S175" s="8" cm="1">
        <f t="array" ref="S175">_xlfn.SWITCH(K175,200,_xlfn.XLOOKUP(J175,EOL!$C$18:$N$18,EOL!$C$20:$N$20) + _xlfn.XLOOKUP(B175&amp;"|"&amp;E175,
        Calculate_cap_emi!$L$14:$L$21&amp;"|"&amp;Calculate_cap_emi!$I$14:$I$21,
        Calculate_cap_emi!$BD$14:$BD$21, "Not found", 0), LOOKUP(K175,EOL!$C$24:$D$24,EOL!$C$26:$D$26) + _xlfn.XLOOKUP(J175,EOL!$C$18:$N$18,EOL!$C$20:$N$20) + _xlfn.XLOOKUP(B175&amp;"|"&amp;E175,
        Calculate_cap_emi!$L$14:$L$21&amp;"|"&amp;Calculate_cap_emi!$I$14:$I$21,
        Calculate_cap_emi!$BD$14:$BD$21, "Not found", 0))</f>
        <v>579.54387636030083</v>
      </c>
      <c r="T175" s="8" cm="1">
        <f t="array" ref="T175">_xlfn.SWITCH(K175,200,_xlfn.XLOOKUP(J175,Other!$C$18:$N$18,Other!$C$20:$N$20) + _xlfn.XLOOKUP(B175&amp;"|"&amp;E175,
        Calculate_cap_emi!$L$14:$L$21&amp;"|"&amp;Calculate_cap_emi!$I$14:$I$21,
        Calculate_cap_emi!$BK$14:$BK$21, "Not found", 0), LOOKUP(K175,Other!$C$24:$D$24,Other!$C$26:$D$26) + _xlfn.XLOOKUP(J175,Other!$C$18:$N$18,Other!$C$20:$N$20) + _xlfn.XLOOKUP(B175&amp;"|"&amp;E175,
        Calculate_cap_emi!$L$14:$L$21&amp;"|"&amp;Calculate_cap_emi!$I$14:$I$21,
        Calculate_cap_emi!$BK$14:$BK$21, "Not found", 0))</f>
        <v>2096.2907772597259</v>
      </c>
      <c r="U175" s="8" cm="1">
        <f t="array" ref="U175">_xlfn.SWITCH(K175,200,_xlfn.XLOOKUP(J175,EOL_R!$C$18:$N$18,EOL_R!$C$20:$N$20) + _xlfn.XLOOKUP(B175&amp;"|"&amp;E175,
        Calculate_cap_emi_sens!$L$14:$L$21&amp;"|"&amp;Calculate_cap_emi_sens!$I$14:$I$21,
        Calculate_cap_emi_sens!$BD$14:$BD$21, "Not found", 0), LOOKUP(K175,EOL_R!$C$24:$D$24,EOL_R!$C$26:$D$26) + _xlfn.XLOOKUP(J175,EOL_R!$C$18:$N$18,EOL_R!$C$20:$N$20) + _xlfn.XLOOKUP(B175&amp;"|"&amp;E175,
        Calculate_cap_emi_sens!$L$14:$L$21&amp;"|"&amp;Calculate_cap_emi_sens!$I$14:$I$21,
        Calculate_cap_emi_sens!$BD$14:$BD$21, "Not found", 0))</f>
        <v>471.36906120502721</v>
      </c>
      <c r="V175" s="8" cm="1">
        <f t="array" ref="V175">_xlfn.SWITCH(K175,200,_xlfn.XLOOKUP(J175,Other_R!$C$18:$N$18,Other_R!$C$20:$N$20) + _xlfn.XLOOKUP(B175&amp;"|"&amp;E175,
        Calculate_cap_emi_sens!$L$14:$L$21&amp;"|"&amp;Calculate_cap_emi_sens!$I$14:$I$21,
        Calculate_cap_emi_sens!$BK$14:$BK$21, "Not found", 0), LOOKUP(K175,Other_R!$C$24:$D$24,Other_R!$C$26:$D$26) + _xlfn.XLOOKUP(J175,Other_R!$C$18:$N$18,Other_R!$C$20:$N$20) + _xlfn.XLOOKUP(B175&amp;"|"&amp;E175,
        Calculate_cap_emi_sens!$L$14:$L$21&amp;"|"&amp;Calculate_cap_emi_sens!$I$14:$I$21,
        Calculate_cap_emi_sens!$BK$14:$BK$21, "Not found", 0))</f>
        <v>1746.1695322342116</v>
      </c>
      <c r="W175" s="5">
        <f>Results_proc_ener!L175</f>
        <v>104127.09173696516</v>
      </c>
      <c r="X175" s="5">
        <f>Results_proc_ener!M175</f>
        <v>48340.647798374281</v>
      </c>
      <c r="Y175" s="5">
        <f>Results_proc_ener!N175</f>
        <v>10613.59090909091</v>
      </c>
      <c r="Z175" s="5">
        <f>Results_proc_ener!O175</f>
        <v>45172.853029499965</v>
      </c>
      <c r="AA175" s="5">
        <f>Results_proc_ener!P175</f>
        <v>104127.09173696516</v>
      </c>
      <c r="AB175" s="5">
        <f>Results_proc_ener!Q175</f>
        <v>2500.4314079500987</v>
      </c>
      <c r="AC175" s="5">
        <f>Results_proc_ener!R175</f>
        <v>211.64113058817676</v>
      </c>
      <c r="AD175" s="5">
        <f>Results_proc_ener!S175</f>
        <v>15519.018619745453</v>
      </c>
      <c r="AE175" s="5">
        <f>Results_proc_ener!T175</f>
        <v>65734.591426285973</v>
      </c>
    </row>
    <row r="176" spans="1:31" x14ac:dyDescent="0.25">
      <c r="A176" s="5"/>
      <c r="B176" s="5" t="str">
        <f t="shared" si="10"/>
        <v>Mass-H1</v>
      </c>
      <c r="C176" s="5" t="s">
        <v>37</v>
      </c>
      <c r="D176" s="5" t="str">
        <f t="shared" si="9"/>
        <v>H1</v>
      </c>
      <c r="E176" s="5" t="s">
        <v>11</v>
      </c>
      <c r="F176" s="5" t="s">
        <v>55</v>
      </c>
      <c r="G176" s="5" t="s">
        <v>55</v>
      </c>
      <c r="H176" s="5">
        <v>6</v>
      </c>
      <c r="I176" s="5"/>
      <c r="J176" s="5">
        <f t="shared" si="11"/>
        <v>6</v>
      </c>
      <c r="K176" s="5">
        <v>500</v>
      </c>
      <c r="L176" s="8" cm="1">
        <f t="array" ref="L176">_xlfn.SWITCH(K176,200,_xlfn.XLOOKUP(J176,Manufacture!$C$18:$N$18,Manufacture!$C$20:$N$20) + _xlfn.XLOOKUP(B176&amp;"|"&amp;E176,
        Calculate_cap_emi!$L$14:$L$21&amp;"|"&amp;Calculate_cap_emi!$I$14:$I$21,
        Calculate_cap_emi!$AI$14:$AI$21, "Not found", 0), LOOKUP(K176,Manufacture!$C$24:$D$24,Manufacture!$C$26:$D$26) + _xlfn.XLOOKUP(J176,Manufacture!$C$18:$N$18,Manufacture!$C$20:$N$20) + _xlfn.XLOOKUP(B176&amp;"|"&amp;E176,
        Calculate_cap_emi!$L$14:$L$21&amp;"|"&amp;Calculate_cap_emi!$I$14:$I$21,
        Calculate_cap_emi!$AI$14:$AI$21, "Not found", 0))</f>
        <v>3393.3334592895526</v>
      </c>
      <c r="M176" s="8">
        <f>LOOKUP(J176,Manufacture!$C$18:$N$18,Manufacture!$C$20:$N$20)</f>
        <v>1750.8811764705879</v>
      </c>
      <c r="N176" s="8" cm="1">
        <f t="array" ref="N176">_xlfn.SWITCH(K176,200,0,LOOKUP(K176,Manufacture!$C$24:$D$24,Manufacture!$C$26:$D$26))</f>
        <v>336</v>
      </c>
      <c r="O176" s="5" cm="1">
        <f t="array" ref="O176">_xlfn.XLOOKUP(B176&amp;"|"&amp;E176,
        Calculate_cap_emi!$L$14:$L$21&amp;"|"&amp;Calculate_cap_emi!$I$14:$I$21,
        Calculate_cap_emi!$AI$14:$AI$21, "Not found", 0)</f>
        <v>1306.4522828189647</v>
      </c>
      <c r="P176" s="8">
        <f t="shared" si="12"/>
        <v>3393.3334592895526</v>
      </c>
      <c r="Q176" s="8" cm="1">
        <f t="array" ref="Q176">_xlfn.SWITCH(K176,200,_xlfn.XLOOKUP(J176,Distribution!$C$18:$N$18,Distribution!$C$20:$N$20) + _xlfn.XLOOKUP(B176&amp;"|"&amp;E176,
        Calculate_cap_emi!$L$14:$L$21&amp;"|"&amp;Calculate_cap_emi!$I$14:$I$21,
        Calculate_cap_emi!$AP$14:$AP$21, "Not found", 0), LOOKUP(K176,Distribution!$C$24:$D$24,Distribution!$C$26:$D$26) + _xlfn.XLOOKUP(J176,Distribution!$C$18:$N$18,Distribution!$C$20:$N$20) + _xlfn.XLOOKUP(B176&amp;"|"&amp;E176,
        Calculate_cap_emi!$L$14:$L$21&amp;"|"&amp;Calculate_cap_emi!$I$14:$I$21,
        Calculate_cap_emi!$AP$14:$AP$21, "Not found", 0))</f>
        <v>118.33822825942394</v>
      </c>
      <c r="R176" s="8" cm="1">
        <f t="array" ref="R176">_xlfn.SWITCH(K176,200,_xlfn.XLOOKUP(J176,Installation!$C$18:$N$18,Installation!$C$20:$N$20) + _xlfn.XLOOKUP(B176&amp;"|"&amp;E176,
        Calculate_cap_emi!$L$14:$L$21&amp;"|"&amp;Calculate_cap_emi!$I$14:$I$21,
        Calculate_cap_emi!$AW$14:$AW$21, "Not found", 0), LOOKUP(K176,Installation!$C$24:$D$24,Installation!$C$26:$D$26) + _xlfn.XLOOKUP(J176,Installation!$C$18:$N$18,Installation!$C$20:$N$20) + _xlfn.XLOOKUP(B176&amp;"|"&amp;E176,
        Calculate_cap_emi!$L$14:$L$21&amp;"|"&amp;Calculate_cap_emi!$I$14:$I$21,
        Calculate_cap_emi!$AW$14:$AW$21, "Not found", 0))</f>
        <v>114.78148172336947</v>
      </c>
      <c r="S176" s="8" cm="1">
        <f t="array" ref="S176">_xlfn.SWITCH(K176,200,_xlfn.XLOOKUP(J176,EOL!$C$18:$N$18,EOL!$C$20:$N$20) + _xlfn.XLOOKUP(B176&amp;"|"&amp;E176,
        Calculate_cap_emi!$L$14:$L$21&amp;"|"&amp;Calculate_cap_emi!$I$14:$I$21,
        Calculate_cap_emi!$BD$14:$BD$21, "Not found", 0), LOOKUP(K176,EOL!$C$24:$D$24,EOL!$C$26:$D$26) + _xlfn.XLOOKUP(J176,EOL!$C$18:$N$18,EOL!$C$20:$N$20) + _xlfn.XLOOKUP(B176&amp;"|"&amp;E176,
        Calculate_cap_emi!$L$14:$L$21&amp;"|"&amp;Calculate_cap_emi!$I$14:$I$21,
        Calculate_cap_emi!$BD$14:$BD$21, "Not found", 0))</f>
        <v>594.43411165441842</v>
      </c>
      <c r="T176" s="8" cm="1">
        <f t="array" ref="T176">_xlfn.SWITCH(K176,200,_xlfn.XLOOKUP(J176,Other!$C$18:$N$18,Other!$C$20:$N$20) + _xlfn.XLOOKUP(B176&amp;"|"&amp;E176,
        Calculate_cap_emi!$L$14:$L$21&amp;"|"&amp;Calculate_cap_emi!$I$14:$I$21,
        Calculate_cap_emi!$BK$14:$BK$21, "Not found", 0), LOOKUP(K176,Other!$C$24:$D$24,Other!$C$26:$D$26) + _xlfn.XLOOKUP(J176,Other!$C$18:$N$18,Other!$C$20:$N$20) + _xlfn.XLOOKUP(B176&amp;"|"&amp;E176,
        Calculate_cap_emi!$L$14:$L$21&amp;"|"&amp;Calculate_cap_emi!$I$14:$I$21,
        Calculate_cap_emi!$BK$14:$BK$21, "Not found", 0))</f>
        <v>2118.1805272225329</v>
      </c>
      <c r="U176" s="8" cm="1">
        <f t="array" ref="U176">_xlfn.SWITCH(K176,200,_xlfn.XLOOKUP(J176,EOL_R!$C$18:$N$18,EOL_R!$C$20:$N$20) + _xlfn.XLOOKUP(B176&amp;"|"&amp;E176,
        Calculate_cap_emi_sens!$L$14:$L$21&amp;"|"&amp;Calculate_cap_emi_sens!$I$14:$I$21,
        Calculate_cap_emi_sens!$BD$14:$BD$21, "Not found", 0), LOOKUP(K176,EOL_R!$C$24:$D$24,EOL_R!$C$26:$D$26) + _xlfn.XLOOKUP(J176,EOL_R!$C$18:$N$18,EOL_R!$C$20:$N$20) + _xlfn.XLOOKUP(B176&amp;"|"&amp;E176,
        Calculate_cap_emi_sens!$L$14:$L$21&amp;"|"&amp;Calculate_cap_emi_sens!$I$14:$I$21,
        Calculate_cap_emi_sens!$BD$14:$BD$21, "Not found", 0))</f>
        <v>473.26694900089848</v>
      </c>
      <c r="V176" s="8" cm="1">
        <f t="array" ref="V176">_xlfn.SWITCH(K176,200,_xlfn.XLOOKUP(J176,Other_R!$C$18:$N$18,Other_R!$C$20:$N$20) + _xlfn.XLOOKUP(B176&amp;"|"&amp;E176,
        Calculate_cap_emi_sens!$L$14:$L$21&amp;"|"&amp;Calculate_cap_emi_sens!$I$14:$I$21,
        Calculate_cap_emi_sens!$BK$14:$BK$21, "Not found", 0), LOOKUP(K176,Other_R!$C$24:$D$24,Other_R!$C$26:$D$26) + _xlfn.XLOOKUP(J176,Other_R!$C$18:$N$18,Other_R!$C$20:$N$20) + _xlfn.XLOOKUP(B176&amp;"|"&amp;E176,
        Calculate_cap_emi_sens!$L$14:$L$21&amp;"|"&amp;Calculate_cap_emi_sens!$I$14:$I$21,
        Calculate_cap_emi_sens!$BK$14:$BK$21, "Not found", 0))</f>
        <v>1736.189127658477</v>
      </c>
      <c r="W176" s="5">
        <f>Results_proc_ener!L176</f>
        <v>104481.93033726299</v>
      </c>
      <c r="X176" s="5">
        <f>Results_proc_ener!M176</f>
        <v>48695.486398672118</v>
      </c>
      <c r="Y176" s="5">
        <f>Results_proc_ener!N176</f>
        <v>10613.59090909091</v>
      </c>
      <c r="Z176" s="5">
        <f>Results_proc_ener!O176</f>
        <v>45172.853029499965</v>
      </c>
      <c r="AA176" s="5">
        <f>Results_proc_ener!P176</f>
        <v>104481.93033726299</v>
      </c>
      <c r="AB176" s="5">
        <f>Results_proc_ener!Q176</f>
        <v>2533.1357010852485</v>
      </c>
      <c r="AC176" s="5">
        <f>Results_proc_ener!R176</f>
        <v>214.10020884819903</v>
      </c>
      <c r="AD176" s="5">
        <f>Results_proc_ener!S176</f>
        <v>15519.018619745453</v>
      </c>
      <c r="AE176" s="5">
        <f>Results_proc_ener!T176</f>
        <v>65756.481176248781</v>
      </c>
    </row>
    <row r="177" spans="1:31" x14ac:dyDescent="0.25">
      <c r="A177" s="5"/>
      <c r="B177" s="5" t="str">
        <f t="shared" si="10"/>
        <v>Mass-H1</v>
      </c>
      <c r="C177" s="5" t="s">
        <v>37</v>
      </c>
      <c r="D177" s="5" t="str">
        <f t="shared" si="9"/>
        <v>H1</v>
      </c>
      <c r="E177" s="5" t="s">
        <v>11</v>
      </c>
      <c r="F177" s="5" t="s">
        <v>55</v>
      </c>
      <c r="G177" s="5" t="s">
        <v>55</v>
      </c>
      <c r="H177" s="5">
        <v>8.5</v>
      </c>
      <c r="I177" s="5"/>
      <c r="J177" s="5">
        <f t="shared" si="11"/>
        <v>9</v>
      </c>
      <c r="K177" s="5">
        <v>500</v>
      </c>
      <c r="L177" s="8" cm="1">
        <f t="array" ref="L177">_xlfn.SWITCH(K177,200,_xlfn.XLOOKUP(J177,Manufacture!$C$18:$N$18,Manufacture!$C$20:$N$20) + _xlfn.XLOOKUP(B177&amp;"|"&amp;E177,
        Calculate_cap_emi!$L$14:$L$21&amp;"|"&amp;Calculate_cap_emi!$I$14:$I$21,
        Calculate_cap_emi!$AI$14:$AI$21, "Not found", 0), LOOKUP(K177,Manufacture!$C$24:$D$24,Manufacture!$C$26:$D$26) + _xlfn.XLOOKUP(J177,Manufacture!$C$18:$N$18,Manufacture!$C$20:$N$20) + _xlfn.XLOOKUP(B177&amp;"|"&amp;E177,
        Calculate_cap_emi!$L$14:$L$21&amp;"|"&amp;Calculate_cap_emi!$I$14:$I$21,
        Calculate_cap_emi!$AI$14:$AI$21, "Not found", 0))</f>
        <v>3512.1069887013177</v>
      </c>
      <c r="M177" s="8">
        <f>LOOKUP(J177,Manufacture!$C$18:$N$18,Manufacture!$C$20:$N$20)</f>
        <v>1869.654705882353</v>
      </c>
      <c r="N177" s="8" cm="1">
        <f t="array" ref="N177">_xlfn.SWITCH(K177,200,0,LOOKUP(K177,Manufacture!$C$24:$D$24,Manufacture!$C$26:$D$26))</f>
        <v>336</v>
      </c>
      <c r="O177" s="5" cm="1">
        <f t="array" ref="O177">_xlfn.XLOOKUP(B177&amp;"|"&amp;E177,
        Calculate_cap_emi!$L$14:$L$21&amp;"|"&amp;Calculate_cap_emi!$I$14:$I$21,
        Calculate_cap_emi!$AI$14:$AI$21, "Not found", 0)</f>
        <v>1306.4522828189647</v>
      </c>
      <c r="P177" s="8">
        <f t="shared" si="12"/>
        <v>3512.1069887013177</v>
      </c>
      <c r="Q177" s="8" cm="1">
        <f t="array" ref="Q177">_xlfn.SWITCH(K177,200,_xlfn.XLOOKUP(J177,Distribution!$C$18:$N$18,Distribution!$C$20:$N$20) + _xlfn.XLOOKUP(B177&amp;"|"&amp;E177,
        Calculate_cap_emi!$L$14:$L$21&amp;"|"&amp;Calculate_cap_emi!$I$14:$I$21,
        Calculate_cap_emi!$AP$14:$AP$21, "Not found", 0), LOOKUP(K177,Distribution!$C$24:$D$24,Distribution!$C$26:$D$26) + _xlfn.XLOOKUP(J177,Distribution!$C$18:$N$18,Distribution!$C$20:$N$20) + _xlfn.XLOOKUP(B177&amp;"|"&amp;E177,
        Calculate_cap_emi!$L$14:$L$21&amp;"|"&amp;Calculate_cap_emi!$I$14:$I$21,
        Calculate_cap_emi!$AP$14:$AP$21, "Not found", 0))</f>
        <v>122.97086100212985</v>
      </c>
      <c r="R177" s="8" cm="1">
        <f t="array" ref="R177">_xlfn.SWITCH(K177,200,_xlfn.XLOOKUP(J177,Installation!$C$18:$N$18,Installation!$C$20:$N$20) + _xlfn.XLOOKUP(B177&amp;"|"&amp;E177,
        Calculate_cap_emi!$L$14:$L$21&amp;"|"&amp;Calculate_cap_emi!$I$14:$I$21,
        Calculate_cap_emi!$AW$14:$AW$21, "Not found", 0), LOOKUP(K177,Installation!$C$24:$D$24,Installation!$C$26:$D$26) + _xlfn.XLOOKUP(J177,Installation!$C$18:$N$18,Installation!$C$20:$N$20) + _xlfn.XLOOKUP(B177&amp;"|"&amp;E177,
        Calculate_cap_emi!$L$14:$L$21&amp;"|"&amp;Calculate_cap_emi!$I$14:$I$21,
        Calculate_cap_emi!$AW$14:$AW$21, "Not found", 0))</f>
        <v>122.15871650343598</v>
      </c>
      <c r="S177" s="8" cm="1">
        <f t="array" ref="S177">_xlfn.SWITCH(K177,200,_xlfn.XLOOKUP(J177,EOL!$C$18:$N$18,EOL!$C$20:$N$20) + _xlfn.XLOOKUP(B177&amp;"|"&amp;E177,
        Calculate_cap_emi!$L$14:$L$21&amp;"|"&amp;Calculate_cap_emi!$I$14:$I$21,
        Calculate_cap_emi!$BD$14:$BD$21, "Not found", 0), LOOKUP(K177,EOL!$C$24:$D$24,EOL!$C$26:$D$26) + _xlfn.XLOOKUP(J177,EOL!$C$18:$N$18,EOL!$C$20:$N$20) + _xlfn.XLOOKUP(B177&amp;"|"&amp;E177,
        Calculate_cap_emi!$L$14:$L$21&amp;"|"&amp;Calculate_cap_emi!$I$14:$I$21,
        Calculate_cap_emi!$BD$14:$BD$21, "Not found", 0))</f>
        <v>639.10481753677141</v>
      </c>
      <c r="T177" s="8" cm="1">
        <f t="array" ref="T177">_xlfn.SWITCH(K177,200,_xlfn.XLOOKUP(J177,Other!$C$18:$N$18,Other!$C$20:$N$20) + _xlfn.XLOOKUP(B177&amp;"|"&amp;E177,
        Calculate_cap_emi!$L$14:$L$21&amp;"|"&amp;Calculate_cap_emi!$I$14:$I$21,
        Calculate_cap_emi!$BK$14:$BK$21, "Not found", 0), LOOKUP(K177,Other!$C$24:$D$24,Other!$C$26:$D$26) + _xlfn.XLOOKUP(J177,Other!$C$18:$N$18,Other!$C$20:$N$20) + _xlfn.XLOOKUP(B177&amp;"|"&amp;E177,
        Calculate_cap_emi!$L$14:$L$21&amp;"|"&amp;Calculate_cap_emi!$I$14:$I$21,
        Calculate_cap_emi!$BK$14:$BK$21, "Not found", 0))</f>
        <v>2183.8497771109533</v>
      </c>
      <c r="U177" s="8" cm="1">
        <f t="array" ref="U177">_xlfn.SWITCH(K177,200,_xlfn.XLOOKUP(J177,EOL_R!$C$18:$N$18,EOL_R!$C$20:$N$20) + _xlfn.XLOOKUP(B177&amp;"|"&amp;E177,
        Calculate_cap_emi_sens!$L$14:$L$21&amp;"|"&amp;Calculate_cap_emi_sens!$I$14:$I$21,
        Calculate_cap_emi_sens!$BD$14:$BD$21, "Not found", 0), LOOKUP(K177,EOL_R!$C$24:$D$24,EOL_R!$C$26:$D$26) + _xlfn.XLOOKUP(J177,EOL_R!$C$18:$N$18,EOL_R!$C$20:$N$20) + _xlfn.XLOOKUP(B177&amp;"|"&amp;E177,
        Calculate_cap_emi_sens!$L$14:$L$21&amp;"|"&amp;Calculate_cap_emi_sens!$I$14:$I$21,
        Calculate_cap_emi_sens!$BD$14:$BD$21, "Not found", 0))</f>
        <v>489.04395917556991</v>
      </c>
      <c r="V177" s="8" cm="1">
        <f t="array" ref="V177">_xlfn.SWITCH(K177,200,_xlfn.XLOOKUP(J177,Other_R!$C$18:$N$18,Other_R!$C$20:$N$20) + _xlfn.XLOOKUP(B177&amp;"|"&amp;E177,
        Calculate_cap_emi_sens!$L$14:$L$21&amp;"|"&amp;Calculate_cap_emi_sens!$I$14:$I$21,
        Calculate_cap_emi_sens!$BK$14:$BK$21, "Not found", 0), LOOKUP(K177,Other_R!$C$24:$D$24,Other_R!$C$26:$D$26) + _xlfn.XLOOKUP(J177,Other_R!$C$18:$N$18,Other_R!$C$20:$N$20) + _xlfn.XLOOKUP(B177&amp;"|"&amp;E177,
        Calculate_cap_emi_sens!$L$14:$L$21&amp;"|"&amp;Calculate_cap_emi_sens!$I$14:$I$21,
        Calculate_cap_emi_sens!$BK$14:$BK$21, "Not found", 0))</f>
        <v>1730.9823062658847</v>
      </c>
      <c r="W177" s="5">
        <f>Results_proc_ener!L177</f>
        <v>105546.44613815649</v>
      </c>
      <c r="X177" s="5">
        <f>Results_proc_ener!M177</f>
        <v>49760.002199565621</v>
      </c>
      <c r="Y177" s="5">
        <f>Results_proc_ener!N177</f>
        <v>10613.59090909091</v>
      </c>
      <c r="Z177" s="5">
        <f>Results_proc_ener!O177</f>
        <v>45172.853029499965</v>
      </c>
      <c r="AA177" s="5">
        <f>Results_proc_ener!P177</f>
        <v>105546.44613815649</v>
      </c>
      <c r="AB177" s="5">
        <f>Results_proc_ener!Q177</f>
        <v>2631.2485804906983</v>
      </c>
      <c r="AC177" s="5">
        <f>Results_proc_ener!R177</f>
        <v>221.47744362826552</v>
      </c>
      <c r="AD177" s="5">
        <f>Results_proc_ener!S177</f>
        <v>15519.018619745453</v>
      </c>
      <c r="AE177" s="5">
        <f>Results_proc_ener!T177</f>
        <v>65822.150426137203</v>
      </c>
    </row>
    <row r="178" spans="1:31" x14ac:dyDescent="0.25">
      <c r="A178" s="5"/>
      <c r="B178" s="5" t="str">
        <f t="shared" si="10"/>
        <v>Mass-H1</v>
      </c>
      <c r="C178" s="5" t="s">
        <v>37</v>
      </c>
      <c r="D178" s="5" t="str">
        <f t="shared" si="9"/>
        <v>H1</v>
      </c>
      <c r="E178" s="5" t="s">
        <v>11</v>
      </c>
      <c r="F178" s="5" t="s">
        <v>55</v>
      </c>
      <c r="G178" s="5" t="s">
        <v>55</v>
      </c>
      <c r="H178" s="5">
        <v>14</v>
      </c>
      <c r="I178" s="5"/>
      <c r="J178" s="5">
        <f t="shared" si="11"/>
        <v>14</v>
      </c>
      <c r="K178" s="5">
        <v>500</v>
      </c>
      <c r="L178" s="8" cm="1">
        <f t="array" ref="L178">_xlfn.SWITCH(K178,200,_xlfn.XLOOKUP(J178,Manufacture!$C$18:$N$18,Manufacture!$C$20:$N$20) + _xlfn.XLOOKUP(B178&amp;"|"&amp;E178,
        Calculate_cap_emi!$L$14:$L$21&amp;"|"&amp;Calculate_cap_emi!$I$14:$I$21,
        Calculate_cap_emi!$AI$14:$AI$21, "Not found", 0), LOOKUP(K178,Manufacture!$C$24:$D$24,Manufacture!$C$26:$D$26) + _xlfn.XLOOKUP(J178,Manufacture!$C$18:$N$18,Manufacture!$C$20:$N$20) + _xlfn.XLOOKUP(B178&amp;"|"&amp;E178,
        Calculate_cap_emi!$L$14:$L$21&amp;"|"&amp;Calculate_cap_emi!$I$14:$I$21,
        Calculate_cap_emi!$AI$14:$AI$21, "Not found", 0))</f>
        <v>3710.0628710542587</v>
      </c>
      <c r="M178" s="8">
        <f>LOOKUP(J178,Manufacture!$C$18:$N$18,Manufacture!$C$20:$N$20)</f>
        <v>2067.610588235294</v>
      </c>
      <c r="N178" s="8" cm="1">
        <f t="array" ref="N178">_xlfn.SWITCH(K178,200,0,LOOKUP(K178,Manufacture!$C$24:$D$24,Manufacture!$C$26:$D$26))</f>
        <v>336</v>
      </c>
      <c r="O178" s="5" cm="1">
        <f t="array" ref="O178">_xlfn.XLOOKUP(B178&amp;"|"&amp;E178,
        Calculate_cap_emi!$L$14:$L$21&amp;"|"&amp;Calculate_cap_emi!$I$14:$I$21,
        Calculate_cap_emi!$AI$14:$AI$21, "Not found", 0)</f>
        <v>1306.4522828189647</v>
      </c>
      <c r="P178" s="8">
        <f t="shared" si="12"/>
        <v>3710.0628710542587</v>
      </c>
      <c r="Q178" s="8" cm="1">
        <f t="array" ref="Q178">_xlfn.SWITCH(K178,200,_xlfn.XLOOKUP(J178,Distribution!$C$18:$N$18,Distribution!$C$20:$N$20) + _xlfn.XLOOKUP(B178&amp;"|"&amp;E178,
        Calculate_cap_emi!$L$14:$L$21&amp;"|"&amp;Calculate_cap_emi!$I$14:$I$21,
        Calculate_cap_emi!$AP$14:$AP$21, "Not found", 0), LOOKUP(K178,Distribution!$C$24:$D$24,Distribution!$C$26:$D$26) + _xlfn.XLOOKUP(J178,Distribution!$C$18:$N$18,Distribution!$C$20:$N$20) + _xlfn.XLOOKUP(B178&amp;"|"&amp;E178,
        Calculate_cap_emi!$L$14:$L$21&amp;"|"&amp;Calculate_cap_emi!$I$14:$I$21,
        Calculate_cap_emi!$AP$14:$AP$21, "Not found", 0))</f>
        <v>130.69191557330629</v>
      </c>
      <c r="R178" s="8" cm="1">
        <f t="array" ref="R178">_xlfn.SWITCH(K178,200,_xlfn.XLOOKUP(J178,Installation!$C$18:$N$18,Installation!$C$20:$N$20) + _xlfn.XLOOKUP(B178&amp;"|"&amp;E178,
        Calculate_cap_emi!$L$14:$L$21&amp;"|"&amp;Calculate_cap_emi!$I$14:$I$21,
        Calculate_cap_emi!$AW$14:$AW$21, "Not found", 0), LOOKUP(K178,Installation!$C$24:$D$24,Installation!$C$26:$D$26) + _xlfn.XLOOKUP(J178,Installation!$C$18:$N$18,Installation!$C$20:$N$20) + _xlfn.XLOOKUP(B178&amp;"|"&amp;E178,
        Calculate_cap_emi!$L$14:$L$21&amp;"|"&amp;Calculate_cap_emi!$I$14:$I$21,
        Calculate_cap_emi!$AW$14:$AW$21, "Not found", 0))</f>
        <v>134.45410780354717</v>
      </c>
      <c r="S178" s="8" cm="1">
        <f t="array" ref="S178">_xlfn.SWITCH(K178,200,_xlfn.XLOOKUP(J178,EOL!$C$18:$N$18,EOL!$C$20:$N$20) + _xlfn.XLOOKUP(B178&amp;"|"&amp;E178,
        Calculate_cap_emi!$L$14:$L$21&amp;"|"&amp;Calculate_cap_emi!$I$14:$I$21,
        Calculate_cap_emi!$BD$14:$BD$21, "Not found", 0), LOOKUP(K178,EOL!$C$24:$D$24,EOL!$C$26:$D$26) + _xlfn.XLOOKUP(J178,EOL!$C$18:$N$18,EOL!$C$20:$N$20) + _xlfn.XLOOKUP(B178&amp;"|"&amp;E178,
        Calculate_cap_emi!$L$14:$L$21&amp;"|"&amp;Calculate_cap_emi!$I$14:$I$21,
        Calculate_cap_emi!$BD$14:$BD$21, "Not found", 0))</f>
        <v>713.55599400735969</v>
      </c>
      <c r="T178" s="8" cm="1">
        <f t="array" ref="T178">_xlfn.SWITCH(K178,200,_xlfn.XLOOKUP(J178,Other!$C$18:$N$18,Other!$C$20:$N$20) + _xlfn.XLOOKUP(B178&amp;"|"&amp;E178,
        Calculate_cap_emi!$L$14:$L$21&amp;"|"&amp;Calculate_cap_emi!$I$14:$I$21,
        Calculate_cap_emi!$BK$14:$BK$21, "Not found", 0), LOOKUP(K178,Other!$C$24:$D$24,Other!$C$26:$D$26) + _xlfn.XLOOKUP(J178,Other!$C$18:$N$18,Other!$C$20:$N$20) + _xlfn.XLOOKUP(B178&amp;"|"&amp;E178,
        Calculate_cap_emi!$L$14:$L$21&amp;"|"&amp;Calculate_cap_emi!$I$14:$I$21,
        Calculate_cap_emi!$BK$14:$BK$21, "Not found", 0))</f>
        <v>2293.298526924988</v>
      </c>
      <c r="U178" s="8" cm="1">
        <f t="array" ref="U178">_xlfn.SWITCH(K178,200,_xlfn.XLOOKUP(J178,EOL_R!$C$18:$N$18,EOL_R!$C$20:$N$20) + _xlfn.XLOOKUP(B178&amp;"|"&amp;E178,
        Calculate_cap_emi_sens!$L$14:$L$21&amp;"|"&amp;Calculate_cap_emi_sens!$I$14:$I$21,
        Calculate_cap_emi_sens!$BD$14:$BD$21, "Not found", 0), LOOKUP(K178,EOL_R!$C$24:$D$24,EOL_R!$C$26:$D$26) + _xlfn.XLOOKUP(J178,EOL_R!$C$18:$N$18,EOL_R!$C$20:$N$20) + _xlfn.XLOOKUP(B178&amp;"|"&amp;E178,
        Calculate_cap_emi_sens!$L$14:$L$21&amp;"|"&amp;Calculate_cap_emi_sens!$I$14:$I$21,
        Calculate_cap_emi_sens!$BD$14:$BD$21, "Not found", 0))</f>
        <v>532.00985900274259</v>
      </c>
      <c r="V178" s="8" cm="1">
        <f t="array" ref="V178">_xlfn.SWITCH(K178,200,_xlfn.XLOOKUP(J178,Other_R!$C$18:$N$18,Other_R!$C$20:$N$20) + _xlfn.XLOOKUP(B178&amp;"|"&amp;E178,
        Calculate_cap_emi_sens!$L$14:$L$21&amp;"|"&amp;Calculate_cap_emi_sens!$I$14:$I$21,
        Calculate_cap_emi_sens!$BK$14:$BK$21, "Not found", 0), LOOKUP(K178,Other_R!$C$24:$D$24,Other_R!$C$26:$D$26) + _xlfn.XLOOKUP(J178,Other_R!$C$18:$N$18,Other_R!$C$20:$N$20) + _xlfn.XLOOKUP(B178&amp;"|"&amp;E178,
        Calculate_cap_emi_sens!$L$14:$L$21&amp;"|"&amp;Calculate_cap_emi_sens!$I$14:$I$21,
        Calculate_cap_emi_sens!$BK$14:$BK$21, "Not found", 0))</f>
        <v>1763.1978514993145</v>
      </c>
      <c r="W178" s="5">
        <f>Results_proc_ener!L178</f>
        <v>107320.63913964579</v>
      </c>
      <c r="X178" s="5">
        <f>Results_proc_ener!M178</f>
        <v>51534.195201054921</v>
      </c>
      <c r="Y178" s="5">
        <f>Results_proc_ener!N178</f>
        <v>10613.59090909091</v>
      </c>
      <c r="Z178" s="5">
        <f>Results_proc_ener!O178</f>
        <v>45172.853029499965</v>
      </c>
      <c r="AA178" s="5">
        <f>Results_proc_ener!P178</f>
        <v>107320.63913964579</v>
      </c>
      <c r="AB178" s="5">
        <f>Results_proc_ener!Q178</f>
        <v>2794.7700461664481</v>
      </c>
      <c r="AC178" s="5">
        <f>Results_proc_ener!R178</f>
        <v>233.77283492837671</v>
      </c>
      <c r="AD178" s="5">
        <f>Results_proc_ener!S178</f>
        <v>15519.018619745453</v>
      </c>
      <c r="AE178" s="5">
        <f>Results_proc_ener!T178</f>
        <v>65931.599175951225</v>
      </c>
    </row>
    <row r="179" spans="1:31" x14ac:dyDescent="0.25">
      <c r="A179" s="5"/>
      <c r="B179" s="5" t="str">
        <f t="shared" si="10"/>
        <v>Mass-H1</v>
      </c>
      <c r="C179" s="5" t="s">
        <v>37</v>
      </c>
      <c r="D179" s="5" t="str">
        <f t="shared" si="9"/>
        <v>H1</v>
      </c>
      <c r="E179" s="5" t="s">
        <v>11</v>
      </c>
      <c r="F179" s="5" t="s">
        <v>57</v>
      </c>
      <c r="G179" s="5" t="s">
        <v>57</v>
      </c>
      <c r="H179" s="5">
        <v>5</v>
      </c>
      <c r="I179" s="5"/>
      <c r="J179" s="5">
        <f t="shared" si="11"/>
        <v>5</v>
      </c>
      <c r="K179" s="5">
        <v>1000</v>
      </c>
      <c r="L179" s="8" cm="1">
        <f t="array" ref="L179">_xlfn.SWITCH(K179,200,_xlfn.XLOOKUP(J179,Manufacture!$C$18:$N$18,Manufacture!$C$20:$N$20) + _xlfn.XLOOKUP(B179&amp;"|"&amp;E179,
        Calculate_cap_emi!$L$14:$L$21&amp;"|"&amp;Calculate_cap_emi!$I$14:$I$21,
        Calculate_cap_emi!$AI$14:$AI$21, "Not found", 0), LOOKUP(K179,Manufacture!$C$24:$D$24,Manufacture!$C$26:$D$26) + _xlfn.XLOOKUP(J179,Manufacture!$C$18:$N$18,Manufacture!$C$20:$N$20) + _xlfn.XLOOKUP(B179&amp;"|"&amp;E179,
        Calculate_cap_emi!$L$14:$L$21&amp;"|"&amp;Calculate_cap_emi!$I$14:$I$21,
        Calculate_cap_emi!$AI$14:$AI$21, "Not found", 0))</f>
        <v>3677.3331919098737</v>
      </c>
      <c r="M179" s="8">
        <f>LOOKUP(J179,Manufacture!$C$18:$N$18,Manufacture!$C$20:$N$20)</f>
        <v>1711.29</v>
      </c>
      <c r="N179" s="8" cm="1">
        <f t="array" ref="N179">_xlfn.SWITCH(K179,200,0,LOOKUP(K179,Manufacture!$C$24:$D$24,Manufacture!$C$26:$D$26))</f>
        <v>659.59090909090912</v>
      </c>
      <c r="O179" s="5" cm="1">
        <f t="array" ref="O179">_xlfn.XLOOKUP(B179&amp;"|"&amp;E179,
        Calculate_cap_emi!$L$14:$L$21&amp;"|"&amp;Calculate_cap_emi!$I$14:$I$21,
        Calculate_cap_emi!$AI$14:$AI$21, "Not found", 0)</f>
        <v>1306.4522828189647</v>
      </c>
      <c r="P179" s="8">
        <f t="shared" si="12"/>
        <v>3677.3331919098737</v>
      </c>
      <c r="Q179" s="8" cm="1">
        <f t="array" ref="Q179">_xlfn.SWITCH(K179,200,_xlfn.XLOOKUP(J179,Distribution!$C$18:$N$18,Distribution!$C$20:$N$20) + _xlfn.XLOOKUP(B179&amp;"|"&amp;E179,
        Calculate_cap_emi!$L$14:$L$21&amp;"|"&amp;Calculate_cap_emi!$I$14:$I$21,
        Calculate_cap_emi!$AP$14:$AP$21, "Not found", 0), LOOKUP(K179,Distribution!$C$24:$D$24,Distribution!$C$26:$D$26) + _xlfn.XLOOKUP(J179,Distribution!$C$18:$N$18,Distribution!$C$20:$N$20) + _xlfn.XLOOKUP(B179&amp;"|"&amp;E179,
        Calculate_cap_emi!$L$14:$L$21&amp;"|"&amp;Calculate_cap_emi!$I$14:$I$21,
        Calculate_cap_emi!$AP$14:$AP$21, "Not found", 0))</f>
        <v>124.09358886155229</v>
      </c>
      <c r="R179" s="8" cm="1">
        <f t="array" ref="R179">_xlfn.SWITCH(K179,200,_xlfn.XLOOKUP(J179,Installation!$C$18:$N$18,Installation!$C$20:$N$20) + _xlfn.XLOOKUP(B179&amp;"|"&amp;E179,
        Calculate_cap_emi!$L$14:$L$21&amp;"|"&amp;Calculate_cap_emi!$I$14:$I$21,
        Calculate_cap_emi!$AW$14:$AW$21, "Not found", 0), LOOKUP(K179,Installation!$C$24:$D$24,Installation!$C$26:$D$26) + _xlfn.XLOOKUP(J179,Installation!$C$18:$N$18,Installation!$C$20:$N$20) + _xlfn.XLOOKUP(B179&amp;"|"&amp;E179,
        Calculate_cap_emi!$L$14:$L$21&amp;"|"&amp;Calculate_cap_emi!$I$14:$I$21,
        Calculate_cap_emi!$AW$14:$AW$21, "Not found", 0))</f>
        <v>112.32240346334721</v>
      </c>
      <c r="S179" s="8" cm="1">
        <f t="array" ref="S179">_xlfn.SWITCH(K179,200,_xlfn.XLOOKUP(J179,EOL!$C$18:$N$18,EOL!$C$20:$N$20) + _xlfn.XLOOKUP(B179&amp;"|"&amp;E179,
        Calculate_cap_emi!$L$14:$L$21&amp;"|"&amp;Calculate_cap_emi!$I$14:$I$21,
        Calculate_cap_emi!$BD$14:$BD$21, "Not found", 0), LOOKUP(K179,EOL!$C$24:$D$24,EOL!$C$26:$D$26) + _xlfn.XLOOKUP(J179,EOL!$C$18:$N$18,EOL!$C$20:$N$20) + _xlfn.XLOOKUP(B179&amp;"|"&amp;E179,
        Calculate_cap_emi!$L$14:$L$21&amp;"|"&amp;Calculate_cap_emi!$I$14:$I$21,
        Calculate_cap_emi!$BD$14:$BD$21, "Not found", 0))</f>
        <v>717.95296726939182</v>
      </c>
      <c r="T179" s="8" cm="1">
        <f t="array" ref="T179">_xlfn.SWITCH(K179,200,_xlfn.XLOOKUP(J179,Other!$C$18:$N$18,Other!$C$20:$N$20) + _xlfn.XLOOKUP(B179&amp;"|"&amp;E179,
        Calculate_cap_emi!$L$14:$L$21&amp;"|"&amp;Calculate_cap_emi!$I$14:$I$21,
        Calculate_cap_emi!$BK$14:$BK$21, "Not found", 0), LOOKUP(K179,Other!$C$24:$D$24,Other!$C$26:$D$26) + _xlfn.XLOOKUP(J179,Other!$C$18:$N$18,Other!$C$20:$N$20) + _xlfn.XLOOKUP(B179&amp;"|"&amp;E179,
        Calculate_cap_emi!$L$14:$L$21&amp;"|"&amp;Calculate_cap_emi!$I$14:$I$21,
        Calculate_cap_emi!$BK$14:$BK$21, "Not found", 0))</f>
        <v>2096.2907772597259</v>
      </c>
      <c r="U179" s="8" cm="1">
        <f t="array" ref="U179">_xlfn.SWITCH(K179,200,_xlfn.XLOOKUP(J179,EOL_R!$C$18:$N$18,EOL_R!$C$20:$N$20) + _xlfn.XLOOKUP(B179&amp;"|"&amp;E179,
        Calculate_cap_emi_sens!$L$14:$L$21&amp;"|"&amp;Calculate_cap_emi_sens!$I$14:$I$21,
        Calculate_cap_emi_sens!$BD$14:$BD$21, "Not found", 0), LOOKUP(K179,EOL_R!$C$24:$D$24,EOL_R!$C$26:$D$26) + _xlfn.XLOOKUP(J179,EOL_R!$C$18:$N$18,EOL_R!$C$20:$N$20) + _xlfn.XLOOKUP(B179&amp;"|"&amp;E179,
        Calculate_cap_emi_sens!$L$14:$L$21&amp;"|"&amp;Calculate_cap_emi_sens!$I$14:$I$21,
        Calculate_cap_emi_sens!$BD$14:$BD$21, "Not found", 0))</f>
        <v>609.77815211411803</v>
      </c>
      <c r="V179" s="8" cm="1">
        <f t="array" ref="V179">_xlfn.SWITCH(K179,200,_xlfn.XLOOKUP(J179,Other_R!$C$18:$N$18,Other_R!$C$20:$N$20) + _xlfn.XLOOKUP(B179&amp;"|"&amp;E179,
        Calculate_cap_emi_sens!$L$14:$L$21&amp;"|"&amp;Calculate_cap_emi_sens!$I$14:$I$21,
        Calculate_cap_emi_sens!$BK$14:$BK$21, "Not found", 0), LOOKUP(K179,Other_R!$C$24:$D$24,Other_R!$C$26:$D$26) + _xlfn.XLOOKUP(J179,Other_R!$C$18:$N$18,Other_R!$C$20:$N$20) + _xlfn.XLOOKUP(B179&amp;"|"&amp;E179,
        Calculate_cap_emi_sens!$L$14:$L$21&amp;"|"&amp;Calculate_cap_emi_sens!$I$14:$I$21,
        Calculate_cap_emi_sens!$BK$14:$BK$21, "Not found", 0))</f>
        <v>1746.1695322342116</v>
      </c>
      <c r="W179" s="5">
        <f>Results_proc_ener!L179</f>
        <v>114086.81900969242</v>
      </c>
      <c r="X179" s="5">
        <f>Results_proc_ener!M179</f>
        <v>48340.647798374281</v>
      </c>
      <c r="Y179" s="5">
        <f>Results_proc_ener!N179</f>
        <v>20573.31818181818</v>
      </c>
      <c r="Z179" s="5">
        <f>Results_proc_ener!O179</f>
        <v>45172.853029499965</v>
      </c>
      <c r="AA179" s="5">
        <f>Results_proc_ener!P179</f>
        <v>114086.81900969242</v>
      </c>
      <c r="AB179" s="5">
        <f>Results_proc_ener!Q179</f>
        <v>2681.0167332970987</v>
      </c>
      <c r="AC179" s="5">
        <f>Results_proc_ener!R179</f>
        <v>217.36840331544948</v>
      </c>
      <c r="AD179" s="5">
        <f>Results_proc_ener!S179</f>
        <v>25655.336801563637</v>
      </c>
      <c r="AE179" s="5">
        <f>Results_proc_ener!T179</f>
        <v>65734.591426285973</v>
      </c>
    </row>
    <row r="180" spans="1:31" x14ac:dyDescent="0.25">
      <c r="A180" s="5"/>
      <c r="B180" s="5" t="str">
        <f t="shared" si="10"/>
        <v>Mass-H1</v>
      </c>
      <c r="C180" s="5" t="s">
        <v>37</v>
      </c>
      <c r="D180" s="5" t="str">
        <f t="shared" si="9"/>
        <v>H1</v>
      </c>
      <c r="E180" s="5" t="s">
        <v>11</v>
      </c>
      <c r="F180" s="5" t="s">
        <v>57</v>
      </c>
      <c r="G180" s="5" t="s">
        <v>57</v>
      </c>
      <c r="H180" s="5">
        <v>6</v>
      </c>
      <c r="I180" s="5"/>
      <c r="J180" s="5">
        <f t="shared" si="11"/>
        <v>6</v>
      </c>
      <c r="K180" s="5">
        <v>1000</v>
      </c>
      <c r="L180" s="8" cm="1">
        <f t="array" ref="L180">_xlfn.SWITCH(K180,200,_xlfn.XLOOKUP(J180,Manufacture!$C$18:$N$18,Manufacture!$C$20:$N$20) + _xlfn.XLOOKUP(B180&amp;"|"&amp;E180,
        Calculate_cap_emi!$L$14:$L$21&amp;"|"&amp;Calculate_cap_emi!$I$14:$I$21,
        Calculate_cap_emi!$AI$14:$AI$21, "Not found", 0), LOOKUP(K180,Manufacture!$C$24:$D$24,Manufacture!$C$26:$D$26) + _xlfn.XLOOKUP(J180,Manufacture!$C$18:$N$18,Manufacture!$C$20:$N$20) + _xlfn.XLOOKUP(B180&amp;"|"&amp;E180,
        Calculate_cap_emi!$L$14:$L$21&amp;"|"&amp;Calculate_cap_emi!$I$14:$I$21,
        Calculate_cap_emi!$AI$14:$AI$21, "Not found", 0))</f>
        <v>3716.9243683804616</v>
      </c>
      <c r="M180" s="8">
        <f>LOOKUP(J180,Manufacture!$C$18:$N$18,Manufacture!$C$20:$N$20)</f>
        <v>1750.8811764705879</v>
      </c>
      <c r="N180" s="8" cm="1">
        <f t="array" ref="N180">_xlfn.SWITCH(K180,200,0,LOOKUP(K180,Manufacture!$C$24:$D$24,Manufacture!$C$26:$D$26))</f>
        <v>659.59090909090912</v>
      </c>
      <c r="O180" s="5" cm="1">
        <f t="array" ref="O180">_xlfn.XLOOKUP(B180&amp;"|"&amp;E180,
        Calculate_cap_emi!$L$14:$L$21&amp;"|"&amp;Calculate_cap_emi!$I$14:$I$21,
        Calculate_cap_emi!$AI$14:$AI$21, "Not found", 0)</f>
        <v>1306.4522828189647</v>
      </c>
      <c r="P180" s="8">
        <f t="shared" si="12"/>
        <v>3716.9243683804616</v>
      </c>
      <c r="Q180" s="8" cm="1">
        <f t="array" ref="Q180">_xlfn.SWITCH(K180,200,_xlfn.XLOOKUP(J180,Distribution!$C$18:$N$18,Distribution!$C$20:$N$20) + _xlfn.XLOOKUP(B180&amp;"|"&amp;E180,
        Calculate_cap_emi!$L$14:$L$21&amp;"|"&amp;Calculate_cap_emi!$I$14:$I$21,
        Calculate_cap_emi!$AP$14:$AP$21, "Not found", 0), LOOKUP(K180,Distribution!$C$24:$D$24,Distribution!$C$26:$D$26) + _xlfn.XLOOKUP(J180,Distribution!$C$18:$N$18,Distribution!$C$20:$N$20) + _xlfn.XLOOKUP(B180&amp;"|"&amp;E180,
        Calculate_cap_emi!$L$14:$L$21&amp;"|"&amp;Calculate_cap_emi!$I$14:$I$21,
        Calculate_cap_emi!$AP$14:$AP$21, "Not found", 0))</f>
        <v>125.63779977578758</v>
      </c>
      <c r="R180" s="8" cm="1">
        <f t="array" ref="R180">_xlfn.SWITCH(K180,200,_xlfn.XLOOKUP(J180,Installation!$C$18:$N$18,Installation!$C$20:$N$20) + _xlfn.XLOOKUP(B180&amp;"|"&amp;E180,
        Calculate_cap_emi!$L$14:$L$21&amp;"|"&amp;Calculate_cap_emi!$I$14:$I$21,
        Calculate_cap_emi!$AW$14:$AW$21, "Not found", 0), LOOKUP(K180,Installation!$C$24:$D$24,Installation!$C$26:$D$26) + _xlfn.XLOOKUP(J180,Installation!$C$18:$N$18,Installation!$C$20:$N$20) + _xlfn.XLOOKUP(B180&amp;"|"&amp;E180,
        Calculate_cap_emi!$L$14:$L$21&amp;"|"&amp;Calculate_cap_emi!$I$14:$I$21,
        Calculate_cap_emi!$AW$14:$AW$21, "Not found", 0))</f>
        <v>114.78148172336947</v>
      </c>
      <c r="S180" s="8" cm="1">
        <f t="array" ref="S180">_xlfn.SWITCH(K180,200,_xlfn.XLOOKUP(J180,EOL!$C$18:$N$18,EOL!$C$20:$N$20) + _xlfn.XLOOKUP(B180&amp;"|"&amp;E180,
        Calculate_cap_emi!$L$14:$L$21&amp;"|"&amp;Calculate_cap_emi!$I$14:$I$21,
        Calculate_cap_emi!$BD$14:$BD$21, "Not found", 0), LOOKUP(K180,EOL!$C$24:$D$24,EOL!$C$26:$D$26) + _xlfn.XLOOKUP(J180,EOL!$C$18:$N$18,EOL!$C$20:$N$20) + _xlfn.XLOOKUP(B180&amp;"|"&amp;E180,
        Calculate_cap_emi!$L$14:$L$21&amp;"|"&amp;Calculate_cap_emi!$I$14:$I$21,
        Calculate_cap_emi!$BD$14:$BD$21, "Not found", 0))</f>
        <v>732.84320256350929</v>
      </c>
      <c r="T180" s="8" cm="1">
        <f t="array" ref="T180">_xlfn.SWITCH(K180,200,_xlfn.XLOOKUP(J180,Other!$C$18:$N$18,Other!$C$20:$N$20) + _xlfn.XLOOKUP(B180&amp;"|"&amp;E180,
        Calculate_cap_emi!$L$14:$L$21&amp;"|"&amp;Calculate_cap_emi!$I$14:$I$21,
        Calculate_cap_emi!$BK$14:$BK$21, "Not found", 0), LOOKUP(K180,Other!$C$24:$D$24,Other!$C$26:$D$26) + _xlfn.XLOOKUP(J180,Other!$C$18:$N$18,Other!$C$20:$N$20) + _xlfn.XLOOKUP(B180&amp;"|"&amp;E180,
        Calculate_cap_emi!$L$14:$L$21&amp;"|"&amp;Calculate_cap_emi!$I$14:$I$21,
        Calculate_cap_emi!$BK$14:$BK$21, "Not found", 0))</f>
        <v>2118.1805272225329</v>
      </c>
      <c r="U180" s="8" cm="1">
        <f t="array" ref="U180">_xlfn.SWITCH(K180,200,_xlfn.XLOOKUP(J180,EOL_R!$C$18:$N$18,EOL_R!$C$20:$N$20) + _xlfn.XLOOKUP(B180&amp;"|"&amp;E180,
        Calculate_cap_emi_sens!$L$14:$L$21&amp;"|"&amp;Calculate_cap_emi_sens!$I$14:$I$21,
        Calculate_cap_emi_sens!$BD$14:$BD$21, "Not found", 0), LOOKUP(K180,EOL_R!$C$24:$D$24,EOL_R!$C$26:$D$26) + _xlfn.XLOOKUP(J180,EOL_R!$C$18:$N$18,EOL_R!$C$20:$N$20) + _xlfn.XLOOKUP(B180&amp;"|"&amp;E180,
        Calculate_cap_emi_sens!$L$14:$L$21&amp;"|"&amp;Calculate_cap_emi_sens!$I$14:$I$21,
        Calculate_cap_emi_sens!$BD$14:$BD$21, "Not found", 0))</f>
        <v>611.67603990998941</v>
      </c>
      <c r="V180" s="8" cm="1">
        <f t="array" ref="V180">_xlfn.SWITCH(K180,200,_xlfn.XLOOKUP(J180,Other_R!$C$18:$N$18,Other_R!$C$20:$N$20) + _xlfn.XLOOKUP(B180&amp;"|"&amp;E180,
        Calculate_cap_emi_sens!$L$14:$L$21&amp;"|"&amp;Calculate_cap_emi_sens!$I$14:$I$21,
        Calculate_cap_emi_sens!$BK$14:$BK$21, "Not found", 0), LOOKUP(K180,Other_R!$C$24:$D$24,Other_R!$C$26:$D$26) + _xlfn.XLOOKUP(J180,Other_R!$C$18:$N$18,Other_R!$C$20:$N$20) + _xlfn.XLOOKUP(B180&amp;"|"&amp;E180,
        Calculate_cap_emi_sens!$L$14:$L$21&amp;"|"&amp;Calculate_cap_emi_sens!$I$14:$I$21,
        Calculate_cap_emi_sens!$BK$14:$BK$21, "Not found", 0))</f>
        <v>1736.189127658477</v>
      </c>
      <c r="W180" s="5">
        <f>Results_proc_ener!L180</f>
        <v>114441.65760999026</v>
      </c>
      <c r="X180" s="5">
        <f>Results_proc_ener!M180</f>
        <v>48695.486398672118</v>
      </c>
      <c r="Y180" s="5">
        <f>Results_proc_ener!N180</f>
        <v>20573.31818181818</v>
      </c>
      <c r="Z180" s="5">
        <f>Results_proc_ener!O180</f>
        <v>45172.853029499965</v>
      </c>
      <c r="AA180" s="5">
        <f>Results_proc_ener!P180</f>
        <v>114441.65760999026</v>
      </c>
      <c r="AB180" s="5">
        <f>Results_proc_ener!Q180</f>
        <v>2713.7210264322484</v>
      </c>
      <c r="AC180" s="5">
        <f>Results_proc_ener!R180</f>
        <v>219.82748157547175</v>
      </c>
      <c r="AD180" s="5">
        <f>Results_proc_ener!S180</f>
        <v>25655.336801563637</v>
      </c>
      <c r="AE180" s="5">
        <f>Results_proc_ener!T180</f>
        <v>65756.481176248781</v>
      </c>
    </row>
    <row r="181" spans="1:31" x14ac:dyDescent="0.25">
      <c r="A181" s="5"/>
      <c r="B181" s="5" t="str">
        <f t="shared" si="10"/>
        <v>Mass-H1</v>
      </c>
      <c r="C181" s="5" t="s">
        <v>37</v>
      </c>
      <c r="D181" s="5" t="str">
        <f t="shared" si="9"/>
        <v>H1</v>
      </c>
      <c r="E181" s="5" t="s">
        <v>11</v>
      </c>
      <c r="F181" s="5" t="s">
        <v>57</v>
      </c>
      <c r="G181" s="5" t="s">
        <v>57</v>
      </c>
      <c r="H181" s="5">
        <v>8.5</v>
      </c>
      <c r="I181" s="5"/>
      <c r="J181" s="5">
        <f t="shared" si="11"/>
        <v>9</v>
      </c>
      <c r="K181" s="5">
        <v>1000</v>
      </c>
      <c r="L181" s="8" cm="1">
        <f t="array" ref="L181">_xlfn.SWITCH(K181,200,_xlfn.XLOOKUP(J181,Manufacture!$C$18:$N$18,Manufacture!$C$20:$N$20) + _xlfn.XLOOKUP(B181&amp;"|"&amp;E181,
        Calculate_cap_emi!$L$14:$L$21&amp;"|"&amp;Calculate_cap_emi!$I$14:$I$21,
        Calculate_cap_emi!$AI$14:$AI$21, "Not found", 0), LOOKUP(K181,Manufacture!$C$24:$D$24,Manufacture!$C$26:$D$26) + _xlfn.XLOOKUP(J181,Manufacture!$C$18:$N$18,Manufacture!$C$20:$N$20) + _xlfn.XLOOKUP(B181&amp;"|"&amp;E181,
        Calculate_cap_emi!$L$14:$L$21&amp;"|"&amp;Calculate_cap_emi!$I$14:$I$21,
        Calculate_cap_emi!$AI$14:$AI$21, "Not found", 0))</f>
        <v>3835.6978977922267</v>
      </c>
      <c r="M181" s="8">
        <f>LOOKUP(J181,Manufacture!$C$18:$N$18,Manufacture!$C$20:$N$20)</f>
        <v>1869.654705882353</v>
      </c>
      <c r="N181" s="8" cm="1">
        <f t="array" ref="N181">_xlfn.SWITCH(K181,200,0,LOOKUP(K181,Manufacture!$C$24:$D$24,Manufacture!$C$26:$D$26))</f>
        <v>659.59090909090912</v>
      </c>
      <c r="O181" s="5" cm="1">
        <f t="array" ref="O181">_xlfn.XLOOKUP(B181&amp;"|"&amp;E181,
        Calculate_cap_emi!$L$14:$L$21&amp;"|"&amp;Calculate_cap_emi!$I$14:$I$21,
        Calculate_cap_emi!$AI$14:$AI$21, "Not found", 0)</f>
        <v>1306.4522828189647</v>
      </c>
      <c r="P181" s="8">
        <f t="shared" si="12"/>
        <v>3835.6978977922267</v>
      </c>
      <c r="Q181" s="8" cm="1">
        <f t="array" ref="Q181">_xlfn.SWITCH(K181,200,_xlfn.XLOOKUP(J181,Distribution!$C$18:$N$18,Distribution!$C$20:$N$20) + _xlfn.XLOOKUP(B181&amp;"|"&amp;E181,
        Calculate_cap_emi!$L$14:$L$21&amp;"|"&amp;Calculate_cap_emi!$I$14:$I$21,
        Calculate_cap_emi!$AP$14:$AP$21, "Not found", 0), LOOKUP(K181,Distribution!$C$24:$D$24,Distribution!$C$26:$D$26) + _xlfn.XLOOKUP(J181,Distribution!$C$18:$N$18,Distribution!$C$20:$N$20) + _xlfn.XLOOKUP(B181&amp;"|"&amp;E181,
        Calculate_cap_emi!$L$14:$L$21&amp;"|"&amp;Calculate_cap_emi!$I$14:$I$21,
        Calculate_cap_emi!$AP$14:$AP$21, "Not found", 0))</f>
        <v>130.27043251849349</v>
      </c>
      <c r="R181" s="8" cm="1">
        <f t="array" ref="R181">_xlfn.SWITCH(K181,200,_xlfn.XLOOKUP(J181,Installation!$C$18:$N$18,Installation!$C$20:$N$20) + _xlfn.XLOOKUP(B181&amp;"|"&amp;E181,
        Calculate_cap_emi!$L$14:$L$21&amp;"|"&amp;Calculate_cap_emi!$I$14:$I$21,
        Calculate_cap_emi!$AW$14:$AW$21, "Not found", 0), LOOKUP(K181,Installation!$C$24:$D$24,Installation!$C$26:$D$26) + _xlfn.XLOOKUP(J181,Installation!$C$18:$N$18,Installation!$C$20:$N$20) + _xlfn.XLOOKUP(B181&amp;"|"&amp;E181,
        Calculate_cap_emi!$L$14:$L$21&amp;"|"&amp;Calculate_cap_emi!$I$14:$I$21,
        Calculate_cap_emi!$AW$14:$AW$21, "Not found", 0))</f>
        <v>122.15871650343598</v>
      </c>
      <c r="S181" s="8" cm="1">
        <f t="array" ref="S181">_xlfn.SWITCH(K181,200,_xlfn.XLOOKUP(J181,EOL!$C$18:$N$18,EOL!$C$20:$N$20) + _xlfn.XLOOKUP(B181&amp;"|"&amp;E181,
        Calculate_cap_emi!$L$14:$L$21&amp;"|"&amp;Calculate_cap_emi!$I$14:$I$21,
        Calculate_cap_emi!$BD$14:$BD$21, "Not found", 0), LOOKUP(K181,EOL!$C$24:$D$24,EOL!$C$26:$D$26) + _xlfn.XLOOKUP(J181,EOL!$C$18:$N$18,EOL!$C$20:$N$20) + _xlfn.XLOOKUP(B181&amp;"|"&amp;E181,
        Calculate_cap_emi!$L$14:$L$21&amp;"|"&amp;Calculate_cap_emi!$I$14:$I$21,
        Calculate_cap_emi!$BD$14:$BD$21, "Not found", 0))</f>
        <v>777.5139084458624</v>
      </c>
      <c r="T181" s="8" cm="1">
        <f t="array" ref="T181">_xlfn.SWITCH(K181,200,_xlfn.XLOOKUP(J181,Other!$C$18:$N$18,Other!$C$20:$N$20) + _xlfn.XLOOKUP(B181&amp;"|"&amp;E181,
        Calculate_cap_emi!$L$14:$L$21&amp;"|"&amp;Calculate_cap_emi!$I$14:$I$21,
        Calculate_cap_emi!$BK$14:$BK$21, "Not found", 0), LOOKUP(K181,Other!$C$24:$D$24,Other!$C$26:$D$26) + _xlfn.XLOOKUP(J181,Other!$C$18:$N$18,Other!$C$20:$N$20) + _xlfn.XLOOKUP(B181&amp;"|"&amp;E181,
        Calculate_cap_emi!$L$14:$L$21&amp;"|"&amp;Calculate_cap_emi!$I$14:$I$21,
        Calculate_cap_emi!$BK$14:$BK$21, "Not found", 0))</f>
        <v>2183.8497771109533</v>
      </c>
      <c r="U181" s="8" cm="1">
        <f t="array" ref="U181">_xlfn.SWITCH(K181,200,_xlfn.XLOOKUP(J181,EOL_R!$C$18:$N$18,EOL_R!$C$20:$N$20) + _xlfn.XLOOKUP(B181&amp;"|"&amp;E181,
        Calculate_cap_emi_sens!$L$14:$L$21&amp;"|"&amp;Calculate_cap_emi_sens!$I$14:$I$21,
        Calculate_cap_emi_sens!$BD$14:$BD$21, "Not found", 0), LOOKUP(K181,EOL_R!$C$24:$D$24,EOL_R!$C$26:$D$26) + _xlfn.XLOOKUP(J181,EOL_R!$C$18:$N$18,EOL_R!$C$20:$N$20) + _xlfn.XLOOKUP(B181&amp;"|"&amp;E181,
        Calculate_cap_emi_sens!$L$14:$L$21&amp;"|"&amp;Calculate_cap_emi_sens!$I$14:$I$21,
        Calculate_cap_emi_sens!$BD$14:$BD$21, "Not found", 0))</f>
        <v>627.45305008466084</v>
      </c>
      <c r="V181" s="8" cm="1">
        <f t="array" ref="V181">_xlfn.SWITCH(K181,200,_xlfn.XLOOKUP(J181,Other_R!$C$18:$N$18,Other_R!$C$20:$N$20) + _xlfn.XLOOKUP(B181&amp;"|"&amp;E181,
        Calculate_cap_emi_sens!$L$14:$L$21&amp;"|"&amp;Calculate_cap_emi_sens!$I$14:$I$21,
        Calculate_cap_emi_sens!$BK$14:$BK$21, "Not found", 0), LOOKUP(K181,Other_R!$C$24:$D$24,Other_R!$C$26:$D$26) + _xlfn.XLOOKUP(J181,Other_R!$C$18:$N$18,Other_R!$C$20:$N$20) + _xlfn.XLOOKUP(B181&amp;"|"&amp;E181,
        Calculate_cap_emi_sens!$L$14:$L$21&amp;"|"&amp;Calculate_cap_emi_sens!$I$14:$I$21,
        Calculate_cap_emi_sens!$BK$14:$BK$21, "Not found", 0))</f>
        <v>1730.9823062658847</v>
      </c>
      <c r="W181" s="5">
        <f>Results_proc_ener!L181</f>
        <v>115506.17341088377</v>
      </c>
      <c r="X181" s="5">
        <f>Results_proc_ener!M181</f>
        <v>49760.002199565621</v>
      </c>
      <c r="Y181" s="5">
        <f>Results_proc_ener!N181</f>
        <v>20573.31818181818</v>
      </c>
      <c r="Z181" s="5">
        <f>Results_proc_ener!O181</f>
        <v>45172.853029499965</v>
      </c>
      <c r="AA181" s="5">
        <f>Results_proc_ener!P181</f>
        <v>115506.17341088377</v>
      </c>
      <c r="AB181" s="5">
        <f>Results_proc_ener!Q181</f>
        <v>2811.8339058376987</v>
      </c>
      <c r="AC181" s="5">
        <f>Results_proc_ener!R181</f>
        <v>227.20471635553827</v>
      </c>
      <c r="AD181" s="5">
        <f>Results_proc_ener!S181</f>
        <v>25655.336801563637</v>
      </c>
      <c r="AE181" s="5">
        <f>Results_proc_ener!T181</f>
        <v>65822.150426137203</v>
      </c>
    </row>
    <row r="182" spans="1:31" x14ac:dyDescent="0.25">
      <c r="A182" s="5"/>
      <c r="B182" s="5" t="str">
        <f t="shared" si="10"/>
        <v>Mass-H1</v>
      </c>
      <c r="C182" s="5" t="s">
        <v>37</v>
      </c>
      <c r="D182" s="5" t="str">
        <f t="shared" si="9"/>
        <v>H1</v>
      </c>
      <c r="E182" s="5" t="s">
        <v>11</v>
      </c>
      <c r="F182" s="5" t="s">
        <v>57</v>
      </c>
      <c r="G182" s="5" t="s">
        <v>57</v>
      </c>
      <c r="H182" s="5">
        <v>11.2</v>
      </c>
      <c r="I182" s="5"/>
      <c r="J182" s="5">
        <f t="shared" si="11"/>
        <v>12</v>
      </c>
      <c r="K182" s="5">
        <v>1000</v>
      </c>
      <c r="L182" s="8" cm="1">
        <f t="array" ref="L182">_xlfn.SWITCH(K182,200,_xlfn.XLOOKUP(J182,Manufacture!$C$18:$N$18,Manufacture!$C$20:$N$20) + _xlfn.XLOOKUP(B182&amp;"|"&amp;E182,
        Calculate_cap_emi!$L$14:$L$21&amp;"|"&amp;Calculate_cap_emi!$I$14:$I$21,
        Calculate_cap_emi!$AI$14:$AI$21, "Not found", 0), LOOKUP(K182,Manufacture!$C$24:$D$24,Manufacture!$C$26:$D$26) + _xlfn.XLOOKUP(J182,Manufacture!$C$18:$N$18,Manufacture!$C$20:$N$20) + _xlfn.XLOOKUP(B182&amp;"|"&amp;E182,
        Calculate_cap_emi!$L$14:$L$21&amp;"|"&amp;Calculate_cap_emi!$I$14:$I$21,
        Calculate_cap_emi!$AI$14:$AI$21, "Not found", 0))</f>
        <v>3954.4714272039914</v>
      </c>
      <c r="M182" s="8">
        <f>LOOKUP(J182,Manufacture!$C$18:$N$18,Manufacture!$C$20:$N$20)</f>
        <v>1988.4282352941175</v>
      </c>
      <c r="N182" s="8" cm="1">
        <f t="array" ref="N182">_xlfn.SWITCH(K182,200,0,LOOKUP(K182,Manufacture!$C$24:$D$24,Manufacture!$C$26:$D$26))</f>
        <v>659.59090909090912</v>
      </c>
      <c r="O182" s="5" cm="1">
        <f t="array" ref="O182">_xlfn.XLOOKUP(B182&amp;"|"&amp;E182,
        Calculate_cap_emi!$L$14:$L$21&amp;"|"&amp;Calculate_cap_emi!$I$14:$I$21,
        Calculate_cap_emi!$AI$14:$AI$21, "Not found", 0)</f>
        <v>1306.4522828189647</v>
      </c>
      <c r="P182" s="8">
        <f t="shared" si="12"/>
        <v>3954.4714272039914</v>
      </c>
      <c r="Q182" s="8" cm="1">
        <f t="array" ref="Q182">_xlfn.SWITCH(K182,200,_xlfn.XLOOKUP(J182,Distribution!$C$18:$N$18,Distribution!$C$20:$N$20) + _xlfn.XLOOKUP(B182&amp;"|"&amp;E182,
        Calculate_cap_emi!$L$14:$L$21&amp;"|"&amp;Calculate_cap_emi!$I$14:$I$21,
        Calculate_cap_emi!$AP$14:$AP$21, "Not found", 0), LOOKUP(K182,Distribution!$C$24:$D$24,Distribution!$C$26:$D$26) + _xlfn.XLOOKUP(J182,Distribution!$C$18:$N$18,Distribution!$C$20:$N$20) + _xlfn.XLOOKUP(B182&amp;"|"&amp;E182,
        Calculate_cap_emi!$L$14:$L$21&amp;"|"&amp;Calculate_cap_emi!$I$14:$I$21,
        Calculate_cap_emi!$AP$14:$AP$21, "Not found", 0))</f>
        <v>134.90306526119937</v>
      </c>
      <c r="R182" s="8" cm="1">
        <f t="array" ref="R182">_xlfn.SWITCH(K182,200,_xlfn.XLOOKUP(J182,Installation!$C$18:$N$18,Installation!$C$20:$N$20) + _xlfn.XLOOKUP(B182&amp;"|"&amp;E182,
        Calculate_cap_emi!$L$14:$L$21&amp;"|"&amp;Calculate_cap_emi!$I$14:$I$21,
        Calculate_cap_emi!$AW$14:$AW$21, "Not found", 0), LOOKUP(K182,Installation!$C$24:$D$24,Installation!$C$26:$D$26) + _xlfn.XLOOKUP(J182,Installation!$C$18:$N$18,Installation!$C$20:$N$20) + _xlfn.XLOOKUP(B182&amp;"|"&amp;E182,
        Calculate_cap_emi!$L$14:$L$21&amp;"|"&amp;Calculate_cap_emi!$I$14:$I$21,
        Calculate_cap_emi!$AW$14:$AW$21, "Not found", 0))</f>
        <v>129.53595128350264</v>
      </c>
      <c r="S182" s="8" cm="1">
        <f t="array" ref="S182">_xlfn.SWITCH(K182,200,_xlfn.XLOOKUP(J182,EOL!$C$18:$N$18,EOL!$C$20:$N$20) + _xlfn.XLOOKUP(B182&amp;"|"&amp;E182,
        Calculate_cap_emi!$L$14:$L$21&amp;"|"&amp;Calculate_cap_emi!$I$14:$I$21,
        Calculate_cap_emi!$BD$14:$BD$21, "Not found", 0), LOOKUP(K182,EOL!$C$24:$D$24,EOL!$C$26:$D$26) + _xlfn.XLOOKUP(J182,EOL!$C$18:$N$18,EOL!$C$20:$N$20) + _xlfn.XLOOKUP(B182&amp;"|"&amp;E182,
        Calculate_cap_emi!$L$14:$L$21&amp;"|"&amp;Calculate_cap_emi!$I$14:$I$21,
        Calculate_cap_emi!$BD$14:$BD$21, "Not found", 0))</f>
        <v>822.18461432821528</v>
      </c>
      <c r="T182" s="8" cm="1">
        <f t="array" ref="T182">_xlfn.SWITCH(K182,200,_xlfn.XLOOKUP(J182,Other!$C$18:$N$18,Other!$C$20:$N$20) + _xlfn.XLOOKUP(B182&amp;"|"&amp;E182,
        Calculate_cap_emi!$L$14:$L$21&amp;"|"&amp;Calculate_cap_emi!$I$14:$I$21,
        Calculate_cap_emi!$BK$14:$BK$21, "Not found", 0), LOOKUP(K182,Other!$C$24:$D$24,Other!$C$26:$D$26) + _xlfn.XLOOKUP(J182,Other!$C$18:$N$18,Other!$C$20:$N$20) + _xlfn.XLOOKUP(B182&amp;"|"&amp;E182,
        Calculate_cap_emi!$L$14:$L$21&amp;"|"&amp;Calculate_cap_emi!$I$14:$I$21,
        Calculate_cap_emi!$BK$14:$BK$21, "Not found", 0))</f>
        <v>2249.5190269993745</v>
      </c>
      <c r="U182" s="8" cm="1">
        <f t="array" ref="U182">_xlfn.SWITCH(K182,200,_xlfn.XLOOKUP(J182,EOL_R!$C$18:$N$18,EOL_R!$C$20:$N$20) + _xlfn.XLOOKUP(B182&amp;"|"&amp;E182,
        Calculate_cap_emi_sens!$L$14:$L$21&amp;"|"&amp;Calculate_cap_emi_sens!$I$14:$I$21,
        Calculate_cap_emi_sens!$BD$14:$BD$21, "Not found", 0), LOOKUP(K182,EOL_R!$C$24:$D$24,EOL_R!$C$26:$D$26) + _xlfn.XLOOKUP(J182,EOL_R!$C$18:$N$18,EOL_R!$C$20:$N$20) + _xlfn.XLOOKUP(B182&amp;"|"&amp;E182,
        Calculate_cap_emi_sens!$L$14:$L$21&amp;"|"&amp;Calculate_cap_emi_sens!$I$14:$I$21,
        Calculate_cap_emi_sens!$BD$14:$BD$21, "Not found", 0))</f>
        <v>651.62335261354065</v>
      </c>
      <c r="V182" s="8" cm="1">
        <f t="array" ref="V182">_xlfn.SWITCH(K182,200,_xlfn.XLOOKUP(J182,Other_R!$C$18:$N$18,Other_R!$C$20:$N$20) + _xlfn.XLOOKUP(B182&amp;"|"&amp;E182,
        Calculate_cap_emi_sens!$L$14:$L$21&amp;"|"&amp;Calculate_cap_emi_sens!$I$14:$I$21,
        Calculate_cap_emi_sens!$BK$14:$BK$21, "Not found", 0), LOOKUP(K182,Other_R!$C$24:$D$24,Other_R!$C$26:$D$26) + _xlfn.XLOOKUP(J182,Other_R!$C$18:$N$18,Other_R!$C$20:$N$20) + _xlfn.XLOOKUP(B182&amp;"|"&amp;E182,
        Calculate_cap_emi_sens!$L$14:$L$21&amp;"|"&amp;Calculate_cap_emi_sens!$I$14:$I$21,
        Calculate_cap_emi_sens!$BK$14:$BK$21, "Not found", 0))</f>
        <v>1746.3641832937974</v>
      </c>
      <c r="W182" s="5">
        <f>Results_proc_ener!L182</f>
        <v>116570.6892117774</v>
      </c>
      <c r="X182" s="5">
        <f>Results_proc_ener!M182</f>
        <v>50824.518000459248</v>
      </c>
      <c r="Y182" s="5">
        <f>Results_proc_ener!N182</f>
        <v>20573.31818181818</v>
      </c>
      <c r="Z182" s="5">
        <f>Results_proc_ener!O182</f>
        <v>45172.853029499965</v>
      </c>
      <c r="AA182" s="5">
        <f>Results_proc_ener!P182</f>
        <v>116570.6892117774</v>
      </c>
      <c r="AB182" s="5">
        <f>Results_proc_ener!Q182</f>
        <v>2909.946785243148</v>
      </c>
      <c r="AC182" s="5">
        <f>Results_proc_ener!R182</f>
        <v>234.58195113560492</v>
      </c>
      <c r="AD182" s="5">
        <f>Results_proc_ener!S182</f>
        <v>25655.336801563637</v>
      </c>
      <c r="AE182" s="5">
        <f>Results_proc_ener!T182</f>
        <v>65887.819676025625</v>
      </c>
    </row>
    <row r="183" spans="1:31" x14ac:dyDescent="0.25">
      <c r="A183" s="5"/>
      <c r="B183" s="5" t="str">
        <f t="shared" si="10"/>
        <v>Mass-H1</v>
      </c>
      <c r="C183" s="5" t="s">
        <v>37</v>
      </c>
      <c r="D183" s="5" t="str">
        <f t="shared" si="9"/>
        <v>H1</v>
      </c>
      <c r="E183" s="5" t="s">
        <v>11</v>
      </c>
      <c r="F183" s="5" t="s">
        <v>57</v>
      </c>
      <c r="G183" s="5" t="s">
        <v>57</v>
      </c>
      <c r="H183" s="5">
        <v>14</v>
      </c>
      <c r="I183" s="5"/>
      <c r="J183" s="5">
        <f t="shared" si="11"/>
        <v>14</v>
      </c>
      <c r="K183" s="5">
        <v>1000</v>
      </c>
      <c r="L183" s="8" cm="1">
        <f t="array" ref="L183">_xlfn.SWITCH(K183,200,_xlfn.XLOOKUP(J183,Manufacture!$C$18:$N$18,Manufacture!$C$20:$N$20) + _xlfn.XLOOKUP(B183&amp;"|"&amp;E183,
        Calculate_cap_emi!$L$14:$L$21&amp;"|"&amp;Calculate_cap_emi!$I$14:$I$21,
        Calculate_cap_emi!$AI$14:$AI$21, "Not found", 0), LOOKUP(K183,Manufacture!$C$24:$D$24,Manufacture!$C$26:$D$26) + _xlfn.XLOOKUP(J183,Manufacture!$C$18:$N$18,Manufacture!$C$20:$N$20) + _xlfn.XLOOKUP(B183&amp;"|"&amp;E183,
        Calculate_cap_emi!$L$14:$L$21&amp;"|"&amp;Calculate_cap_emi!$I$14:$I$21,
        Calculate_cap_emi!$AI$14:$AI$21, "Not found", 0))</f>
        <v>4033.6537801451677</v>
      </c>
      <c r="M183" s="8">
        <f>LOOKUP(J183,Manufacture!$C$18:$N$18,Manufacture!$C$20:$N$20)</f>
        <v>2067.610588235294</v>
      </c>
      <c r="N183" s="8" cm="1">
        <f t="array" ref="N183">_xlfn.SWITCH(K183,200,0,LOOKUP(K183,Manufacture!$C$24:$D$24,Manufacture!$C$26:$D$26))</f>
        <v>659.59090909090912</v>
      </c>
      <c r="O183" s="5" cm="1">
        <f t="array" ref="O183">_xlfn.XLOOKUP(B183&amp;"|"&amp;E183,
        Calculate_cap_emi!$L$14:$L$21&amp;"|"&amp;Calculate_cap_emi!$I$14:$I$21,
        Calculate_cap_emi!$AI$14:$AI$21, "Not found", 0)</f>
        <v>1306.4522828189647</v>
      </c>
      <c r="P183" s="8">
        <f t="shared" si="12"/>
        <v>4033.6537801451677</v>
      </c>
      <c r="Q183" s="8" cm="1">
        <f t="array" ref="Q183">_xlfn.SWITCH(K183,200,_xlfn.XLOOKUP(J183,Distribution!$C$18:$N$18,Distribution!$C$20:$N$20) + _xlfn.XLOOKUP(B183&amp;"|"&amp;E183,
        Calculate_cap_emi!$L$14:$L$21&amp;"|"&amp;Calculate_cap_emi!$I$14:$I$21,
        Calculate_cap_emi!$AP$14:$AP$21, "Not found", 0), LOOKUP(K183,Distribution!$C$24:$D$24,Distribution!$C$26:$D$26) + _xlfn.XLOOKUP(J183,Distribution!$C$18:$N$18,Distribution!$C$20:$N$20) + _xlfn.XLOOKUP(B183&amp;"|"&amp;E183,
        Calculate_cap_emi!$L$14:$L$21&amp;"|"&amp;Calculate_cap_emi!$I$14:$I$21,
        Calculate_cap_emi!$AP$14:$AP$21, "Not found", 0))</f>
        <v>137.99148708966993</v>
      </c>
      <c r="R183" s="8" cm="1">
        <f t="array" ref="R183">_xlfn.SWITCH(K183,200,_xlfn.XLOOKUP(J183,Installation!$C$18:$N$18,Installation!$C$20:$N$20) + _xlfn.XLOOKUP(B183&amp;"|"&amp;E183,
        Calculate_cap_emi!$L$14:$L$21&amp;"|"&amp;Calculate_cap_emi!$I$14:$I$21,
        Calculate_cap_emi!$AW$14:$AW$21, "Not found", 0), LOOKUP(K183,Installation!$C$24:$D$24,Installation!$C$26:$D$26) + _xlfn.XLOOKUP(J183,Installation!$C$18:$N$18,Installation!$C$20:$N$20) + _xlfn.XLOOKUP(B183&amp;"|"&amp;E183,
        Calculate_cap_emi!$L$14:$L$21&amp;"|"&amp;Calculate_cap_emi!$I$14:$I$21,
        Calculate_cap_emi!$AW$14:$AW$21, "Not found", 0))</f>
        <v>134.45410780354717</v>
      </c>
      <c r="S183" s="8" cm="1">
        <f t="array" ref="S183">_xlfn.SWITCH(K183,200,_xlfn.XLOOKUP(J183,EOL!$C$18:$N$18,EOL!$C$20:$N$20) + _xlfn.XLOOKUP(B183&amp;"|"&amp;E183,
        Calculate_cap_emi!$L$14:$L$21&amp;"|"&amp;Calculate_cap_emi!$I$14:$I$21,
        Calculate_cap_emi!$BD$14:$BD$21, "Not found", 0), LOOKUP(K183,EOL!$C$24:$D$24,EOL!$C$26:$D$26) + _xlfn.XLOOKUP(J183,EOL!$C$18:$N$18,EOL!$C$20:$N$20) + _xlfn.XLOOKUP(B183&amp;"|"&amp;E183,
        Calculate_cap_emi!$L$14:$L$21&amp;"|"&amp;Calculate_cap_emi!$I$14:$I$21,
        Calculate_cap_emi!$BD$14:$BD$21, "Not found", 0))</f>
        <v>851.96508491645045</v>
      </c>
      <c r="T183" s="8" cm="1">
        <f t="array" ref="T183">_xlfn.SWITCH(K183,200,_xlfn.XLOOKUP(J183,Other!$C$18:$N$18,Other!$C$20:$N$20) + _xlfn.XLOOKUP(B183&amp;"|"&amp;E183,
        Calculate_cap_emi!$L$14:$L$21&amp;"|"&amp;Calculate_cap_emi!$I$14:$I$21,
        Calculate_cap_emi!$BK$14:$BK$21, "Not found", 0), LOOKUP(K183,Other!$C$24:$D$24,Other!$C$26:$D$26) + _xlfn.XLOOKUP(J183,Other!$C$18:$N$18,Other!$C$20:$N$20) + _xlfn.XLOOKUP(B183&amp;"|"&amp;E183,
        Calculate_cap_emi!$L$14:$L$21&amp;"|"&amp;Calculate_cap_emi!$I$14:$I$21,
        Calculate_cap_emi!$BK$14:$BK$21, "Not found", 0))</f>
        <v>2293.298526924988</v>
      </c>
      <c r="U183" s="8" cm="1">
        <f t="array" ref="U183">_xlfn.SWITCH(K183,200,_xlfn.XLOOKUP(J183,EOL_R!$C$18:$N$18,EOL_R!$C$20:$N$20) + _xlfn.XLOOKUP(B183&amp;"|"&amp;E183,
        Calculate_cap_emi_sens!$L$14:$L$21&amp;"|"&amp;Calculate_cap_emi_sens!$I$14:$I$21,
        Calculate_cap_emi_sens!$BD$14:$BD$21, "Not found", 0), LOOKUP(K183,EOL_R!$C$24:$D$24,EOL_R!$C$26:$D$26) + _xlfn.XLOOKUP(J183,EOL_R!$C$18:$N$18,EOL_R!$C$20:$N$20) + _xlfn.XLOOKUP(B183&amp;"|"&amp;E183,
        Calculate_cap_emi_sens!$L$14:$L$21&amp;"|"&amp;Calculate_cap_emi_sens!$I$14:$I$21,
        Calculate_cap_emi_sens!$BD$14:$BD$21, "Not found", 0))</f>
        <v>670.41894991183335</v>
      </c>
      <c r="V183" s="8" cm="1">
        <f t="array" ref="V183">_xlfn.SWITCH(K183,200,_xlfn.XLOOKUP(J183,Other_R!$C$18:$N$18,Other_R!$C$20:$N$20) + _xlfn.XLOOKUP(B183&amp;"|"&amp;E183,
        Calculate_cap_emi_sens!$L$14:$L$21&amp;"|"&amp;Calculate_cap_emi_sens!$I$14:$I$21,
        Calculate_cap_emi_sens!$BK$14:$BK$21, "Not found", 0), LOOKUP(K183,Other_R!$C$24:$D$24,Other_R!$C$26:$D$26) + _xlfn.XLOOKUP(J183,Other_R!$C$18:$N$18,Other_R!$C$20:$N$20) + _xlfn.XLOOKUP(B183&amp;"|"&amp;E183,
        Calculate_cap_emi_sens!$L$14:$L$21&amp;"|"&amp;Calculate_cap_emi_sens!$I$14:$I$21,
        Calculate_cap_emi_sens!$BK$14:$BK$21, "Not found", 0))</f>
        <v>1763.1978514993145</v>
      </c>
      <c r="W183" s="5">
        <f>Results_proc_ener!L183</f>
        <v>117280.36641237307</v>
      </c>
      <c r="X183" s="5">
        <f>Results_proc_ener!M183</f>
        <v>51534.195201054921</v>
      </c>
      <c r="Y183" s="5">
        <f>Results_proc_ener!N183</f>
        <v>20573.31818181818</v>
      </c>
      <c r="Z183" s="5">
        <f>Results_proc_ener!O183</f>
        <v>45172.853029499965</v>
      </c>
      <c r="AA183" s="5">
        <f>Results_proc_ener!P183</f>
        <v>117280.36641237307</v>
      </c>
      <c r="AB183" s="5">
        <f>Results_proc_ener!Q183</f>
        <v>2975.3553715134485</v>
      </c>
      <c r="AC183" s="5">
        <f>Results_proc_ener!R183</f>
        <v>239.50010765564946</v>
      </c>
      <c r="AD183" s="5">
        <f>Results_proc_ener!S183</f>
        <v>25655.336801563637</v>
      </c>
      <c r="AE183" s="5">
        <f>Results_proc_ener!T183</f>
        <v>65931.599175951225</v>
      </c>
    </row>
    <row r="184" spans="1:31" x14ac:dyDescent="0.25">
      <c r="A184" s="5"/>
      <c r="B184" s="5" t="str">
        <f t="shared" si="10"/>
        <v>Mod-H1</v>
      </c>
      <c r="C184" s="5" t="s">
        <v>38</v>
      </c>
      <c r="D184" s="5" t="str">
        <f t="shared" si="9"/>
        <v>H1</v>
      </c>
      <c r="E184" s="5" t="s">
        <v>11</v>
      </c>
      <c r="F184" s="5" t="s">
        <v>54</v>
      </c>
      <c r="G184" s="5" t="s">
        <v>54</v>
      </c>
      <c r="H184" s="5">
        <v>8.5</v>
      </c>
      <c r="I184" s="5"/>
      <c r="J184" s="5">
        <f t="shared" si="11"/>
        <v>9</v>
      </c>
      <c r="K184" s="5">
        <v>200</v>
      </c>
      <c r="L184" s="8" cm="1">
        <f t="array" ref="L184">_xlfn.SWITCH(K184,200,_xlfn.XLOOKUP(J184,Manufacture!$C$18:$N$18,Manufacture!$C$20:$N$20) + _xlfn.XLOOKUP(B184&amp;"|"&amp;E184,
        Calculate_cap_emi!$L$14:$L$21&amp;"|"&amp;Calculate_cap_emi!$I$14:$I$21,
        Calculate_cap_emi!$AI$14:$AI$21, "Not found", 0), LOOKUP(K184,Manufacture!$C$24:$D$24,Manufacture!$C$26:$D$26) + _xlfn.XLOOKUP(J184,Manufacture!$C$18:$N$18,Manufacture!$C$20:$N$20) + _xlfn.XLOOKUP(B184&amp;"|"&amp;E184,
        Calculate_cap_emi!$L$14:$L$21&amp;"|"&amp;Calculate_cap_emi!$I$14:$I$21,
        Calculate_cap_emi!$AI$14:$AI$21, "Not found", 0))</f>
        <v>3681.357815727335</v>
      </c>
      <c r="M184" s="8">
        <f>LOOKUP(J184,Manufacture!$C$18:$N$18,Manufacture!$C$20:$N$20)</f>
        <v>1869.654705882353</v>
      </c>
      <c r="N184" s="8" cm="1">
        <f t="array" ref="N184">_xlfn.SWITCH(K184,200,0,LOOKUP(K184,Manufacture!$C$24:$D$24,Manufacture!$C$26:$D$26))</f>
        <v>0</v>
      </c>
      <c r="O184" s="5" cm="1">
        <f t="array" ref="O184">_xlfn.XLOOKUP(B184&amp;"|"&amp;E184,
        Calculate_cap_emi!$L$14:$L$21&amp;"|"&amp;Calculate_cap_emi!$I$14:$I$21,
        Calculate_cap_emi!$AI$14:$AI$21, "Not found", 0)</f>
        <v>1811.7031098449818</v>
      </c>
      <c r="P184" s="8">
        <f t="shared" si="12"/>
        <v>3681.357815727335</v>
      </c>
      <c r="Q184" s="8" cm="1">
        <f t="array" ref="Q184">_xlfn.SWITCH(K184,200,_xlfn.XLOOKUP(J184,Distribution!$C$18:$N$18,Distribution!$C$20:$N$20) + _xlfn.XLOOKUP(B184&amp;"|"&amp;E184,
        Calculate_cap_emi!$L$14:$L$21&amp;"|"&amp;Calculate_cap_emi!$I$14:$I$21,
        Calculate_cap_emi!$AP$14:$AP$21, "Not found", 0), LOOKUP(K184,Distribution!$C$24:$D$24,Distribution!$C$26:$D$26) + _xlfn.XLOOKUP(J184,Distribution!$C$18:$N$18,Distribution!$C$20:$N$20) + _xlfn.XLOOKUP(B184&amp;"|"&amp;E184,
        Calculate_cap_emi!$L$14:$L$21&amp;"|"&amp;Calculate_cap_emi!$I$14:$I$21,
        Calculate_cap_emi!$AP$14:$AP$21, "Not found", 0))</f>
        <v>128.11688599320954</v>
      </c>
      <c r="R184" s="8" cm="1">
        <f t="array" ref="R184">_xlfn.SWITCH(K184,200,_xlfn.XLOOKUP(J184,Installation!$C$18:$N$18,Installation!$C$20:$N$20) + _xlfn.XLOOKUP(B184&amp;"|"&amp;E184,
        Calculate_cap_emi!$L$14:$L$21&amp;"|"&amp;Calculate_cap_emi!$I$14:$I$21,
        Calculate_cap_emi!$AW$14:$AW$21, "Not found", 0), LOOKUP(K184,Installation!$C$24:$D$24,Installation!$C$26:$D$26) + _xlfn.XLOOKUP(J184,Installation!$C$18:$N$18,Installation!$C$20:$N$20) + _xlfn.XLOOKUP(B184&amp;"|"&amp;E184,
        Calculate_cap_emi!$L$14:$L$21&amp;"|"&amp;Calculate_cap_emi!$I$14:$I$21,
        Calculate_cap_emi!$AW$14:$AW$21, "Not found", 0))</f>
        <v>113.12559524420303</v>
      </c>
      <c r="S184" s="8" cm="1">
        <f t="array" ref="S184">_xlfn.SWITCH(K184,200,_xlfn.XLOOKUP(J184,EOL!$C$18:$N$18,EOL!$C$20:$N$20) + _xlfn.XLOOKUP(B184&amp;"|"&amp;E184,
        Calculate_cap_emi!$L$14:$L$21&amp;"|"&amp;Calculate_cap_emi!$I$14:$I$21,
        Calculate_cap_emi!$BD$14:$BD$21, "Not found", 0), LOOKUP(K184,EOL!$C$24:$D$24,EOL!$C$26:$D$26) + _xlfn.XLOOKUP(J184,EOL!$C$18:$N$18,EOL!$C$20:$N$20) + _xlfn.XLOOKUP(B184&amp;"|"&amp;E184,
        Calculate_cap_emi!$L$14:$L$21&amp;"|"&amp;Calculate_cap_emi!$I$14:$I$21,
        Calculate_cap_emi!$BD$14:$BD$21, "Not found", 0))</f>
        <v>588.82802891216909</v>
      </c>
      <c r="T184" s="8" cm="1">
        <f t="array" ref="T184">_xlfn.SWITCH(K184,200,_xlfn.XLOOKUP(J184,Other!$C$18:$N$18,Other!$C$20:$N$20) + _xlfn.XLOOKUP(B184&amp;"|"&amp;E184,
        Calculate_cap_emi!$L$14:$L$21&amp;"|"&amp;Calculate_cap_emi!$I$14:$I$21,
        Calculate_cap_emi!$BK$14:$BK$21, "Not found", 0), LOOKUP(K184,Other!$C$24:$D$24,Other!$C$26:$D$26) + _xlfn.XLOOKUP(J184,Other!$C$18:$N$18,Other!$C$20:$N$20) + _xlfn.XLOOKUP(B184&amp;"|"&amp;E184,
        Calculate_cap_emi!$L$14:$L$21&amp;"|"&amp;Calculate_cap_emi!$I$14:$I$21,
        Calculate_cap_emi!$BK$14:$BK$21, "Not found", 0))</f>
        <v>2703.766439896578</v>
      </c>
      <c r="U184" s="8" cm="1">
        <f t="array" ref="U184">_xlfn.SWITCH(K184,200,_xlfn.XLOOKUP(J184,EOL_R!$C$18:$N$18,EOL_R!$C$20:$N$20) + _xlfn.XLOOKUP(B184&amp;"|"&amp;E184,
        Calculate_cap_emi_sens!$L$14:$L$21&amp;"|"&amp;Calculate_cap_emi_sens!$I$14:$I$21,
        Calculate_cap_emi_sens!$BD$14:$BD$21, "Not found", 0), LOOKUP(K184,EOL_R!$C$24:$D$24,EOL_R!$C$26:$D$26) + _xlfn.XLOOKUP(J184,EOL_R!$C$18:$N$18,EOL_R!$C$20:$N$20) + _xlfn.XLOOKUP(B184&amp;"|"&amp;E184,
        Calculate_cap_emi_sens!$L$14:$L$21&amp;"|"&amp;Calculate_cap_emi_sens!$I$14:$I$21,
        Calculate_cap_emi_sens!$BD$14:$BD$21, "Not found", 0))</f>
        <v>438.76717055096759</v>
      </c>
      <c r="V184" s="8" cm="1">
        <f t="array" ref="V184">_xlfn.SWITCH(K184,200,_xlfn.XLOOKUP(J184,Other_R!$C$18:$N$18,Other_R!$C$20:$N$20) + _xlfn.XLOOKUP(B184&amp;"|"&amp;E184,
        Calculate_cap_emi_sens!$L$14:$L$21&amp;"|"&amp;Calculate_cap_emi_sens!$I$14:$I$21,
        Calculate_cap_emi_sens!$BK$14:$BK$21, "Not found", 0), LOOKUP(K184,Other_R!$C$24:$D$24,Other_R!$C$26:$D$26) + _xlfn.XLOOKUP(J184,Other_R!$C$18:$N$18,Other_R!$C$20:$N$20) + _xlfn.XLOOKUP(B184&amp;"|"&amp;E184,
        Calculate_cap_emi_sens!$L$14:$L$21&amp;"|"&amp;Calculate_cap_emi_sens!$I$14:$I$21,
        Calculate_cap_emi_sens!$BK$14:$BK$21, "Not found", 0))</f>
        <v>2250.89896905151</v>
      </c>
      <c r="W184" s="5">
        <f>Results_proc_ener!L184</f>
        <v>112500.06975931556</v>
      </c>
      <c r="X184" s="5">
        <f>Results_proc_ener!M184</f>
        <v>49760.002199565621</v>
      </c>
      <c r="Y184" s="5">
        <f>Results_proc_ener!N184</f>
        <v>0</v>
      </c>
      <c r="Z184" s="5">
        <f>Results_proc_ener!O184</f>
        <v>62740.067559749943</v>
      </c>
      <c r="AA184" s="5">
        <f>Results_proc_ener!P184</f>
        <v>112500.06975931556</v>
      </c>
      <c r="AB184" s="5">
        <f>Results_proc_ener!Q184</f>
        <v>2713.3419123380736</v>
      </c>
      <c r="AC184" s="5">
        <f>Results_proc_ener!R184</f>
        <v>226.99780386264052</v>
      </c>
      <c r="AD184" s="5">
        <f>Results_proc_ener!S184</f>
        <v>6246.5779445999997</v>
      </c>
      <c r="AE184" s="5">
        <f>Results_proc_ener!T184</f>
        <v>89930.016141637185</v>
      </c>
    </row>
    <row r="185" spans="1:31" x14ac:dyDescent="0.25">
      <c r="A185" s="5"/>
      <c r="B185" s="5" t="str">
        <f t="shared" si="10"/>
        <v>Mod-H1</v>
      </c>
      <c r="C185" s="5" t="s">
        <v>38</v>
      </c>
      <c r="D185" s="5" t="str">
        <f t="shared" si="9"/>
        <v>H1</v>
      </c>
      <c r="E185" s="5" t="s">
        <v>11</v>
      </c>
      <c r="F185" s="5" t="s">
        <v>54</v>
      </c>
      <c r="G185" s="5" t="s">
        <v>54</v>
      </c>
      <c r="H185" s="5">
        <v>11.2</v>
      </c>
      <c r="I185" s="5"/>
      <c r="J185" s="5">
        <f t="shared" si="11"/>
        <v>12</v>
      </c>
      <c r="K185" s="5">
        <v>200</v>
      </c>
      <c r="L185" s="8" cm="1">
        <f t="array" ref="L185">_xlfn.SWITCH(K185,200,_xlfn.XLOOKUP(J185,Manufacture!$C$18:$N$18,Manufacture!$C$20:$N$20) + _xlfn.XLOOKUP(B185&amp;"|"&amp;E185,
        Calculate_cap_emi!$L$14:$L$21&amp;"|"&amp;Calculate_cap_emi!$I$14:$I$21,
        Calculate_cap_emi!$AI$14:$AI$21, "Not found", 0), LOOKUP(K185,Manufacture!$C$24:$D$24,Manufacture!$C$26:$D$26) + _xlfn.XLOOKUP(J185,Manufacture!$C$18:$N$18,Manufacture!$C$20:$N$20) + _xlfn.XLOOKUP(B185&amp;"|"&amp;E185,
        Calculate_cap_emi!$L$14:$L$21&amp;"|"&amp;Calculate_cap_emi!$I$14:$I$21,
        Calculate_cap_emi!$AI$14:$AI$21, "Not found", 0))</f>
        <v>3800.1313451390993</v>
      </c>
      <c r="M185" s="8">
        <f>LOOKUP(J185,Manufacture!$C$18:$N$18,Manufacture!$C$20:$N$20)</f>
        <v>1988.4282352941175</v>
      </c>
      <c r="N185" s="8" cm="1">
        <f t="array" ref="N185">_xlfn.SWITCH(K185,200,0,LOOKUP(K185,Manufacture!$C$24:$D$24,Manufacture!$C$26:$D$26))</f>
        <v>0</v>
      </c>
      <c r="O185" s="5" cm="1">
        <f t="array" ref="O185">_xlfn.XLOOKUP(B185&amp;"|"&amp;E185,
        Calculate_cap_emi!$L$14:$L$21&amp;"|"&amp;Calculate_cap_emi!$I$14:$I$21,
        Calculate_cap_emi!$AI$14:$AI$21, "Not found", 0)</f>
        <v>1811.7031098449818</v>
      </c>
      <c r="P185" s="8">
        <f t="shared" si="12"/>
        <v>3800.1313451390993</v>
      </c>
      <c r="Q185" s="8" cm="1">
        <f t="array" ref="Q185">_xlfn.SWITCH(K185,200,_xlfn.XLOOKUP(J185,Distribution!$C$18:$N$18,Distribution!$C$20:$N$20) + _xlfn.XLOOKUP(B185&amp;"|"&amp;E185,
        Calculate_cap_emi!$L$14:$L$21&amp;"|"&amp;Calculate_cap_emi!$I$14:$I$21,
        Calculate_cap_emi!$AP$14:$AP$21, "Not found", 0), LOOKUP(K185,Distribution!$C$24:$D$24,Distribution!$C$26:$D$26) + _xlfn.XLOOKUP(J185,Distribution!$C$18:$N$18,Distribution!$C$20:$N$20) + _xlfn.XLOOKUP(B185&amp;"|"&amp;E185,
        Calculate_cap_emi!$L$14:$L$21&amp;"|"&amp;Calculate_cap_emi!$I$14:$I$21,
        Calculate_cap_emi!$AP$14:$AP$21, "Not found", 0))</f>
        <v>132.74951873591542</v>
      </c>
      <c r="R185" s="8" cm="1">
        <f t="array" ref="R185">_xlfn.SWITCH(K185,200,_xlfn.XLOOKUP(J185,Installation!$C$18:$N$18,Installation!$C$20:$N$20) + _xlfn.XLOOKUP(B185&amp;"|"&amp;E185,
        Calculate_cap_emi!$L$14:$L$21&amp;"|"&amp;Calculate_cap_emi!$I$14:$I$21,
        Calculate_cap_emi!$AW$14:$AW$21, "Not found", 0), LOOKUP(K185,Installation!$C$24:$D$24,Installation!$C$26:$D$26) + _xlfn.XLOOKUP(J185,Installation!$C$18:$N$18,Installation!$C$20:$N$20) + _xlfn.XLOOKUP(B185&amp;"|"&amp;E185,
        Calculate_cap_emi!$L$14:$L$21&amp;"|"&amp;Calculate_cap_emi!$I$14:$I$21,
        Calculate_cap_emi!$AW$14:$AW$21, "Not found", 0))</f>
        <v>120.50283002426971</v>
      </c>
      <c r="S185" s="8" cm="1">
        <f t="array" ref="S185">_xlfn.SWITCH(K185,200,_xlfn.XLOOKUP(J185,EOL!$C$18:$N$18,EOL!$C$20:$N$20) + _xlfn.XLOOKUP(B185&amp;"|"&amp;E185,
        Calculate_cap_emi!$L$14:$L$21&amp;"|"&amp;Calculate_cap_emi!$I$14:$I$21,
        Calculate_cap_emi!$BD$14:$BD$21, "Not found", 0), LOOKUP(K185,EOL!$C$24:$D$24,EOL!$C$26:$D$26) + _xlfn.XLOOKUP(J185,EOL!$C$18:$N$18,EOL!$C$20:$N$20) + _xlfn.XLOOKUP(B185&amp;"|"&amp;E185,
        Calculate_cap_emi!$L$14:$L$21&amp;"|"&amp;Calculate_cap_emi!$I$14:$I$21,
        Calculate_cap_emi!$BD$14:$BD$21, "Not found", 0))</f>
        <v>633.49873479452197</v>
      </c>
      <c r="T185" s="8" cm="1">
        <f t="array" ref="T185">_xlfn.SWITCH(K185,200,_xlfn.XLOOKUP(J185,Other!$C$18:$N$18,Other!$C$20:$N$20) + _xlfn.XLOOKUP(B185&amp;"|"&amp;E185,
        Calculate_cap_emi!$L$14:$L$21&amp;"|"&amp;Calculate_cap_emi!$I$14:$I$21,
        Calculate_cap_emi!$BK$14:$BK$21, "Not found", 0), LOOKUP(K185,Other!$C$24:$D$24,Other!$C$26:$D$26) + _xlfn.XLOOKUP(J185,Other!$C$18:$N$18,Other!$C$20:$N$20) + _xlfn.XLOOKUP(B185&amp;"|"&amp;E185,
        Calculate_cap_emi!$L$14:$L$21&amp;"|"&amp;Calculate_cap_emi!$I$14:$I$21,
        Calculate_cap_emi!$BK$14:$BK$21, "Not found", 0))</f>
        <v>2769.4356897849993</v>
      </c>
      <c r="U185" s="8" cm="1">
        <f t="array" ref="U185">_xlfn.SWITCH(K185,200,_xlfn.XLOOKUP(J185,EOL_R!$C$18:$N$18,EOL_R!$C$20:$N$20) + _xlfn.XLOOKUP(B185&amp;"|"&amp;E185,
        Calculate_cap_emi_sens!$L$14:$L$21&amp;"|"&amp;Calculate_cap_emi_sens!$I$14:$I$21,
        Calculate_cap_emi_sens!$BD$14:$BD$21, "Not found", 0), LOOKUP(K185,EOL_R!$C$24:$D$24,EOL_R!$C$26:$D$26) + _xlfn.XLOOKUP(J185,EOL_R!$C$18:$N$18,EOL_R!$C$20:$N$20) + _xlfn.XLOOKUP(B185&amp;"|"&amp;E185,
        Calculate_cap_emi_sens!$L$14:$L$21&amp;"|"&amp;Calculate_cap_emi_sens!$I$14:$I$21,
        Calculate_cap_emi_sens!$BD$14:$BD$21, "Not found", 0))</f>
        <v>462.93747307984745</v>
      </c>
      <c r="V185" s="8" cm="1">
        <f t="array" ref="V185">_xlfn.SWITCH(K185,200,_xlfn.XLOOKUP(J185,Other_R!$C$18:$N$18,Other_R!$C$20:$N$20) + _xlfn.XLOOKUP(B185&amp;"|"&amp;E185,
        Calculate_cap_emi_sens!$L$14:$L$21&amp;"|"&amp;Calculate_cap_emi_sens!$I$14:$I$21,
        Calculate_cap_emi_sens!$BK$14:$BK$21, "Not found", 0), LOOKUP(K185,Other_R!$C$24:$D$24,Other_R!$C$26:$D$26) + _xlfn.XLOOKUP(J185,Other_R!$C$18:$N$18,Other_R!$C$20:$N$20) + _xlfn.XLOOKUP(B185&amp;"|"&amp;E185,
        Calculate_cap_emi_sens!$L$14:$L$21&amp;"|"&amp;Calculate_cap_emi_sens!$I$14:$I$21,
        Calculate_cap_emi_sens!$BK$14:$BK$21, "Not found", 0))</f>
        <v>2266.2808460794222</v>
      </c>
      <c r="W185" s="5">
        <f>Results_proc_ener!L185</f>
        <v>113564.58556020919</v>
      </c>
      <c r="X185" s="5">
        <f>Results_proc_ener!M185</f>
        <v>50824.518000459248</v>
      </c>
      <c r="Y185" s="5">
        <f>Results_proc_ener!N185</f>
        <v>0</v>
      </c>
      <c r="Z185" s="5">
        <f>Results_proc_ener!O185</f>
        <v>62740.067559749943</v>
      </c>
      <c r="AA185" s="5">
        <f>Results_proc_ener!P185</f>
        <v>113564.58556020919</v>
      </c>
      <c r="AB185" s="5">
        <f>Results_proc_ener!Q185</f>
        <v>2811.4547917435234</v>
      </c>
      <c r="AC185" s="5">
        <f>Results_proc_ener!R185</f>
        <v>234.37503864270721</v>
      </c>
      <c r="AD185" s="5">
        <f>Results_proc_ener!S185</f>
        <v>6246.5779445999997</v>
      </c>
      <c r="AE185" s="5">
        <f>Results_proc_ener!T185</f>
        <v>89995.685391525607</v>
      </c>
    </row>
    <row r="186" spans="1:31" x14ac:dyDescent="0.25">
      <c r="A186" s="5"/>
      <c r="B186" s="5" t="str">
        <f t="shared" si="10"/>
        <v>Mod-H1</v>
      </c>
      <c r="C186" s="5" t="s">
        <v>38</v>
      </c>
      <c r="D186" s="5" t="str">
        <f t="shared" si="9"/>
        <v>H1</v>
      </c>
      <c r="E186" s="5" t="s">
        <v>11</v>
      </c>
      <c r="F186" s="5" t="s">
        <v>54</v>
      </c>
      <c r="G186" s="5" t="s">
        <v>54</v>
      </c>
      <c r="H186" s="5">
        <v>14</v>
      </c>
      <c r="I186" s="5"/>
      <c r="J186" s="5">
        <f t="shared" si="11"/>
        <v>14</v>
      </c>
      <c r="K186" s="5">
        <v>200</v>
      </c>
      <c r="L186" s="8" cm="1">
        <f t="array" ref="L186">_xlfn.SWITCH(K186,200,_xlfn.XLOOKUP(J186,Manufacture!$C$18:$N$18,Manufacture!$C$20:$N$20) + _xlfn.XLOOKUP(B186&amp;"|"&amp;E186,
        Calculate_cap_emi!$L$14:$L$21&amp;"|"&amp;Calculate_cap_emi!$I$14:$I$21,
        Calculate_cap_emi!$AI$14:$AI$21, "Not found", 0), LOOKUP(K186,Manufacture!$C$24:$D$24,Manufacture!$C$26:$D$26) + _xlfn.XLOOKUP(J186,Manufacture!$C$18:$N$18,Manufacture!$C$20:$N$20) + _xlfn.XLOOKUP(B186&amp;"|"&amp;E186,
        Calculate_cap_emi!$L$14:$L$21&amp;"|"&amp;Calculate_cap_emi!$I$14:$I$21,
        Calculate_cap_emi!$AI$14:$AI$21, "Not found", 0))</f>
        <v>3879.3136980802756</v>
      </c>
      <c r="M186" s="8">
        <f>LOOKUP(J186,Manufacture!$C$18:$N$18,Manufacture!$C$20:$N$20)</f>
        <v>2067.610588235294</v>
      </c>
      <c r="N186" s="8" cm="1">
        <f t="array" ref="N186">_xlfn.SWITCH(K186,200,0,LOOKUP(K186,Manufacture!$C$24:$D$24,Manufacture!$C$26:$D$26))</f>
        <v>0</v>
      </c>
      <c r="O186" s="5" cm="1">
        <f t="array" ref="O186">_xlfn.XLOOKUP(B186&amp;"|"&amp;E186,
        Calculate_cap_emi!$L$14:$L$21&amp;"|"&amp;Calculate_cap_emi!$I$14:$I$21,
        Calculate_cap_emi!$AI$14:$AI$21, "Not found", 0)</f>
        <v>1811.7031098449818</v>
      </c>
      <c r="P186" s="8">
        <f t="shared" si="12"/>
        <v>3879.3136980802756</v>
      </c>
      <c r="Q186" s="8" cm="1">
        <f t="array" ref="Q186">_xlfn.SWITCH(K186,200,_xlfn.XLOOKUP(J186,Distribution!$C$18:$N$18,Distribution!$C$20:$N$20) + _xlfn.XLOOKUP(B186&amp;"|"&amp;E186,
        Calculate_cap_emi!$L$14:$L$21&amp;"|"&amp;Calculate_cap_emi!$I$14:$I$21,
        Calculate_cap_emi!$AP$14:$AP$21, "Not found", 0), LOOKUP(K186,Distribution!$C$24:$D$24,Distribution!$C$26:$D$26) + _xlfn.XLOOKUP(J186,Distribution!$C$18:$N$18,Distribution!$C$20:$N$20) + _xlfn.XLOOKUP(B186&amp;"|"&amp;E186,
        Calculate_cap_emi!$L$14:$L$21&amp;"|"&amp;Calculate_cap_emi!$I$14:$I$21,
        Calculate_cap_emi!$AP$14:$AP$21, "Not found", 0))</f>
        <v>135.83794056438597</v>
      </c>
      <c r="R186" s="8" cm="1">
        <f t="array" ref="R186">_xlfn.SWITCH(K186,200,_xlfn.XLOOKUP(J186,Installation!$C$18:$N$18,Installation!$C$20:$N$20) + _xlfn.XLOOKUP(B186&amp;"|"&amp;E186,
        Calculate_cap_emi!$L$14:$L$21&amp;"|"&amp;Calculate_cap_emi!$I$14:$I$21,
        Calculate_cap_emi!$AW$14:$AW$21, "Not found", 0), LOOKUP(K186,Installation!$C$24:$D$24,Installation!$C$26:$D$26) + _xlfn.XLOOKUP(J186,Installation!$C$18:$N$18,Installation!$C$20:$N$20) + _xlfn.XLOOKUP(B186&amp;"|"&amp;E186,
        Calculate_cap_emi!$L$14:$L$21&amp;"|"&amp;Calculate_cap_emi!$I$14:$I$21,
        Calculate_cap_emi!$AW$14:$AW$21, "Not found", 0))</f>
        <v>125.42098654431422</v>
      </c>
      <c r="S186" s="8" cm="1">
        <f t="array" ref="S186">_xlfn.SWITCH(K186,200,_xlfn.XLOOKUP(J186,EOL!$C$18:$N$18,EOL!$C$20:$N$20) + _xlfn.XLOOKUP(B186&amp;"|"&amp;E186,
        Calculate_cap_emi!$L$14:$L$21&amp;"|"&amp;Calculate_cap_emi!$I$14:$I$21,
        Calculate_cap_emi!$BD$14:$BD$21, "Not found", 0), LOOKUP(K186,EOL!$C$24:$D$24,EOL!$C$26:$D$26) + _xlfn.XLOOKUP(J186,EOL!$C$18:$N$18,EOL!$C$20:$N$20) + _xlfn.XLOOKUP(B186&amp;"|"&amp;E186,
        Calculate_cap_emi!$L$14:$L$21&amp;"|"&amp;Calculate_cap_emi!$I$14:$I$21,
        Calculate_cap_emi!$BD$14:$BD$21, "Not found", 0))</f>
        <v>663.27920538275725</v>
      </c>
      <c r="T186" s="8" cm="1">
        <f t="array" ref="T186">_xlfn.SWITCH(K186,200,_xlfn.XLOOKUP(J186,Other!$C$18:$N$18,Other!$C$20:$N$20) + _xlfn.XLOOKUP(B186&amp;"|"&amp;E186,
        Calculate_cap_emi!$L$14:$L$21&amp;"|"&amp;Calculate_cap_emi!$I$14:$I$21,
        Calculate_cap_emi!$BK$14:$BK$21, "Not found", 0), LOOKUP(K186,Other!$C$24:$D$24,Other!$C$26:$D$26) + _xlfn.XLOOKUP(J186,Other!$C$18:$N$18,Other!$C$20:$N$20) + _xlfn.XLOOKUP(B186&amp;"|"&amp;E186,
        Calculate_cap_emi!$L$14:$L$21&amp;"|"&amp;Calculate_cap_emi!$I$14:$I$21,
        Calculate_cap_emi!$BK$14:$BK$21, "Not found", 0))</f>
        <v>2813.2151897106132</v>
      </c>
      <c r="U186" s="8" cm="1">
        <f t="array" ref="U186">_xlfn.SWITCH(K186,200,_xlfn.XLOOKUP(J186,EOL_R!$C$18:$N$18,EOL_R!$C$20:$N$20) + _xlfn.XLOOKUP(B186&amp;"|"&amp;E186,
        Calculate_cap_emi_sens!$L$14:$L$21&amp;"|"&amp;Calculate_cap_emi_sens!$I$14:$I$21,
        Calculate_cap_emi_sens!$BD$14:$BD$21, "Not found", 0), LOOKUP(K186,EOL_R!$C$24:$D$24,EOL_R!$C$26:$D$26) + _xlfn.XLOOKUP(J186,EOL_R!$C$18:$N$18,EOL_R!$C$20:$N$20) + _xlfn.XLOOKUP(B186&amp;"|"&amp;E186,
        Calculate_cap_emi_sens!$L$14:$L$21&amp;"|"&amp;Calculate_cap_emi_sens!$I$14:$I$21,
        Calculate_cap_emi_sens!$BD$14:$BD$21, "Not found", 0))</f>
        <v>481.73307037814016</v>
      </c>
      <c r="V186" s="8" cm="1">
        <f t="array" ref="V186">_xlfn.SWITCH(K186,200,_xlfn.XLOOKUP(J186,Other_R!$C$18:$N$18,Other_R!$C$20:$N$20) + _xlfn.XLOOKUP(B186&amp;"|"&amp;E186,
        Calculate_cap_emi_sens!$L$14:$L$21&amp;"|"&amp;Calculate_cap_emi_sens!$I$14:$I$21,
        Calculate_cap_emi_sens!$BK$14:$BK$21, "Not found", 0), LOOKUP(K186,Other_R!$C$24:$D$24,Other_R!$C$26:$D$26) + _xlfn.XLOOKUP(J186,Other_R!$C$18:$N$18,Other_R!$C$20:$N$20) + _xlfn.XLOOKUP(B186&amp;"|"&amp;E186,
        Calculate_cap_emi_sens!$L$14:$L$21&amp;"|"&amp;Calculate_cap_emi_sens!$I$14:$I$21,
        Calculate_cap_emi_sens!$BK$14:$BK$21, "Not found", 0))</f>
        <v>2283.1145142849396</v>
      </c>
      <c r="W186" s="5">
        <f>Results_proc_ener!L186</f>
        <v>114274.26276080486</v>
      </c>
      <c r="X186" s="5">
        <f>Results_proc_ener!M186</f>
        <v>51534.195201054921</v>
      </c>
      <c r="Y186" s="5">
        <f>Results_proc_ener!N186</f>
        <v>0</v>
      </c>
      <c r="Z186" s="5">
        <f>Results_proc_ener!O186</f>
        <v>62740.067559749943</v>
      </c>
      <c r="AA186" s="5">
        <f>Results_proc_ener!P186</f>
        <v>114274.26276080486</v>
      </c>
      <c r="AB186" s="5">
        <f>Results_proc_ener!Q186</f>
        <v>2876.8633780138234</v>
      </c>
      <c r="AC186" s="5">
        <f>Results_proc_ener!R186</f>
        <v>239.29319516275172</v>
      </c>
      <c r="AD186" s="5">
        <f>Results_proc_ener!S186</f>
        <v>6246.5779445999997</v>
      </c>
      <c r="AE186" s="5">
        <f>Results_proc_ener!T186</f>
        <v>90039.464891451222</v>
      </c>
    </row>
    <row r="187" spans="1:31" x14ac:dyDescent="0.25">
      <c r="A187" s="5"/>
      <c r="B187" s="5" t="str">
        <f>CONCATENATE(C187, "-", "H1")</f>
        <v>Mod-H1</v>
      </c>
      <c r="C187" s="5" t="s">
        <v>38</v>
      </c>
      <c r="D187" s="5" t="str">
        <f>_xlfn.TEXTAFTER(B187, "-", 1)</f>
        <v>H1</v>
      </c>
      <c r="E187" s="5" t="s">
        <v>11</v>
      </c>
      <c r="F187" s="5" t="s">
        <v>55</v>
      </c>
      <c r="G187" s="5" t="s">
        <v>55</v>
      </c>
      <c r="H187" s="5">
        <v>5</v>
      </c>
      <c r="I187" s="5"/>
      <c r="J187" s="5">
        <f t="shared" si="11"/>
        <v>5</v>
      </c>
      <c r="K187" s="5">
        <v>500</v>
      </c>
      <c r="L187" s="8" cm="1">
        <f t="array" ref="L187">_xlfn.SWITCH(K187,200,_xlfn.XLOOKUP(J187,Manufacture!$C$18:$N$18,Manufacture!$C$20:$N$20) + _xlfn.XLOOKUP(B187&amp;"|"&amp;E187,
        Calculate_cap_emi!$L$14:$L$21&amp;"|"&amp;Calculate_cap_emi!$I$14:$I$21,
        Calculate_cap_emi!$AI$14:$AI$21, "Not found", 0), LOOKUP(K187,Manufacture!$C$24:$D$24,Manufacture!$C$26:$D$26) + _xlfn.XLOOKUP(J187,Manufacture!$C$18:$N$18,Manufacture!$C$20:$N$20) + _xlfn.XLOOKUP(B187&amp;"|"&amp;E187,
        Calculate_cap_emi!$L$14:$L$21&amp;"|"&amp;Calculate_cap_emi!$I$14:$I$21,
        Calculate_cap_emi!$AI$14:$AI$21, "Not found", 0))</f>
        <v>3858.9931098449815</v>
      </c>
      <c r="M187" s="8">
        <f>LOOKUP(J187,Manufacture!$C$18:$N$18,Manufacture!$C$20:$N$20)</f>
        <v>1711.29</v>
      </c>
      <c r="N187" s="8" cm="1">
        <f t="array" ref="N187">_xlfn.SWITCH(K187,200,0,LOOKUP(K187,Manufacture!$C$24:$D$24,Manufacture!$C$26:$D$26))</f>
        <v>336</v>
      </c>
      <c r="O187" s="5" cm="1">
        <f t="array" ref="O187">_xlfn.XLOOKUP(B187&amp;"|"&amp;E187,
        Calculate_cap_emi!$L$14:$L$21&amp;"|"&amp;Calculate_cap_emi!$I$14:$I$21,
        Calculate_cap_emi!$AI$14:$AI$21, "Not found", 0)</f>
        <v>1811.7031098449818</v>
      </c>
      <c r="P187" s="8">
        <f t="shared" si="12"/>
        <v>3858.9931098449815</v>
      </c>
      <c r="Q187" s="8" cm="1">
        <f t="array" ref="Q187">_xlfn.SWITCH(K187,200,_xlfn.XLOOKUP(J187,Distribution!$C$18:$N$18,Distribution!$C$20:$N$20) + _xlfn.XLOOKUP(B187&amp;"|"&amp;E187,
        Calculate_cap_emi!$L$14:$L$21&amp;"|"&amp;Calculate_cap_emi!$I$14:$I$21,
        Calculate_cap_emi!$AP$14:$AP$21, "Not found", 0), LOOKUP(K187,Distribution!$C$24:$D$24,Distribution!$C$26:$D$26) + _xlfn.XLOOKUP(J187,Distribution!$C$18:$N$18,Distribution!$C$20:$N$20) + _xlfn.XLOOKUP(B187&amp;"|"&amp;E187,
        Calculate_cap_emi!$L$14:$L$21&amp;"|"&amp;Calculate_cap_emi!$I$14:$I$21,
        Calculate_cap_emi!$AP$14:$AP$21, "Not found", 0))</f>
        <v>129.49300351808651</v>
      </c>
      <c r="R187" s="8" cm="1">
        <f t="array" ref="R187">_xlfn.SWITCH(K187,200,_xlfn.XLOOKUP(J187,Installation!$C$18:$N$18,Installation!$C$20:$N$20) + _xlfn.XLOOKUP(B187&amp;"|"&amp;E187,
        Calculate_cap_emi!$L$14:$L$21&amp;"|"&amp;Calculate_cap_emi!$I$14:$I$21,
        Calculate_cap_emi!$AW$14:$AW$21, "Not found", 0), LOOKUP(K187,Installation!$C$24:$D$24,Installation!$C$26:$D$26) + _xlfn.XLOOKUP(J187,Installation!$C$18:$N$18,Installation!$C$20:$N$20) + _xlfn.XLOOKUP(B187&amp;"|"&amp;E187,
        Calculate_cap_emi!$L$14:$L$21&amp;"|"&amp;Calculate_cap_emi!$I$14:$I$21,
        Calculate_cap_emi!$AW$14:$AW$21, "Not found", 0))</f>
        <v>114.74382765865971</v>
      </c>
      <c r="S187" s="8" cm="1">
        <f t="array" ref="S187">_xlfn.SWITCH(K187,200,_xlfn.XLOOKUP(J187,EOL!$C$18:$N$18,EOL!$C$20:$N$20) + _xlfn.XLOOKUP(B187&amp;"|"&amp;E187,
        Calculate_cap_emi!$L$14:$L$21&amp;"|"&amp;Calculate_cap_emi!$I$14:$I$21,
        Calculate_cap_emi!$BD$14:$BD$21, "Not found", 0), LOOKUP(K187,EOL!$C$24:$D$24,EOL!$C$26:$D$26) + _xlfn.XLOOKUP(J187,EOL!$C$18:$N$18,EOL!$C$20:$N$20) + _xlfn.XLOOKUP(B187&amp;"|"&amp;E187,
        Calculate_cap_emi!$L$14:$L$21&amp;"|"&amp;Calculate_cap_emi!$I$14:$I$21,
        Calculate_cap_emi!$BD$14:$BD$21, "Not found", 0))</f>
        <v>660.03981500842576</v>
      </c>
      <c r="T187" s="8" cm="1">
        <f t="array" ref="T187">_xlfn.SWITCH(K187,200,_xlfn.XLOOKUP(J187,Other!$C$18:$N$18,Other!$C$20:$N$20) + _xlfn.XLOOKUP(B187&amp;"|"&amp;E187,
        Calculate_cap_emi!$L$14:$L$21&amp;"|"&amp;Calculate_cap_emi!$I$14:$I$21,
        Calculate_cap_emi!$BK$14:$BK$21, "Not found", 0), LOOKUP(K187,Other!$C$24:$D$24,Other!$C$26:$D$26) + _xlfn.XLOOKUP(J187,Other!$C$18:$N$18,Other!$C$20:$N$20) + _xlfn.XLOOKUP(B187&amp;"|"&amp;E187,
        Calculate_cap_emi!$L$14:$L$21&amp;"|"&amp;Calculate_cap_emi!$I$14:$I$21,
        Calculate_cap_emi!$BK$14:$BK$21, "Not found", 0))</f>
        <v>2616.2074400453512</v>
      </c>
      <c r="U187" s="8" cm="1">
        <f t="array" ref="U187">_xlfn.SWITCH(K187,200,_xlfn.XLOOKUP(J187,EOL_R!$C$18:$N$18,EOL_R!$C$20:$N$20) + _xlfn.XLOOKUP(B187&amp;"|"&amp;E187,
        Calculate_cap_emi_sens!$L$14:$L$21&amp;"|"&amp;Calculate_cap_emi_sens!$I$14:$I$21,
        Calculate_cap_emi_sens!$BD$14:$BD$21, "Not found", 0), LOOKUP(K187,EOL_R!$C$24:$D$24,EOL_R!$C$26:$D$26) + _xlfn.XLOOKUP(J187,EOL_R!$C$18:$N$18,EOL_R!$C$20:$N$20) + _xlfn.XLOOKUP(B187&amp;"|"&amp;E187,
        Calculate_cap_emi_sens!$L$14:$L$21&amp;"|"&amp;Calculate_cap_emi_sens!$I$14:$I$21,
        Calculate_cap_emi_sens!$BD$14:$BD$21, "Not found", 0))</f>
        <v>551.86499985315209</v>
      </c>
      <c r="V187" s="8" cm="1">
        <f t="array" ref="V187">_xlfn.SWITCH(K187,200,_xlfn.XLOOKUP(J187,Other_R!$C$18:$N$18,Other_R!$C$20:$N$20) + _xlfn.XLOOKUP(B187&amp;"|"&amp;E187,
        Calculate_cap_emi_sens!$L$14:$L$21&amp;"|"&amp;Calculate_cap_emi_sens!$I$14:$I$21,
        Calculate_cap_emi_sens!$BK$14:$BK$21, "Not found", 0), LOOKUP(K187,Other_R!$C$24:$D$24,Other_R!$C$26:$D$26) + _xlfn.XLOOKUP(J187,Other_R!$C$18:$N$18,Other_R!$C$20:$N$20) + _xlfn.XLOOKUP(B187&amp;"|"&amp;E187,
        Calculate_cap_emi_sens!$L$14:$L$21&amp;"|"&amp;Calculate_cap_emi_sens!$I$14:$I$21,
        Calculate_cap_emi_sens!$BK$14:$BK$21, "Not found", 0))</f>
        <v>2266.0861950198364</v>
      </c>
      <c r="W187" s="5">
        <f>Results_proc_ener!L187</f>
        <v>121694.30626721514</v>
      </c>
      <c r="X187" s="5">
        <f>Results_proc_ener!M187</f>
        <v>48340.647798374281</v>
      </c>
      <c r="Y187" s="5">
        <f>Results_proc_ener!N187</f>
        <v>10613.59090909091</v>
      </c>
      <c r="Z187" s="5">
        <f>Results_proc_ener!O187</f>
        <v>62740.067559749943</v>
      </c>
      <c r="AA187" s="5">
        <f>Results_proc_ener!P187</f>
        <v>121694.30626721514</v>
      </c>
      <c r="AB187" s="5">
        <f>Results_proc_ener!Q187</f>
        <v>2769.378714622474</v>
      </c>
      <c r="AC187" s="5">
        <f>Results_proc_ener!R187</f>
        <v>238.16149082255177</v>
      </c>
      <c r="AD187" s="5">
        <f>Results_proc_ener!S187</f>
        <v>16745.623399145454</v>
      </c>
      <c r="AE187" s="5">
        <f>Results_proc_ener!T187</f>
        <v>89842.457141785955</v>
      </c>
    </row>
    <row r="188" spans="1:31" x14ac:dyDescent="0.25">
      <c r="A188" s="5"/>
      <c r="B188" s="5" t="str">
        <f t="shared" ref="B188:B195" si="13">CONCATENATE(C188, "-", "H1")</f>
        <v>Mod-H1</v>
      </c>
      <c r="C188" s="5" t="s">
        <v>38</v>
      </c>
      <c r="D188" s="5" t="str">
        <f t="shared" si="9"/>
        <v>H1</v>
      </c>
      <c r="E188" s="5" t="s">
        <v>11</v>
      </c>
      <c r="F188" s="5" t="s">
        <v>55</v>
      </c>
      <c r="G188" s="5" t="s">
        <v>55</v>
      </c>
      <c r="H188" s="5">
        <v>6</v>
      </c>
      <c r="I188" s="5"/>
      <c r="J188" s="5">
        <f t="shared" si="11"/>
        <v>6</v>
      </c>
      <c r="K188" s="5">
        <v>500</v>
      </c>
      <c r="L188" s="8" cm="1">
        <f t="array" ref="L188">_xlfn.SWITCH(K188,200,_xlfn.XLOOKUP(J188,Manufacture!$C$18:$N$18,Manufacture!$C$20:$N$20) + _xlfn.XLOOKUP(B188&amp;"|"&amp;E188,
        Calculate_cap_emi!$L$14:$L$21&amp;"|"&amp;Calculate_cap_emi!$I$14:$I$21,
        Calculate_cap_emi!$AI$14:$AI$21, "Not found", 0), LOOKUP(K188,Manufacture!$C$24:$D$24,Manufacture!$C$26:$D$26) + _xlfn.XLOOKUP(J188,Manufacture!$C$18:$N$18,Manufacture!$C$20:$N$20) + _xlfn.XLOOKUP(B188&amp;"|"&amp;E188,
        Calculate_cap_emi!$L$14:$L$21&amp;"|"&amp;Calculate_cap_emi!$I$14:$I$21,
        Calculate_cap_emi!$AI$14:$AI$21, "Not found", 0))</f>
        <v>3898.5842863155694</v>
      </c>
      <c r="M188" s="8">
        <f>LOOKUP(J188,Manufacture!$C$18:$N$18,Manufacture!$C$20:$N$20)</f>
        <v>1750.8811764705879</v>
      </c>
      <c r="N188" s="8" cm="1">
        <f t="array" ref="N188">_xlfn.SWITCH(K188,200,0,LOOKUP(K188,Manufacture!$C$24:$D$24,Manufacture!$C$26:$D$26))</f>
        <v>336</v>
      </c>
      <c r="O188" s="5" cm="1">
        <f t="array" ref="O188">_xlfn.XLOOKUP(B188&amp;"|"&amp;E188,
        Calculate_cap_emi!$L$14:$L$21&amp;"|"&amp;Calculate_cap_emi!$I$14:$I$21,
        Calculate_cap_emi!$AI$14:$AI$21, "Not found", 0)</f>
        <v>1811.7031098449818</v>
      </c>
      <c r="P188" s="8">
        <f t="shared" si="12"/>
        <v>3898.5842863155694</v>
      </c>
      <c r="Q188" s="8" cm="1">
        <f t="array" ref="Q188">_xlfn.SWITCH(K188,200,_xlfn.XLOOKUP(J188,Distribution!$C$18:$N$18,Distribution!$C$20:$N$20) + _xlfn.XLOOKUP(B188&amp;"|"&amp;E188,
        Calculate_cap_emi!$L$14:$L$21&amp;"|"&amp;Calculate_cap_emi!$I$14:$I$21,
        Calculate_cap_emi!$AP$14:$AP$21, "Not found", 0), LOOKUP(K188,Distribution!$C$24:$D$24,Distribution!$C$26:$D$26) + _xlfn.XLOOKUP(J188,Distribution!$C$18:$N$18,Distribution!$C$20:$N$20) + _xlfn.XLOOKUP(B188&amp;"|"&amp;E188,
        Calculate_cap_emi!$L$14:$L$21&amp;"|"&amp;Calculate_cap_emi!$I$14:$I$21,
        Calculate_cap_emi!$AP$14:$AP$21, "Not found", 0))</f>
        <v>131.0372144323218</v>
      </c>
      <c r="R188" s="8" cm="1">
        <f t="array" ref="R188">_xlfn.SWITCH(K188,200,_xlfn.XLOOKUP(J188,Installation!$C$18:$N$18,Installation!$C$20:$N$20) + _xlfn.XLOOKUP(B188&amp;"|"&amp;E188,
        Calculate_cap_emi!$L$14:$L$21&amp;"|"&amp;Calculate_cap_emi!$I$14:$I$21,
        Calculate_cap_emi!$AW$14:$AW$21, "Not found", 0), LOOKUP(K188,Installation!$C$24:$D$24,Installation!$C$26:$D$26) + _xlfn.XLOOKUP(J188,Installation!$C$18:$N$18,Installation!$C$20:$N$20) + _xlfn.XLOOKUP(B188&amp;"|"&amp;E188,
        Calculate_cap_emi!$L$14:$L$21&amp;"|"&amp;Calculate_cap_emi!$I$14:$I$21,
        Calculate_cap_emi!$AW$14:$AW$21, "Not found", 0))</f>
        <v>117.20290591868198</v>
      </c>
      <c r="S188" s="8" cm="1">
        <f t="array" ref="S188">_xlfn.SWITCH(K188,200,_xlfn.XLOOKUP(J188,EOL!$C$18:$N$18,EOL!$C$20:$N$20) + _xlfn.XLOOKUP(B188&amp;"|"&amp;E188,
        Calculate_cap_emi!$L$14:$L$21&amp;"|"&amp;Calculate_cap_emi!$I$14:$I$21,
        Calculate_cap_emi!$BD$14:$BD$21, "Not found", 0), LOOKUP(K188,EOL!$C$24:$D$24,EOL!$C$26:$D$26) + _xlfn.XLOOKUP(J188,EOL!$C$18:$N$18,EOL!$C$20:$N$20) + _xlfn.XLOOKUP(B188&amp;"|"&amp;E188,
        Calculate_cap_emi!$L$14:$L$21&amp;"|"&amp;Calculate_cap_emi!$I$14:$I$21,
        Calculate_cap_emi!$BD$14:$BD$21, "Not found", 0))</f>
        <v>674.93005030254335</v>
      </c>
      <c r="T188" s="8" cm="1">
        <f t="array" ref="T188">_xlfn.SWITCH(K188,200,_xlfn.XLOOKUP(J188,Other!$C$18:$N$18,Other!$C$20:$N$20) + _xlfn.XLOOKUP(B188&amp;"|"&amp;E188,
        Calculate_cap_emi!$L$14:$L$21&amp;"|"&amp;Calculate_cap_emi!$I$14:$I$21,
        Calculate_cap_emi!$BK$14:$BK$21, "Not found", 0), LOOKUP(K188,Other!$C$24:$D$24,Other!$C$26:$D$26) + _xlfn.XLOOKUP(J188,Other!$C$18:$N$18,Other!$C$20:$N$20) + _xlfn.XLOOKUP(B188&amp;"|"&amp;E188,
        Calculate_cap_emi!$L$14:$L$21&amp;"|"&amp;Calculate_cap_emi!$I$14:$I$21,
        Calculate_cap_emi!$BK$14:$BK$21, "Not found", 0))</f>
        <v>2638.0971900081577</v>
      </c>
      <c r="U188" s="8" cm="1">
        <f t="array" ref="U188">_xlfn.SWITCH(K188,200,_xlfn.XLOOKUP(J188,EOL_R!$C$18:$N$18,EOL_R!$C$20:$N$20) + _xlfn.XLOOKUP(B188&amp;"|"&amp;E188,
        Calculate_cap_emi_sens!$L$14:$L$21&amp;"|"&amp;Calculate_cap_emi_sens!$I$14:$I$21,
        Calculate_cap_emi_sens!$BD$14:$BD$21, "Not found", 0), LOOKUP(K188,EOL_R!$C$24:$D$24,EOL_R!$C$26:$D$26) + _xlfn.XLOOKUP(J188,EOL_R!$C$18:$N$18,EOL_R!$C$20:$N$20) + _xlfn.XLOOKUP(B188&amp;"|"&amp;E188,
        Calculate_cap_emi_sens!$L$14:$L$21&amp;"|"&amp;Calculate_cap_emi_sens!$I$14:$I$21,
        Calculate_cap_emi_sens!$BD$14:$BD$21, "Not found", 0))</f>
        <v>553.76288764902347</v>
      </c>
      <c r="V188" s="8" cm="1">
        <f t="array" ref="V188">_xlfn.SWITCH(K188,200,_xlfn.XLOOKUP(J188,Other_R!$C$18:$N$18,Other_R!$C$20:$N$20) + _xlfn.XLOOKUP(B188&amp;"|"&amp;E188,
        Calculate_cap_emi_sens!$L$14:$L$21&amp;"|"&amp;Calculate_cap_emi_sens!$I$14:$I$21,
        Calculate_cap_emi_sens!$BK$14:$BK$21, "Not found", 0), LOOKUP(K188,Other_R!$C$24:$D$24,Other_R!$C$26:$D$26) + _xlfn.XLOOKUP(J188,Other_R!$C$18:$N$18,Other_R!$C$20:$N$20) + _xlfn.XLOOKUP(B188&amp;"|"&amp;E188,
        Calculate_cap_emi_sens!$L$14:$L$21&amp;"|"&amp;Calculate_cap_emi_sens!$I$14:$I$21,
        Calculate_cap_emi_sens!$BK$14:$BK$21, "Not found", 0))</f>
        <v>2256.1057904441022</v>
      </c>
      <c r="W188" s="5">
        <f>Results_proc_ener!L188</f>
        <v>122049.14486751298</v>
      </c>
      <c r="X188" s="5">
        <f>Results_proc_ener!M188</f>
        <v>48695.486398672118</v>
      </c>
      <c r="Y188" s="5">
        <f>Results_proc_ener!N188</f>
        <v>10613.59090909091</v>
      </c>
      <c r="Z188" s="5">
        <f>Results_proc_ener!O188</f>
        <v>62740.067559749943</v>
      </c>
      <c r="AA188" s="5">
        <f>Results_proc_ener!P188</f>
        <v>122049.14486751298</v>
      </c>
      <c r="AB188" s="5">
        <f>Results_proc_ener!Q188</f>
        <v>2802.0830077576238</v>
      </c>
      <c r="AC188" s="5">
        <f>Results_proc_ener!R188</f>
        <v>240.62056908257404</v>
      </c>
      <c r="AD188" s="5">
        <f>Results_proc_ener!S188</f>
        <v>16745.623399145454</v>
      </c>
      <c r="AE188" s="5">
        <f>Results_proc_ener!T188</f>
        <v>89864.346891748763</v>
      </c>
    </row>
    <row r="189" spans="1:31" x14ac:dyDescent="0.25">
      <c r="A189" s="5"/>
      <c r="B189" s="5" t="str">
        <f t="shared" si="13"/>
        <v>Mod-H1</v>
      </c>
      <c r="C189" s="5" t="s">
        <v>38</v>
      </c>
      <c r="D189" s="5" t="str">
        <f t="shared" si="9"/>
        <v>H1</v>
      </c>
      <c r="E189" s="5" t="s">
        <v>11</v>
      </c>
      <c r="F189" s="5" t="s">
        <v>55</v>
      </c>
      <c r="G189" s="5" t="s">
        <v>55</v>
      </c>
      <c r="H189" s="5">
        <v>8.5</v>
      </c>
      <c r="I189" s="5"/>
      <c r="J189" s="5">
        <f t="shared" si="11"/>
        <v>9</v>
      </c>
      <c r="K189" s="5">
        <v>500</v>
      </c>
      <c r="L189" s="8" cm="1">
        <f t="array" ref="L189">_xlfn.SWITCH(K189,200,_xlfn.XLOOKUP(J189,Manufacture!$C$18:$N$18,Manufacture!$C$20:$N$20) + _xlfn.XLOOKUP(B189&amp;"|"&amp;E189,
        Calculate_cap_emi!$L$14:$L$21&amp;"|"&amp;Calculate_cap_emi!$I$14:$I$21,
        Calculate_cap_emi!$AI$14:$AI$21, "Not found", 0), LOOKUP(K189,Manufacture!$C$24:$D$24,Manufacture!$C$26:$D$26) + _xlfn.XLOOKUP(J189,Manufacture!$C$18:$N$18,Manufacture!$C$20:$N$20) + _xlfn.XLOOKUP(B189&amp;"|"&amp;E189,
        Calculate_cap_emi!$L$14:$L$21&amp;"|"&amp;Calculate_cap_emi!$I$14:$I$21,
        Calculate_cap_emi!$AI$14:$AI$21, "Not found", 0))</f>
        <v>4017.357815727335</v>
      </c>
      <c r="M189" s="8">
        <f>LOOKUP(J189,Manufacture!$C$18:$N$18,Manufacture!$C$20:$N$20)</f>
        <v>1869.654705882353</v>
      </c>
      <c r="N189" s="8" cm="1">
        <f t="array" ref="N189">_xlfn.SWITCH(K189,200,0,LOOKUP(K189,Manufacture!$C$24:$D$24,Manufacture!$C$26:$D$26))</f>
        <v>336</v>
      </c>
      <c r="O189" s="5" cm="1">
        <f t="array" ref="O189">_xlfn.XLOOKUP(B189&amp;"|"&amp;E189,
        Calculate_cap_emi!$L$14:$L$21&amp;"|"&amp;Calculate_cap_emi!$I$14:$I$21,
        Calculate_cap_emi!$AI$14:$AI$21, "Not found", 0)</f>
        <v>1811.7031098449818</v>
      </c>
      <c r="P189" s="8">
        <f t="shared" si="12"/>
        <v>4017.357815727335</v>
      </c>
      <c r="Q189" s="8" cm="1">
        <f t="array" ref="Q189">_xlfn.SWITCH(K189,200,_xlfn.XLOOKUP(J189,Distribution!$C$18:$N$18,Distribution!$C$20:$N$20) + _xlfn.XLOOKUP(B189&amp;"|"&amp;E189,
        Calculate_cap_emi!$L$14:$L$21&amp;"|"&amp;Calculate_cap_emi!$I$14:$I$21,
        Calculate_cap_emi!$AP$14:$AP$21, "Not found", 0), LOOKUP(K189,Distribution!$C$24:$D$24,Distribution!$C$26:$D$26) + _xlfn.XLOOKUP(J189,Distribution!$C$18:$N$18,Distribution!$C$20:$N$20) + _xlfn.XLOOKUP(B189&amp;"|"&amp;E189,
        Calculate_cap_emi!$L$14:$L$21&amp;"|"&amp;Calculate_cap_emi!$I$14:$I$21,
        Calculate_cap_emi!$AP$14:$AP$21, "Not found", 0))</f>
        <v>135.66984717502771</v>
      </c>
      <c r="R189" s="8" cm="1">
        <f t="array" ref="R189">_xlfn.SWITCH(K189,200,_xlfn.XLOOKUP(J189,Installation!$C$18:$N$18,Installation!$C$20:$N$20) + _xlfn.XLOOKUP(B189&amp;"|"&amp;E189,
        Calculate_cap_emi!$L$14:$L$21&amp;"|"&amp;Calculate_cap_emi!$I$14:$I$21,
        Calculate_cap_emi!$AW$14:$AW$21, "Not found", 0), LOOKUP(K189,Installation!$C$24:$D$24,Installation!$C$26:$D$26) + _xlfn.XLOOKUP(J189,Installation!$C$18:$N$18,Installation!$C$20:$N$20) + _xlfn.XLOOKUP(B189&amp;"|"&amp;E189,
        Calculate_cap_emi!$L$14:$L$21&amp;"|"&amp;Calculate_cap_emi!$I$14:$I$21,
        Calculate_cap_emi!$AW$14:$AW$21, "Not found", 0))</f>
        <v>124.58014069874849</v>
      </c>
      <c r="S189" s="8" cm="1">
        <f t="array" ref="S189">_xlfn.SWITCH(K189,200,_xlfn.XLOOKUP(J189,EOL!$C$18:$N$18,EOL!$C$20:$N$20) + _xlfn.XLOOKUP(B189&amp;"|"&amp;E189,
        Calculate_cap_emi!$L$14:$L$21&amp;"|"&amp;Calculate_cap_emi!$I$14:$I$21,
        Calculate_cap_emi!$BD$14:$BD$21, "Not found", 0), LOOKUP(K189,EOL!$C$24:$D$24,EOL!$C$26:$D$26) + _xlfn.XLOOKUP(J189,EOL!$C$18:$N$18,EOL!$C$20:$N$20) + _xlfn.XLOOKUP(B189&amp;"|"&amp;E189,
        Calculate_cap_emi!$L$14:$L$21&amp;"|"&amp;Calculate_cap_emi!$I$14:$I$21,
        Calculate_cap_emi!$BD$14:$BD$21, "Not found", 0))</f>
        <v>719.60075618489645</v>
      </c>
      <c r="T189" s="8" cm="1">
        <f t="array" ref="T189">_xlfn.SWITCH(K189,200,_xlfn.XLOOKUP(J189,Other!$C$18:$N$18,Other!$C$20:$N$20) + _xlfn.XLOOKUP(B189&amp;"|"&amp;E189,
        Calculate_cap_emi!$L$14:$L$21&amp;"|"&amp;Calculate_cap_emi!$I$14:$I$21,
        Calculate_cap_emi!$BK$14:$BK$21, "Not found", 0), LOOKUP(K189,Other!$C$24:$D$24,Other!$C$26:$D$26) + _xlfn.XLOOKUP(J189,Other!$C$18:$N$18,Other!$C$20:$N$20) + _xlfn.XLOOKUP(B189&amp;"|"&amp;E189,
        Calculate_cap_emi!$L$14:$L$21&amp;"|"&amp;Calculate_cap_emi!$I$14:$I$21,
        Calculate_cap_emi!$BK$14:$BK$21, "Not found", 0))</f>
        <v>2703.766439896578</v>
      </c>
      <c r="U189" s="8" cm="1">
        <f t="array" ref="U189">_xlfn.SWITCH(K189,200,_xlfn.XLOOKUP(J189,EOL_R!$C$18:$N$18,EOL_R!$C$20:$N$20) + _xlfn.XLOOKUP(B189&amp;"|"&amp;E189,
        Calculate_cap_emi_sens!$L$14:$L$21&amp;"|"&amp;Calculate_cap_emi_sens!$I$14:$I$21,
        Calculate_cap_emi_sens!$BD$14:$BD$21, "Not found", 0), LOOKUP(K189,EOL_R!$C$24:$D$24,EOL_R!$C$26:$D$26) + _xlfn.XLOOKUP(J189,EOL_R!$C$18:$N$18,EOL_R!$C$20:$N$20) + _xlfn.XLOOKUP(B189&amp;"|"&amp;E189,
        Calculate_cap_emi_sens!$L$14:$L$21&amp;"|"&amp;Calculate_cap_emi_sens!$I$14:$I$21,
        Calculate_cap_emi_sens!$BD$14:$BD$21, "Not found", 0))</f>
        <v>569.5398978236949</v>
      </c>
      <c r="V189" s="8" cm="1">
        <f t="array" ref="V189">_xlfn.SWITCH(K189,200,_xlfn.XLOOKUP(J189,Other_R!$C$18:$N$18,Other_R!$C$20:$N$20) + _xlfn.XLOOKUP(B189&amp;"|"&amp;E189,
        Calculate_cap_emi_sens!$L$14:$L$21&amp;"|"&amp;Calculate_cap_emi_sens!$I$14:$I$21,
        Calculate_cap_emi_sens!$BK$14:$BK$21, "Not found", 0), LOOKUP(K189,Other_R!$C$24:$D$24,Other_R!$C$26:$D$26) + _xlfn.XLOOKUP(J189,Other_R!$C$18:$N$18,Other_R!$C$20:$N$20) + _xlfn.XLOOKUP(B189&amp;"|"&amp;E189,
        Calculate_cap_emi_sens!$L$14:$L$21&amp;"|"&amp;Calculate_cap_emi_sens!$I$14:$I$21,
        Calculate_cap_emi_sens!$BK$14:$BK$21, "Not found", 0))</f>
        <v>2250.89896905151</v>
      </c>
      <c r="W189" s="5">
        <f>Results_proc_ener!L189</f>
        <v>123113.66066840648</v>
      </c>
      <c r="X189" s="5">
        <f>Results_proc_ener!M189</f>
        <v>49760.002199565621</v>
      </c>
      <c r="Y189" s="5">
        <f>Results_proc_ener!N189</f>
        <v>10613.59090909091</v>
      </c>
      <c r="Z189" s="5">
        <f>Results_proc_ener!O189</f>
        <v>62740.067559749943</v>
      </c>
      <c r="AA189" s="5">
        <f>Results_proc_ener!P189</f>
        <v>123113.66066840648</v>
      </c>
      <c r="AB189" s="5">
        <f>Results_proc_ener!Q189</f>
        <v>2900.1958871630736</v>
      </c>
      <c r="AC189" s="5">
        <f>Results_proc_ener!R189</f>
        <v>247.99780386264052</v>
      </c>
      <c r="AD189" s="5">
        <f>Results_proc_ener!S189</f>
        <v>16745.623399145454</v>
      </c>
      <c r="AE189" s="5">
        <f>Results_proc_ener!T189</f>
        <v>89930.016141637185</v>
      </c>
    </row>
    <row r="190" spans="1:31" x14ac:dyDescent="0.25">
      <c r="A190" s="5"/>
      <c r="B190" s="5" t="str">
        <f t="shared" si="13"/>
        <v>Mod-H1</v>
      </c>
      <c r="C190" s="5" t="s">
        <v>38</v>
      </c>
      <c r="D190" s="5" t="str">
        <f>_xlfn.TEXTAFTER(B190, "-", 1)</f>
        <v>H1</v>
      </c>
      <c r="E190" s="5" t="s">
        <v>11</v>
      </c>
      <c r="F190" s="5" t="s">
        <v>55</v>
      </c>
      <c r="G190" s="5" t="s">
        <v>55</v>
      </c>
      <c r="H190" s="5">
        <v>14</v>
      </c>
      <c r="I190" s="5"/>
      <c r="J190" s="5">
        <f t="shared" si="11"/>
        <v>14</v>
      </c>
      <c r="K190" s="5">
        <v>500</v>
      </c>
      <c r="L190" s="8" cm="1">
        <f t="array" ref="L190">_xlfn.SWITCH(K190,200,_xlfn.XLOOKUP(J190,Manufacture!$C$18:$N$18,Manufacture!$C$20:$N$20) + _xlfn.XLOOKUP(B190&amp;"|"&amp;E190,
        Calculate_cap_emi!$L$14:$L$21&amp;"|"&amp;Calculate_cap_emi!$I$14:$I$21,
        Calculate_cap_emi!$AI$14:$AI$21, "Not found", 0), LOOKUP(K190,Manufacture!$C$24:$D$24,Manufacture!$C$26:$D$26) + _xlfn.XLOOKUP(J190,Manufacture!$C$18:$N$18,Manufacture!$C$20:$N$20) + _xlfn.XLOOKUP(B190&amp;"|"&amp;E190,
        Calculate_cap_emi!$L$14:$L$21&amp;"|"&amp;Calculate_cap_emi!$I$14:$I$21,
        Calculate_cap_emi!$AI$14:$AI$21, "Not found", 0))</f>
        <v>4215.3136980802756</v>
      </c>
      <c r="M190" s="8">
        <f>LOOKUP(J190,Manufacture!$C$18:$N$18,Manufacture!$C$20:$N$20)</f>
        <v>2067.610588235294</v>
      </c>
      <c r="N190" s="8" cm="1">
        <f t="array" ref="N190">_xlfn.SWITCH(K190,200,0,LOOKUP(K190,Manufacture!$C$24:$D$24,Manufacture!$C$26:$D$26))</f>
        <v>336</v>
      </c>
      <c r="O190" s="5" cm="1">
        <f t="array" ref="O190">_xlfn.XLOOKUP(B190&amp;"|"&amp;E190,
        Calculate_cap_emi!$L$14:$L$21&amp;"|"&amp;Calculate_cap_emi!$I$14:$I$21,
        Calculate_cap_emi!$AI$14:$AI$21, "Not found", 0)</f>
        <v>1811.7031098449818</v>
      </c>
      <c r="P190" s="8">
        <f t="shared" si="12"/>
        <v>4215.3136980802756</v>
      </c>
      <c r="Q190" s="8" cm="1">
        <f t="array" ref="Q190">_xlfn.SWITCH(K190,200,_xlfn.XLOOKUP(J190,Distribution!$C$18:$N$18,Distribution!$C$20:$N$20) + _xlfn.XLOOKUP(B190&amp;"|"&amp;E190,
        Calculate_cap_emi!$L$14:$L$21&amp;"|"&amp;Calculate_cap_emi!$I$14:$I$21,
        Calculate_cap_emi!$AP$14:$AP$21, "Not found", 0), LOOKUP(K190,Distribution!$C$24:$D$24,Distribution!$C$26:$D$26) + _xlfn.XLOOKUP(J190,Distribution!$C$18:$N$18,Distribution!$C$20:$N$20) + _xlfn.XLOOKUP(B190&amp;"|"&amp;E190,
        Calculate_cap_emi!$L$14:$L$21&amp;"|"&amp;Calculate_cap_emi!$I$14:$I$21,
        Calculate_cap_emi!$AP$14:$AP$21, "Not found", 0))</f>
        <v>143.39090174620415</v>
      </c>
      <c r="R190" s="8" cm="1">
        <f t="array" ref="R190">_xlfn.SWITCH(K190,200,_xlfn.XLOOKUP(J190,Installation!$C$18:$N$18,Installation!$C$20:$N$20) + _xlfn.XLOOKUP(B190&amp;"|"&amp;E190,
        Calculate_cap_emi!$L$14:$L$21&amp;"|"&amp;Calculate_cap_emi!$I$14:$I$21,
        Calculate_cap_emi!$AW$14:$AW$21, "Not found", 0), LOOKUP(K190,Installation!$C$24:$D$24,Installation!$C$26:$D$26) + _xlfn.XLOOKUP(J190,Installation!$C$18:$N$18,Installation!$C$20:$N$20) + _xlfn.XLOOKUP(B190&amp;"|"&amp;E190,
        Calculate_cap_emi!$L$14:$L$21&amp;"|"&amp;Calculate_cap_emi!$I$14:$I$21,
        Calculate_cap_emi!$AW$14:$AW$21, "Not found", 0))</f>
        <v>136.87553199885969</v>
      </c>
      <c r="S190" s="8" cm="1">
        <f t="array" ref="S190">_xlfn.SWITCH(K190,200,_xlfn.XLOOKUP(J190,EOL!$C$18:$N$18,EOL!$C$20:$N$20) + _xlfn.XLOOKUP(B190&amp;"|"&amp;E190,
        Calculate_cap_emi!$L$14:$L$21&amp;"|"&amp;Calculate_cap_emi!$I$14:$I$21,
        Calculate_cap_emi!$BD$14:$BD$21, "Not found", 0), LOOKUP(K190,EOL!$C$24:$D$24,EOL!$C$26:$D$26) + _xlfn.XLOOKUP(J190,EOL!$C$18:$N$18,EOL!$C$20:$N$20) + _xlfn.XLOOKUP(B190&amp;"|"&amp;E190,
        Calculate_cap_emi!$L$14:$L$21&amp;"|"&amp;Calculate_cap_emi!$I$14:$I$21,
        Calculate_cap_emi!$BD$14:$BD$21, "Not found", 0))</f>
        <v>794.05193265548451</v>
      </c>
      <c r="T190" s="8" cm="1">
        <f t="array" ref="T190">_xlfn.SWITCH(K190,200,_xlfn.XLOOKUP(J190,Other!$C$18:$N$18,Other!$C$20:$N$20) + _xlfn.XLOOKUP(B190&amp;"|"&amp;E190,
        Calculate_cap_emi!$L$14:$L$21&amp;"|"&amp;Calculate_cap_emi!$I$14:$I$21,
        Calculate_cap_emi!$BK$14:$BK$21, "Not found", 0), LOOKUP(K190,Other!$C$24:$D$24,Other!$C$26:$D$26) + _xlfn.XLOOKUP(J190,Other!$C$18:$N$18,Other!$C$20:$N$20) + _xlfn.XLOOKUP(B190&amp;"|"&amp;E190,
        Calculate_cap_emi!$L$14:$L$21&amp;"|"&amp;Calculate_cap_emi!$I$14:$I$21,
        Calculate_cap_emi!$BK$14:$BK$21, "Not found", 0))</f>
        <v>2813.2151897106132</v>
      </c>
      <c r="U190" s="8" cm="1">
        <f t="array" ref="U190">_xlfn.SWITCH(K190,200,_xlfn.XLOOKUP(J190,EOL_R!$C$18:$N$18,EOL_R!$C$20:$N$20) + _xlfn.XLOOKUP(B190&amp;"|"&amp;E190,
        Calculate_cap_emi_sens!$L$14:$L$21&amp;"|"&amp;Calculate_cap_emi_sens!$I$14:$I$21,
        Calculate_cap_emi_sens!$BD$14:$BD$21, "Not found", 0), LOOKUP(K190,EOL_R!$C$24:$D$24,EOL_R!$C$26:$D$26) + _xlfn.XLOOKUP(J190,EOL_R!$C$18:$N$18,EOL_R!$C$20:$N$20) + _xlfn.XLOOKUP(B190&amp;"|"&amp;E190,
        Calculate_cap_emi_sens!$L$14:$L$21&amp;"|"&amp;Calculate_cap_emi_sens!$I$14:$I$21,
        Calculate_cap_emi_sens!$BD$14:$BD$21, "Not found", 0))</f>
        <v>612.50579765086741</v>
      </c>
      <c r="V190" s="8" cm="1">
        <f t="array" ref="V190">_xlfn.SWITCH(K190,200,_xlfn.XLOOKUP(J190,Other_R!$C$18:$N$18,Other_R!$C$20:$N$20) + _xlfn.XLOOKUP(B190&amp;"|"&amp;E190,
        Calculate_cap_emi_sens!$L$14:$L$21&amp;"|"&amp;Calculate_cap_emi_sens!$I$14:$I$21,
        Calculate_cap_emi_sens!$BK$14:$BK$21, "Not found", 0), LOOKUP(K190,Other_R!$C$24:$D$24,Other_R!$C$26:$D$26) + _xlfn.XLOOKUP(J190,Other_R!$C$18:$N$18,Other_R!$C$20:$N$20) + _xlfn.XLOOKUP(B190&amp;"|"&amp;E190,
        Calculate_cap_emi_sens!$L$14:$L$21&amp;"|"&amp;Calculate_cap_emi_sens!$I$14:$I$21,
        Calculate_cap_emi_sens!$BK$14:$BK$21, "Not found", 0))</f>
        <v>2283.1145142849396</v>
      </c>
      <c r="W190" s="5">
        <f>Results_proc_ener!L190</f>
        <v>124887.85366989578</v>
      </c>
      <c r="X190" s="5">
        <f>Results_proc_ener!M190</f>
        <v>51534.195201054921</v>
      </c>
      <c r="Y190" s="5">
        <f>Results_proc_ener!N190</f>
        <v>10613.59090909091</v>
      </c>
      <c r="Z190" s="5">
        <f>Results_proc_ener!O190</f>
        <v>62740.067559749943</v>
      </c>
      <c r="AA190" s="5">
        <f>Results_proc_ener!P190</f>
        <v>124887.85366989578</v>
      </c>
      <c r="AB190" s="5">
        <f>Results_proc_ener!Q190</f>
        <v>3063.7173528388234</v>
      </c>
      <c r="AC190" s="5">
        <f>Results_proc_ener!R190</f>
        <v>260.29319516275172</v>
      </c>
      <c r="AD190" s="5">
        <f>Results_proc_ener!S190</f>
        <v>16745.623399145454</v>
      </c>
      <c r="AE190" s="5">
        <f>Results_proc_ener!T190</f>
        <v>90039.464891451222</v>
      </c>
    </row>
    <row r="191" spans="1:31" x14ac:dyDescent="0.25">
      <c r="A191" s="5"/>
      <c r="B191" s="5" t="str">
        <f t="shared" si="13"/>
        <v>Mod-H1</v>
      </c>
      <c r="C191" s="5" t="s">
        <v>38</v>
      </c>
      <c r="D191" s="5" t="str">
        <f t="shared" si="9"/>
        <v>H1</v>
      </c>
      <c r="E191" s="5" t="s">
        <v>11</v>
      </c>
      <c r="F191" s="5" t="s">
        <v>57</v>
      </c>
      <c r="G191" s="5" t="s">
        <v>57</v>
      </c>
      <c r="H191" s="5">
        <v>5</v>
      </c>
      <c r="I191" s="5"/>
      <c r="J191" s="5">
        <f t="shared" si="11"/>
        <v>5</v>
      </c>
      <c r="K191" s="5">
        <v>1000</v>
      </c>
      <c r="L191" s="8" cm="1">
        <f t="array" ref="L191">_xlfn.SWITCH(K191,200,_xlfn.XLOOKUP(J191,Manufacture!$C$18:$N$18,Manufacture!$C$20:$N$20) + _xlfn.XLOOKUP(B191&amp;"|"&amp;E191,
        Calculate_cap_emi!$L$14:$L$21&amp;"|"&amp;Calculate_cap_emi!$I$14:$I$21,
        Calculate_cap_emi!$AI$14:$AI$21, "Not found", 0), LOOKUP(K191,Manufacture!$C$24:$D$24,Manufacture!$C$26:$D$26) + _xlfn.XLOOKUP(J191,Manufacture!$C$18:$N$18,Manufacture!$C$20:$N$20) + _xlfn.XLOOKUP(B191&amp;"|"&amp;E191,
        Calculate_cap_emi!$L$14:$L$21&amp;"|"&amp;Calculate_cap_emi!$I$14:$I$21,
        Calculate_cap_emi!$AI$14:$AI$21, "Not found", 0))</f>
        <v>4182.5840189358905</v>
      </c>
      <c r="M191" s="8">
        <f>LOOKUP(J191,Manufacture!$C$18:$N$18,Manufacture!$C$20:$N$20)</f>
        <v>1711.29</v>
      </c>
      <c r="N191" s="8" cm="1">
        <f t="array" ref="N191">_xlfn.SWITCH(K191,200,0,LOOKUP(K191,Manufacture!$C$24:$D$24,Manufacture!$C$26:$D$26))</f>
        <v>659.59090909090912</v>
      </c>
      <c r="O191" s="5" cm="1">
        <f t="array" ref="O191">_xlfn.XLOOKUP(B191&amp;"|"&amp;E191,
        Calculate_cap_emi!$L$14:$L$21&amp;"|"&amp;Calculate_cap_emi!$I$14:$I$21,
        Calculate_cap_emi!$AI$14:$AI$21, "Not found", 0)</f>
        <v>1811.7031098449818</v>
      </c>
      <c r="P191" s="8">
        <f t="shared" si="12"/>
        <v>4182.5840189358905</v>
      </c>
      <c r="Q191" s="8" cm="1">
        <f t="array" ref="Q191">_xlfn.SWITCH(K191,200,_xlfn.XLOOKUP(J191,Distribution!$C$18:$N$18,Distribution!$C$20:$N$20) + _xlfn.XLOOKUP(B191&amp;"|"&amp;E191,
        Calculate_cap_emi!$L$14:$L$21&amp;"|"&amp;Calculate_cap_emi!$I$14:$I$21,
        Calculate_cap_emi!$AP$14:$AP$21, "Not found", 0), LOOKUP(K191,Distribution!$C$24:$D$24,Distribution!$C$26:$D$26) + _xlfn.XLOOKUP(J191,Distribution!$C$18:$N$18,Distribution!$C$20:$N$20) + _xlfn.XLOOKUP(B191&amp;"|"&amp;E191,
        Calculate_cap_emi!$L$14:$L$21&amp;"|"&amp;Calculate_cap_emi!$I$14:$I$21,
        Calculate_cap_emi!$AP$14:$AP$21, "Not found", 0))</f>
        <v>136.79257503445015</v>
      </c>
      <c r="R191" s="8" cm="1">
        <f t="array" ref="R191">_xlfn.SWITCH(K191,200,_xlfn.XLOOKUP(J191,Installation!$C$18:$N$18,Installation!$C$20:$N$20) + _xlfn.XLOOKUP(B191&amp;"|"&amp;E191,
        Calculate_cap_emi!$L$14:$L$21&amp;"|"&amp;Calculate_cap_emi!$I$14:$I$21,
        Calculate_cap_emi!$AW$14:$AW$21, "Not found", 0), LOOKUP(K191,Installation!$C$24:$D$24,Installation!$C$26:$D$26) + _xlfn.XLOOKUP(J191,Installation!$C$18:$N$18,Installation!$C$20:$N$20) + _xlfn.XLOOKUP(B191&amp;"|"&amp;E191,
        Calculate_cap_emi!$L$14:$L$21&amp;"|"&amp;Calculate_cap_emi!$I$14:$I$21,
        Calculate_cap_emi!$AW$14:$AW$21, "Not found", 0))</f>
        <v>114.74382765865971</v>
      </c>
      <c r="S191" s="8" cm="1">
        <f t="array" ref="S191">_xlfn.SWITCH(K191,200,_xlfn.XLOOKUP(J191,EOL!$C$18:$N$18,EOL!$C$20:$N$20) + _xlfn.XLOOKUP(B191&amp;"|"&amp;E191,
        Calculate_cap_emi!$L$14:$L$21&amp;"|"&amp;Calculate_cap_emi!$I$14:$I$21,
        Calculate_cap_emi!$BD$14:$BD$21, "Not found", 0), LOOKUP(K191,EOL!$C$24:$D$24,EOL!$C$26:$D$26) + _xlfn.XLOOKUP(J191,EOL!$C$18:$N$18,EOL!$C$20:$N$20) + _xlfn.XLOOKUP(B191&amp;"|"&amp;E191,
        Calculate_cap_emi!$L$14:$L$21&amp;"|"&amp;Calculate_cap_emi!$I$14:$I$21,
        Calculate_cap_emi!$BD$14:$BD$21, "Not found", 0))</f>
        <v>798.44890591751664</v>
      </c>
      <c r="T191" s="8" cm="1">
        <f t="array" ref="T191">_xlfn.SWITCH(K191,200,_xlfn.XLOOKUP(J191,Other!$C$18:$N$18,Other!$C$20:$N$20) + _xlfn.XLOOKUP(B191&amp;"|"&amp;E191,
        Calculate_cap_emi!$L$14:$L$21&amp;"|"&amp;Calculate_cap_emi!$I$14:$I$21,
        Calculate_cap_emi!$BK$14:$BK$21, "Not found", 0), LOOKUP(K191,Other!$C$24:$D$24,Other!$C$26:$D$26) + _xlfn.XLOOKUP(J191,Other!$C$18:$N$18,Other!$C$20:$N$20) + _xlfn.XLOOKUP(B191&amp;"|"&amp;E191,
        Calculate_cap_emi!$L$14:$L$21&amp;"|"&amp;Calculate_cap_emi!$I$14:$I$21,
        Calculate_cap_emi!$BK$14:$BK$21, "Not found", 0))</f>
        <v>2616.2074400453512</v>
      </c>
      <c r="U191" s="8" cm="1">
        <f t="array" ref="U191">_xlfn.SWITCH(K191,200,_xlfn.XLOOKUP(J191,EOL_R!$C$18:$N$18,EOL_R!$C$20:$N$20) + _xlfn.XLOOKUP(B191&amp;"|"&amp;E191,
        Calculate_cap_emi_sens!$L$14:$L$21&amp;"|"&amp;Calculate_cap_emi_sens!$I$14:$I$21,
        Calculate_cap_emi_sens!$BD$14:$BD$21, "Not found", 0), LOOKUP(K191,EOL_R!$C$24:$D$24,EOL_R!$C$26:$D$26) + _xlfn.XLOOKUP(J191,EOL_R!$C$18:$N$18,EOL_R!$C$20:$N$20) + _xlfn.XLOOKUP(B191&amp;"|"&amp;E191,
        Calculate_cap_emi_sens!$L$14:$L$21&amp;"|"&amp;Calculate_cap_emi_sens!$I$14:$I$21,
        Calculate_cap_emi_sens!$BD$14:$BD$21, "Not found", 0))</f>
        <v>690.27409076224308</v>
      </c>
      <c r="V191" s="8" cm="1">
        <f t="array" ref="V191">_xlfn.SWITCH(K191,200,_xlfn.XLOOKUP(J191,Other_R!$C$18:$N$18,Other_R!$C$20:$N$20) + _xlfn.XLOOKUP(B191&amp;"|"&amp;E191,
        Calculate_cap_emi_sens!$L$14:$L$21&amp;"|"&amp;Calculate_cap_emi_sens!$I$14:$I$21,
        Calculate_cap_emi_sens!$BK$14:$BK$21, "Not found", 0), LOOKUP(K191,Other_R!$C$24:$D$24,Other_R!$C$26:$D$26) + _xlfn.XLOOKUP(J191,Other_R!$C$18:$N$18,Other_R!$C$20:$N$20) + _xlfn.XLOOKUP(B191&amp;"|"&amp;E191,
        Calculate_cap_emi_sens!$L$14:$L$21&amp;"|"&amp;Calculate_cap_emi_sens!$I$14:$I$21,
        Calculate_cap_emi_sens!$BK$14:$BK$21, "Not found", 0))</f>
        <v>2266.0861950198364</v>
      </c>
      <c r="W191" s="5">
        <f>Results_proc_ener!L191</f>
        <v>131654.03353994241</v>
      </c>
      <c r="X191" s="5">
        <f>Results_proc_ener!M191</f>
        <v>48340.647798374281</v>
      </c>
      <c r="Y191" s="5">
        <f>Results_proc_ener!N191</f>
        <v>20573.31818181818</v>
      </c>
      <c r="Z191" s="5">
        <f>Results_proc_ener!O191</f>
        <v>62740.067559749943</v>
      </c>
      <c r="AA191" s="5">
        <f>Results_proc_ener!P191</f>
        <v>131654.03353994241</v>
      </c>
      <c r="AB191" s="5">
        <f>Results_proc_ener!Q191</f>
        <v>2949.9640399694736</v>
      </c>
      <c r="AC191" s="5">
        <f>Results_proc_ener!R191</f>
        <v>243.88876354982449</v>
      </c>
      <c r="AD191" s="5">
        <f>Results_proc_ener!S191</f>
        <v>26881.941580963634</v>
      </c>
      <c r="AE191" s="5">
        <f>Results_proc_ener!T191</f>
        <v>89842.457141785955</v>
      </c>
    </row>
    <row r="192" spans="1:31" x14ac:dyDescent="0.25">
      <c r="A192" s="5"/>
      <c r="B192" s="5" t="str">
        <f t="shared" si="13"/>
        <v>Mod-H1</v>
      </c>
      <c r="C192" s="5" t="s">
        <v>38</v>
      </c>
      <c r="D192" s="5" t="str">
        <f t="shared" si="9"/>
        <v>H1</v>
      </c>
      <c r="E192" s="5" t="s">
        <v>11</v>
      </c>
      <c r="F192" s="5" t="s">
        <v>57</v>
      </c>
      <c r="G192" s="5" t="s">
        <v>57</v>
      </c>
      <c r="H192" s="5">
        <v>6</v>
      </c>
      <c r="I192" s="5"/>
      <c r="J192" s="5">
        <f t="shared" si="11"/>
        <v>6</v>
      </c>
      <c r="K192" s="5">
        <v>1000</v>
      </c>
      <c r="L192" s="8" cm="1">
        <f t="array" ref="L192">_xlfn.SWITCH(K192,200,_xlfn.XLOOKUP(J192,Manufacture!$C$18:$N$18,Manufacture!$C$20:$N$20) + _xlfn.XLOOKUP(B192&amp;"|"&amp;E192,
        Calculate_cap_emi!$L$14:$L$21&amp;"|"&amp;Calculate_cap_emi!$I$14:$I$21,
        Calculate_cap_emi!$AI$14:$AI$21, "Not found", 0), LOOKUP(K192,Manufacture!$C$24:$D$24,Manufacture!$C$26:$D$26) + _xlfn.XLOOKUP(J192,Manufacture!$C$18:$N$18,Manufacture!$C$20:$N$20) + _xlfn.XLOOKUP(B192&amp;"|"&amp;E192,
        Calculate_cap_emi!$L$14:$L$21&amp;"|"&amp;Calculate_cap_emi!$I$14:$I$21,
        Calculate_cap_emi!$AI$14:$AI$21, "Not found", 0))</f>
        <v>4222.1751954064785</v>
      </c>
      <c r="M192" s="8">
        <f>LOOKUP(J192,Manufacture!$C$18:$N$18,Manufacture!$C$20:$N$20)</f>
        <v>1750.8811764705879</v>
      </c>
      <c r="N192" s="8" cm="1">
        <f t="array" ref="N192">_xlfn.SWITCH(K192,200,0,LOOKUP(K192,Manufacture!$C$24:$D$24,Manufacture!$C$26:$D$26))</f>
        <v>659.59090909090912</v>
      </c>
      <c r="O192" s="5" cm="1">
        <f t="array" ref="O192">_xlfn.XLOOKUP(B192&amp;"|"&amp;E192,
        Calculate_cap_emi!$L$14:$L$21&amp;"|"&amp;Calculate_cap_emi!$I$14:$I$21,
        Calculate_cap_emi!$AI$14:$AI$21, "Not found", 0)</f>
        <v>1811.7031098449818</v>
      </c>
      <c r="P192" s="8">
        <f t="shared" si="12"/>
        <v>4222.1751954064785</v>
      </c>
      <c r="Q192" s="8" cm="1">
        <f t="array" ref="Q192">_xlfn.SWITCH(K192,200,_xlfn.XLOOKUP(J192,Distribution!$C$18:$N$18,Distribution!$C$20:$N$20) + _xlfn.XLOOKUP(B192&amp;"|"&amp;E192,
        Calculate_cap_emi!$L$14:$L$21&amp;"|"&amp;Calculate_cap_emi!$I$14:$I$21,
        Calculate_cap_emi!$AP$14:$AP$21, "Not found", 0), LOOKUP(K192,Distribution!$C$24:$D$24,Distribution!$C$26:$D$26) + _xlfn.XLOOKUP(J192,Distribution!$C$18:$N$18,Distribution!$C$20:$N$20) + _xlfn.XLOOKUP(B192&amp;"|"&amp;E192,
        Calculate_cap_emi!$L$14:$L$21&amp;"|"&amp;Calculate_cap_emi!$I$14:$I$21,
        Calculate_cap_emi!$AP$14:$AP$21, "Not found", 0))</f>
        <v>138.33678594868545</v>
      </c>
      <c r="R192" s="8" cm="1">
        <f t="array" ref="R192">_xlfn.SWITCH(K192,200,_xlfn.XLOOKUP(J192,Installation!$C$18:$N$18,Installation!$C$20:$N$20) + _xlfn.XLOOKUP(B192&amp;"|"&amp;E192,
        Calculate_cap_emi!$L$14:$L$21&amp;"|"&amp;Calculate_cap_emi!$I$14:$I$21,
        Calculate_cap_emi!$AW$14:$AW$21, "Not found", 0), LOOKUP(K192,Installation!$C$24:$D$24,Installation!$C$26:$D$26) + _xlfn.XLOOKUP(J192,Installation!$C$18:$N$18,Installation!$C$20:$N$20) + _xlfn.XLOOKUP(B192&amp;"|"&amp;E192,
        Calculate_cap_emi!$L$14:$L$21&amp;"|"&amp;Calculate_cap_emi!$I$14:$I$21,
        Calculate_cap_emi!$AW$14:$AW$21, "Not found", 0))</f>
        <v>117.20290591868198</v>
      </c>
      <c r="S192" s="8" cm="1">
        <f t="array" ref="S192">_xlfn.SWITCH(K192,200,_xlfn.XLOOKUP(J192,EOL!$C$18:$N$18,EOL!$C$20:$N$20) + _xlfn.XLOOKUP(B192&amp;"|"&amp;E192,
        Calculate_cap_emi!$L$14:$L$21&amp;"|"&amp;Calculate_cap_emi!$I$14:$I$21,
        Calculate_cap_emi!$BD$14:$BD$21, "Not found", 0), LOOKUP(K192,EOL!$C$24:$D$24,EOL!$C$26:$D$26) + _xlfn.XLOOKUP(J192,EOL!$C$18:$N$18,EOL!$C$20:$N$20) + _xlfn.XLOOKUP(B192&amp;"|"&amp;E192,
        Calculate_cap_emi!$L$14:$L$21&amp;"|"&amp;Calculate_cap_emi!$I$14:$I$21,
        Calculate_cap_emi!$BD$14:$BD$21, "Not found", 0))</f>
        <v>813.33914121163434</v>
      </c>
      <c r="T192" s="8" cm="1">
        <f t="array" ref="T192">_xlfn.SWITCH(K192,200,_xlfn.XLOOKUP(J192,Other!$C$18:$N$18,Other!$C$20:$N$20) + _xlfn.XLOOKUP(B192&amp;"|"&amp;E192,
        Calculate_cap_emi!$L$14:$L$21&amp;"|"&amp;Calculate_cap_emi!$I$14:$I$21,
        Calculate_cap_emi!$BK$14:$BK$21, "Not found", 0), LOOKUP(K192,Other!$C$24:$D$24,Other!$C$26:$D$26) + _xlfn.XLOOKUP(J192,Other!$C$18:$N$18,Other!$C$20:$N$20) + _xlfn.XLOOKUP(B192&amp;"|"&amp;E192,
        Calculate_cap_emi!$L$14:$L$21&amp;"|"&amp;Calculate_cap_emi!$I$14:$I$21,
        Calculate_cap_emi!$BK$14:$BK$21, "Not found", 0))</f>
        <v>2638.0971900081577</v>
      </c>
      <c r="U192" s="8" cm="1">
        <f t="array" ref="U192">_xlfn.SWITCH(K192,200,_xlfn.XLOOKUP(J192,EOL_R!$C$18:$N$18,EOL_R!$C$20:$N$20) + _xlfn.XLOOKUP(B192&amp;"|"&amp;E192,
        Calculate_cap_emi_sens!$L$14:$L$21&amp;"|"&amp;Calculate_cap_emi_sens!$I$14:$I$21,
        Calculate_cap_emi_sens!$BD$14:$BD$21, "Not found", 0), LOOKUP(K192,EOL_R!$C$24:$D$24,EOL_R!$C$26:$D$26) + _xlfn.XLOOKUP(J192,EOL_R!$C$18:$N$18,EOL_R!$C$20:$N$20) + _xlfn.XLOOKUP(B192&amp;"|"&amp;E192,
        Calculate_cap_emi_sens!$L$14:$L$21&amp;"|"&amp;Calculate_cap_emi_sens!$I$14:$I$21,
        Calculate_cap_emi_sens!$BD$14:$BD$21, "Not found", 0))</f>
        <v>692.17197855811423</v>
      </c>
      <c r="V192" s="8" cm="1">
        <f t="array" ref="V192">_xlfn.SWITCH(K192,200,_xlfn.XLOOKUP(J192,Other_R!$C$18:$N$18,Other_R!$C$20:$N$20) + _xlfn.XLOOKUP(B192&amp;"|"&amp;E192,
        Calculate_cap_emi_sens!$L$14:$L$21&amp;"|"&amp;Calculate_cap_emi_sens!$I$14:$I$21,
        Calculate_cap_emi_sens!$BK$14:$BK$21, "Not found", 0), LOOKUP(K192,Other_R!$C$24:$D$24,Other_R!$C$26:$D$26) + _xlfn.XLOOKUP(J192,Other_R!$C$18:$N$18,Other_R!$C$20:$N$20) + _xlfn.XLOOKUP(B192&amp;"|"&amp;E192,
        Calculate_cap_emi_sens!$L$14:$L$21&amp;"|"&amp;Calculate_cap_emi_sens!$I$14:$I$21,
        Calculate_cap_emi_sens!$BK$14:$BK$21, "Not found", 0))</f>
        <v>2256.1057904441022</v>
      </c>
      <c r="W192" s="5">
        <f>Results_proc_ener!L192</f>
        <v>132008.87214024024</v>
      </c>
      <c r="X192" s="5">
        <f>Results_proc_ener!M192</f>
        <v>48695.486398672118</v>
      </c>
      <c r="Y192" s="5">
        <f>Results_proc_ener!N192</f>
        <v>20573.31818181818</v>
      </c>
      <c r="Z192" s="5">
        <f>Results_proc_ener!O192</f>
        <v>62740.067559749943</v>
      </c>
      <c r="AA192" s="5">
        <f>Results_proc_ener!P192</f>
        <v>132008.87214024024</v>
      </c>
      <c r="AB192" s="5">
        <f>Results_proc_ener!Q192</f>
        <v>2982.6683331046233</v>
      </c>
      <c r="AC192" s="5">
        <f>Results_proc_ener!R192</f>
        <v>246.34784180984676</v>
      </c>
      <c r="AD192" s="5">
        <f>Results_proc_ener!S192</f>
        <v>26881.941580963634</v>
      </c>
      <c r="AE192" s="5">
        <f>Results_proc_ener!T192</f>
        <v>89864.346891748763</v>
      </c>
    </row>
    <row r="193" spans="1:31" x14ac:dyDescent="0.25">
      <c r="A193" s="5"/>
      <c r="B193" s="5" t="str">
        <f t="shared" si="13"/>
        <v>Mod-H1</v>
      </c>
      <c r="C193" s="5" t="s">
        <v>38</v>
      </c>
      <c r="D193" s="5" t="str">
        <f t="shared" si="9"/>
        <v>H1</v>
      </c>
      <c r="E193" s="5" t="s">
        <v>11</v>
      </c>
      <c r="F193" s="5" t="s">
        <v>57</v>
      </c>
      <c r="G193" s="5" t="s">
        <v>57</v>
      </c>
      <c r="H193" s="5">
        <v>8.5</v>
      </c>
      <c r="I193" s="5"/>
      <c r="J193" s="5">
        <f t="shared" si="11"/>
        <v>9</v>
      </c>
      <c r="K193" s="5">
        <v>1000</v>
      </c>
      <c r="L193" s="8" cm="1">
        <f t="array" ref="L193">_xlfn.SWITCH(K193,200,_xlfn.XLOOKUP(J193,Manufacture!$C$18:$N$18,Manufacture!$C$20:$N$20) + _xlfn.XLOOKUP(B193&amp;"|"&amp;E193,
        Calculate_cap_emi!$L$14:$L$21&amp;"|"&amp;Calculate_cap_emi!$I$14:$I$21,
        Calculate_cap_emi!$AI$14:$AI$21, "Not found", 0), LOOKUP(K193,Manufacture!$C$24:$D$24,Manufacture!$C$26:$D$26) + _xlfn.XLOOKUP(J193,Manufacture!$C$18:$N$18,Manufacture!$C$20:$N$20) + _xlfn.XLOOKUP(B193&amp;"|"&amp;E193,
        Calculate_cap_emi!$L$14:$L$21&amp;"|"&amp;Calculate_cap_emi!$I$14:$I$21,
        Calculate_cap_emi!$AI$14:$AI$21, "Not found", 0))</f>
        <v>4340.948724818244</v>
      </c>
      <c r="M193" s="8">
        <f>LOOKUP(J193,Manufacture!$C$18:$N$18,Manufacture!$C$20:$N$20)</f>
        <v>1869.654705882353</v>
      </c>
      <c r="N193" s="8" cm="1">
        <f t="array" ref="N193">_xlfn.SWITCH(K193,200,0,LOOKUP(K193,Manufacture!$C$24:$D$24,Manufacture!$C$26:$D$26))</f>
        <v>659.59090909090912</v>
      </c>
      <c r="O193" s="5" cm="1">
        <f t="array" ref="O193">_xlfn.XLOOKUP(B193&amp;"|"&amp;E193,
        Calculate_cap_emi!$L$14:$L$21&amp;"|"&amp;Calculate_cap_emi!$I$14:$I$21,
        Calculate_cap_emi!$AI$14:$AI$21, "Not found", 0)</f>
        <v>1811.7031098449818</v>
      </c>
      <c r="P193" s="8">
        <f t="shared" si="12"/>
        <v>4340.948724818244</v>
      </c>
      <c r="Q193" s="8" cm="1">
        <f t="array" ref="Q193">_xlfn.SWITCH(K193,200,_xlfn.XLOOKUP(J193,Distribution!$C$18:$N$18,Distribution!$C$20:$N$20) + _xlfn.XLOOKUP(B193&amp;"|"&amp;E193,
        Calculate_cap_emi!$L$14:$L$21&amp;"|"&amp;Calculate_cap_emi!$I$14:$I$21,
        Calculate_cap_emi!$AP$14:$AP$21, "Not found", 0), LOOKUP(K193,Distribution!$C$24:$D$24,Distribution!$C$26:$D$26) + _xlfn.XLOOKUP(J193,Distribution!$C$18:$N$18,Distribution!$C$20:$N$20) + _xlfn.XLOOKUP(B193&amp;"|"&amp;E193,
        Calculate_cap_emi!$L$14:$L$21&amp;"|"&amp;Calculate_cap_emi!$I$14:$I$21,
        Calculate_cap_emi!$AP$14:$AP$21, "Not found", 0))</f>
        <v>142.96941869139135</v>
      </c>
      <c r="R193" s="8" cm="1">
        <f t="array" ref="R193">_xlfn.SWITCH(K193,200,_xlfn.XLOOKUP(J193,Installation!$C$18:$N$18,Installation!$C$20:$N$20) + _xlfn.XLOOKUP(B193&amp;"|"&amp;E193,
        Calculate_cap_emi!$L$14:$L$21&amp;"|"&amp;Calculate_cap_emi!$I$14:$I$21,
        Calculate_cap_emi!$AW$14:$AW$21, "Not found", 0), LOOKUP(K193,Installation!$C$24:$D$24,Installation!$C$26:$D$26) + _xlfn.XLOOKUP(J193,Installation!$C$18:$N$18,Installation!$C$20:$N$20) + _xlfn.XLOOKUP(B193&amp;"|"&amp;E193,
        Calculate_cap_emi!$L$14:$L$21&amp;"|"&amp;Calculate_cap_emi!$I$14:$I$21,
        Calculate_cap_emi!$AW$14:$AW$21, "Not found", 0))</f>
        <v>124.58014069874849</v>
      </c>
      <c r="S193" s="8" cm="1">
        <f t="array" ref="S193">_xlfn.SWITCH(K193,200,_xlfn.XLOOKUP(J193,EOL!$C$18:$N$18,EOL!$C$20:$N$20) + _xlfn.XLOOKUP(B193&amp;"|"&amp;E193,
        Calculate_cap_emi!$L$14:$L$21&amp;"|"&amp;Calculate_cap_emi!$I$14:$I$21,
        Calculate_cap_emi!$BD$14:$BD$21, "Not found", 0), LOOKUP(K193,EOL!$C$24:$D$24,EOL!$C$26:$D$26) + _xlfn.XLOOKUP(J193,EOL!$C$18:$N$18,EOL!$C$20:$N$20) + _xlfn.XLOOKUP(B193&amp;"|"&amp;E193,
        Calculate_cap_emi!$L$14:$L$21&amp;"|"&amp;Calculate_cap_emi!$I$14:$I$21,
        Calculate_cap_emi!$BD$14:$BD$21, "Not found", 0))</f>
        <v>858.00984709398722</v>
      </c>
      <c r="T193" s="8" cm="1">
        <f t="array" ref="T193">_xlfn.SWITCH(K193,200,_xlfn.XLOOKUP(J193,Other!$C$18:$N$18,Other!$C$20:$N$20) + _xlfn.XLOOKUP(B193&amp;"|"&amp;E193,
        Calculate_cap_emi!$L$14:$L$21&amp;"|"&amp;Calculate_cap_emi!$I$14:$I$21,
        Calculate_cap_emi!$BK$14:$BK$21, "Not found", 0), LOOKUP(K193,Other!$C$24:$D$24,Other!$C$26:$D$26) + _xlfn.XLOOKUP(J193,Other!$C$18:$N$18,Other!$C$20:$N$20) + _xlfn.XLOOKUP(B193&amp;"|"&amp;E193,
        Calculate_cap_emi!$L$14:$L$21&amp;"|"&amp;Calculate_cap_emi!$I$14:$I$21,
        Calculate_cap_emi!$BK$14:$BK$21, "Not found", 0))</f>
        <v>2703.766439896578</v>
      </c>
      <c r="U193" s="8" cm="1">
        <f t="array" ref="U193">_xlfn.SWITCH(K193,200,_xlfn.XLOOKUP(J193,EOL_R!$C$18:$N$18,EOL_R!$C$20:$N$20) + _xlfn.XLOOKUP(B193&amp;"|"&amp;E193,
        Calculate_cap_emi_sens!$L$14:$L$21&amp;"|"&amp;Calculate_cap_emi_sens!$I$14:$I$21,
        Calculate_cap_emi_sens!$BD$14:$BD$21, "Not found", 0), LOOKUP(K193,EOL_R!$C$24:$D$24,EOL_R!$C$26:$D$26) + _xlfn.XLOOKUP(J193,EOL_R!$C$18:$N$18,EOL_R!$C$20:$N$20) + _xlfn.XLOOKUP(B193&amp;"|"&amp;E193,
        Calculate_cap_emi_sens!$L$14:$L$21&amp;"|"&amp;Calculate_cap_emi_sens!$I$14:$I$21,
        Calculate_cap_emi_sens!$BD$14:$BD$21, "Not found", 0))</f>
        <v>707.94898873278578</v>
      </c>
      <c r="V193" s="8" cm="1">
        <f t="array" ref="V193">_xlfn.SWITCH(K193,200,_xlfn.XLOOKUP(J193,Other_R!$C$18:$N$18,Other_R!$C$20:$N$20) + _xlfn.XLOOKUP(B193&amp;"|"&amp;E193,
        Calculate_cap_emi_sens!$L$14:$L$21&amp;"|"&amp;Calculate_cap_emi_sens!$I$14:$I$21,
        Calculate_cap_emi_sens!$BK$14:$BK$21, "Not found", 0), LOOKUP(K193,Other_R!$C$24:$D$24,Other_R!$C$26:$D$26) + _xlfn.XLOOKUP(J193,Other_R!$C$18:$N$18,Other_R!$C$20:$N$20) + _xlfn.XLOOKUP(B193&amp;"|"&amp;E193,
        Calculate_cap_emi_sens!$L$14:$L$21&amp;"|"&amp;Calculate_cap_emi_sens!$I$14:$I$21,
        Calculate_cap_emi_sens!$BK$14:$BK$21, "Not found", 0))</f>
        <v>2250.89896905151</v>
      </c>
      <c r="W193" s="5">
        <f>Results_proc_ener!L193</f>
        <v>133073.38794113375</v>
      </c>
      <c r="X193" s="5">
        <f>Results_proc_ener!M193</f>
        <v>49760.002199565621</v>
      </c>
      <c r="Y193" s="5">
        <f>Results_proc_ener!N193</f>
        <v>20573.31818181818</v>
      </c>
      <c r="Z193" s="5">
        <f>Results_proc_ener!O193</f>
        <v>62740.067559749943</v>
      </c>
      <c r="AA193" s="5">
        <f>Results_proc_ener!P193</f>
        <v>133073.38794113375</v>
      </c>
      <c r="AB193" s="5">
        <f>Results_proc_ener!Q193</f>
        <v>3080.7812125100736</v>
      </c>
      <c r="AC193" s="5">
        <f>Results_proc_ener!R193</f>
        <v>253.72507658991327</v>
      </c>
      <c r="AD193" s="5">
        <f>Results_proc_ener!S193</f>
        <v>26881.941580963634</v>
      </c>
      <c r="AE193" s="5">
        <f>Results_proc_ener!T193</f>
        <v>89930.016141637185</v>
      </c>
    </row>
    <row r="194" spans="1:31" x14ac:dyDescent="0.25">
      <c r="A194" s="5"/>
      <c r="B194" s="5" t="str">
        <f t="shared" si="13"/>
        <v>Mod-H1</v>
      </c>
      <c r="C194" s="5" t="s">
        <v>38</v>
      </c>
      <c r="D194" s="5" t="str">
        <f t="shared" si="9"/>
        <v>H1</v>
      </c>
      <c r="E194" s="5" t="s">
        <v>11</v>
      </c>
      <c r="F194" s="5" t="s">
        <v>57</v>
      </c>
      <c r="G194" s="5" t="s">
        <v>57</v>
      </c>
      <c r="H194" s="5">
        <v>11.2</v>
      </c>
      <c r="I194" s="5"/>
      <c r="J194" s="5">
        <f t="shared" si="11"/>
        <v>12</v>
      </c>
      <c r="K194" s="5">
        <v>1000</v>
      </c>
      <c r="L194" s="8" cm="1">
        <f t="array" ref="L194">_xlfn.SWITCH(K194,200,_xlfn.XLOOKUP(J194,Manufacture!$C$18:$N$18,Manufacture!$C$20:$N$20) + _xlfn.XLOOKUP(B194&amp;"|"&amp;E194,
        Calculate_cap_emi!$L$14:$L$21&amp;"|"&amp;Calculate_cap_emi!$I$14:$I$21,
        Calculate_cap_emi!$AI$14:$AI$21, "Not found", 0), LOOKUP(K194,Manufacture!$C$24:$D$24,Manufacture!$C$26:$D$26) + _xlfn.XLOOKUP(J194,Manufacture!$C$18:$N$18,Manufacture!$C$20:$N$20) + _xlfn.XLOOKUP(B194&amp;"|"&amp;E194,
        Calculate_cap_emi!$L$14:$L$21&amp;"|"&amp;Calculate_cap_emi!$I$14:$I$21,
        Calculate_cap_emi!$AI$14:$AI$21, "Not found", 0))</f>
        <v>4459.7222542300087</v>
      </c>
      <c r="M194" s="8">
        <f>LOOKUP(J194,Manufacture!$C$18:$N$18,Manufacture!$C$20:$N$20)</f>
        <v>1988.4282352941175</v>
      </c>
      <c r="N194" s="8" cm="1">
        <f t="array" ref="N194">_xlfn.SWITCH(K194,200,0,LOOKUP(K194,Manufacture!$C$24:$D$24,Manufacture!$C$26:$D$26))</f>
        <v>659.59090909090912</v>
      </c>
      <c r="O194" s="5" cm="1">
        <f t="array" ref="O194">_xlfn.XLOOKUP(B194&amp;"|"&amp;E194,
        Calculate_cap_emi!$L$14:$L$21&amp;"|"&amp;Calculate_cap_emi!$I$14:$I$21,
        Calculate_cap_emi!$AI$14:$AI$21, "Not found", 0)</f>
        <v>1811.7031098449818</v>
      </c>
      <c r="P194" s="8">
        <f t="shared" si="12"/>
        <v>4459.7222542300087</v>
      </c>
      <c r="Q194" s="8" cm="1">
        <f t="array" ref="Q194">_xlfn.SWITCH(K194,200,_xlfn.XLOOKUP(J194,Distribution!$C$18:$N$18,Distribution!$C$20:$N$20) + _xlfn.XLOOKUP(B194&amp;"|"&amp;E194,
        Calculate_cap_emi!$L$14:$L$21&amp;"|"&amp;Calculate_cap_emi!$I$14:$I$21,
        Calculate_cap_emi!$AP$14:$AP$21, "Not found", 0), LOOKUP(K194,Distribution!$C$24:$D$24,Distribution!$C$26:$D$26) + _xlfn.XLOOKUP(J194,Distribution!$C$18:$N$18,Distribution!$C$20:$N$20) + _xlfn.XLOOKUP(B194&amp;"|"&amp;E194,
        Calculate_cap_emi!$L$14:$L$21&amp;"|"&amp;Calculate_cap_emi!$I$14:$I$21,
        Calculate_cap_emi!$AP$14:$AP$21, "Not found", 0))</f>
        <v>147.60205143409723</v>
      </c>
      <c r="R194" s="8" cm="1">
        <f t="array" ref="R194">_xlfn.SWITCH(K194,200,_xlfn.XLOOKUP(J194,Installation!$C$18:$N$18,Installation!$C$20:$N$20) + _xlfn.XLOOKUP(B194&amp;"|"&amp;E194,
        Calculate_cap_emi!$L$14:$L$21&amp;"|"&amp;Calculate_cap_emi!$I$14:$I$21,
        Calculate_cap_emi!$AW$14:$AW$21, "Not found", 0), LOOKUP(K194,Installation!$C$24:$D$24,Installation!$C$26:$D$26) + _xlfn.XLOOKUP(J194,Installation!$C$18:$N$18,Installation!$C$20:$N$20) + _xlfn.XLOOKUP(B194&amp;"|"&amp;E194,
        Calculate_cap_emi!$L$14:$L$21&amp;"|"&amp;Calculate_cap_emi!$I$14:$I$21,
        Calculate_cap_emi!$AW$14:$AW$21, "Not found", 0))</f>
        <v>131.95737547881515</v>
      </c>
      <c r="S194" s="8" cm="1">
        <f t="array" ref="S194">_xlfn.SWITCH(K194,200,_xlfn.XLOOKUP(J194,EOL!$C$18:$N$18,EOL!$C$20:$N$20) + _xlfn.XLOOKUP(B194&amp;"|"&amp;E194,
        Calculate_cap_emi!$L$14:$L$21&amp;"|"&amp;Calculate_cap_emi!$I$14:$I$21,
        Calculate_cap_emi!$BD$14:$BD$21, "Not found", 0), LOOKUP(K194,EOL!$C$24:$D$24,EOL!$C$26:$D$26) + _xlfn.XLOOKUP(J194,EOL!$C$18:$N$18,EOL!$C$20:$N$20) + _xlfn.XLOOKUP(B194&amp;"|"&amp;E194,
        Calculate_cap_emi!$L$14:$L$21&amp;"|"&amp;Calculate_cap_emi!$I$14:$I$21,
        Calculate_cap_emi!$BD$14:$BD$21, "Not found", 0))</f>
        <v>902.6805529763401</v>
      </c>
      <c r="T194" s="8" cm="1">
        <f t="array" ref="T194">_xlfn.SWITCH(K194,200,_xlfn.XLOOKUP(J194,Other!$C$18:$N$18,Other!$C$20:$N$20) + _xlfn.XLOOKUP(B194&amp;"|"&amp;E194,
        Calculate_cap_emi!$L$14:$L$21&amp;"|"&amp;Calculate_cap_emi!$I$14:$I$21,
        Calculate_cap_emi!$BK$14:$BK$21, "Not found", 0), LOOKUP(K194,Other!$C$24:$D$24,Other!$C$26:$D$26) + _xlfn.XLOOKUP(J194,Other!$C$18:$N$18,Other!$C$20:$N$20) + _xlfn.XLOOKUP(B194&amp;"|"&amp;E194,
        Calculate_cap_emi!$L$14:$L$21&amp;"|"&amp;Calculate_cap_emi!$I$14:$I$21,
        Calculate_cap_emi!$BK$14:$BK$21, "Not found", 0))</f>
        <v>2769.4356897849993</v>
      </c>
      <c r="U194" s="8" cm="1">
        <f t="array" ref="U194">_xlfn.SWITCH(K194,200,_xlfn.XLOOKUP(J194,EOL_R!$C$18:$N$18,EOL_R!$C$20:$N$20) + _xlfn.XLOOKUP(B194&amp;"|"&amp;E194,
        Calculate_cap_emi_sens!$L$14:$L$21&amp;"|"&amp;Calculate_cap_emi_sens!$I$14:$I$21,
        Calculate_cap_emi_sens!$BD$14:$BD$21, "Not found", 0), LOOKUP(K194,EOL_R!$C$24:$D$24,EOL_R!$C$26:$D$26) + _xlfn.XLOOKUP(J194,EOL_R!$C$18:$N$18,EOL_R!$C$20:$N$20) + _xlfn.XLOOKUP(B194&amp;"|"&amp;E194,
        Calculate_cap_emi_sens!$L$14:$L$21&amp;"|"&amp;Calculate_cap_emi_sens!$I$14:$I$21,
        Calculate_cap_emi_sens!$BD$14:$BD$21, "Not found", 0))</f>
        <v>732.11929126166569</v>
      </c>
      <c r="V194" s="8" cm="1">
        <f t="array" ref="V194">_xlfn.SWITCH(K194,200,_xlfn.XLOOKUP(J194,Other_R!$C$18:$N$18,Other_R!$C$20:$N$20) + _xlfn.XLOOKUP(B194&amp;"|"&amp;E194,
        Calculate_cap_emi_sens!$L$14:$L$21&amp;"|"&amp;Calculate_cap_emi_sens!$I$14:$I$21,
        Calculate_cap_emi_sens!$BK$14:$BK$21, "Not found", 0), LOOKUP(K194,Other_R!$C$24:$D$24,Other_R!$C$26:$D$26) + _xlfn.XLOOKUP(J194,Other_R!$C$18:$N$18,Other_R!$C$20:$N$20) + _xlfn.XLOOKUP(B194&amp;"|"&amp;E194,
        Calculate_cap_emi_sens!$L$14:$L$21&amp;"|"&amp;Calculate_cap_emi_sens!$I$14:$I$21,
        Calculate_cap_emi_sens!$BK$14:$BK$21, "Not found", 0))</f>
        <v>2266.2808460794222</v>
      </c>
      <c r="W194" s="5">
        <f>Results_proc_ener!L194</f>
        <v>134137.90374202738</v>
      </c>
      <c r="X194" s="5">
        <f>Results_proc_ener!M194</f>
        <v>50824.518000459248</v>
      </c>
      <c r="Y194" s="5">
        <f>Results_proc_ener!N194</f>
        <v>20573.31818181818</v>
      </c>
      <c r="Z194" s="5">
        <f>Results_proc_ener!O194</f>
        <v>62740.067559749943</v>
      </c>
      <c r="AA194" s="5">
        <f>Results_proc_ener!P194</f>
        <v>134137.90374202738</v>
      </c>
      <c r="AB194" s="5">
        <f>Results_proc_ener!Q194</f>
        <v>3178.8940919155234</v>
      </c>
      <c r="AC194" s="5">
        <f>Results_proc_ener!R194</f>
        <v>261.10231136997993</v>
      </c>
      <c r="AD194" s="5">
        <f>Results_proc_ener!S194</f>
        <v>26881.941580963634</v>
      </c>
      <c r="AE194" s="5">
        <f>Results_proc_ener!T194</f>
        <v>89995.685391525607</v>
      </c>
    </row>
    <row r="195" spans="1:31" x14ac:dyDescent="0.25">
      <c r="A195" s="5"/>
      <c r="B195" s="5" t="str">
        <f t="shared" si="13"/>
        <v>Mod-H1</v>
      </c>
      <c r="C195" s="5" t="s">
        <v>38</v>
      </c>
      <c r="D195" s="5" t="str">
        <f t="shared" si="9"/>
        <v>H1</v>
      </c>
      <c r="E195" s="5" t="s">
        <v>11</v>
      </c>
      <c r="F195" s="5" t="s">
        <v>57</v>
      </c>
      <c r="G195" s="5" t="s">
        <v>57</v>
      </c>
      <c r="H195" s="5">
        <v>14</v>
      </c>
      <c r="I195" s="5"/>
      <c r="J195" s="5">
        <f t="shared" si="11"/>
        <v>14</v>
      </c>
      <c r="K195" s="5">
        <v>1000</v>
      </c>
      <c r="L195" s="8" cm="1">
        <f t="array" ref="L195">_xlfn.SWITCH(K195,200,_xlfn.XLOOKUP(J195,Manufacture!$C$18:$N$18,Manufacture!$C$20:$N$20) + _xlfn.XLOOKUP(B195&amp;"|"&amp;E195,
        Calculate_cap_emi!$L$14:$L$21&amp;"|"&amp;Calculate_cap_emi!$I$14:$I$21,
        Calculate_cap_emi!$AI$14:$AI$21, "Not found", 0), LOOKUP(K195,Manufacture!$C$24:$D$24,Manufacture!$C$26:$D$26) + _xlfn.XLOOKUP(J195,Manufacture!$C$18:$N$18,Manufacture!$C$20:$N$20) + _xlfn.XLOOKUP(B195&amp;"|"&amp;E195,
        Calculate_cap_emi!$L$14:$L$21&amp;"|"&amp;Calculate_cap_emi!$I$14:$I$21,
        Calculate_cap_emi!$AI$14:$AI$21, "Not found", 0))</f>
        <v>4538.9046071711846</v>
      </c>
      <c r="M195" s="8">
        <f>LOOKUP(J195,Manufacture!$C$18:$N$18,Manufacture!$C$20:$N$20)</f>
        <v>2067.610588235294</v>
      </c>
      <c r="N195" s="8" cm="1">
        <f t="array" ref="N195">_xlfn.SWITCH(K195,200,0,LOOKUP(K195,Manufacture!$C$24:$D$24,Manufacture!$C$26:$D$26))</f>
        <v>659.59090909090912</v>
      </c>
      <c r="O195" s="5" cm="1">
        <f t="array" ref="O195">_xlfn.XLOOKUP(B195&amp;"|"&amp;E195,
        Calculate_cap_emi!$L$14:$L$21&amp;"|"&amp;Calculate_cap_emi!$I$14:$I$21,
        Calculate_cap_emi!$AI$14:$AI$21, "Not found", 0)</f>
        <v>1811.7031098449818</v>
      </c>
      <c r="P195" s="8">
        <f t="shared" si="12"/>
        <v>4538.9046071711846</v>
      </c>
      <c r="Q195" s="8" cm="1">
        <f t="array" ref="Q195">_xlfn.SWITCH(K195,200,_xlfn.XLOOKUP(J195,Distribution!$C$18:$N$18,Distribution!$C$20:$N$20) + _xlfn.XLOOKUP(B195&amp;"|"&amp;E195,
        Calculate_cap_emi!$L$14:$L$21&amp;"|"&amp;Calculate_cap_emi!$I$14:$I$21,
        Calculate_cap_emi!$AP$14:$AP$21, "Not found", 0), LOOKUP(K195,Distribution!$C$24:$D$24,Distribution!$C$26:$D$26) + _xlfn.XLOOKUP(J195,Distribution!$C$18:$N$18,Distribution!$C$20:$N$20) + _xlfn.XLOOKUP(B195&amp;"|"&amp;E195,
        Calculate_cap_emi!$L$14:$L$21&amp;"|"&amp;Calculate_cap_emi!$I$14:$I$21,
        Calculate_cap_emi!$AP$14:$AP$21, "Not found", 0))</f>
        <v>150.69047326256779</v>
      </c>
      <c r="R195" s="8" cm="1">
        <f t="array" ref="R195">_xlfn.SWITCH(K195,200,_xlfn.XLOOKUP(J195,Installation!$C$18:$N$18,Installation!$C$20:$N$20) + _xlfn.XLOOKUP(B195&amp;"|"&amp;E195,
        Calculate_cap_emi!$L$14:$L$21&amp;"|"&amp;Calculate_cap_emi!$I$14:$I$21,
        Calculate_cap_emi!$AW$14:$AW$21, "Not found", 0), LOOKUP(K195,Installation!$C$24:$D$24,Installation!$C$26:$D$26) + _xlfn.XLOOKUP(J195,Installation!$C$18:$N$18,Installation!$C$20:$N$20) + _xlfn.XLOOKUP(B195&amp;"|"&amp;E195,
        Calculate_cap_emi!$L$14:$L$21&amp;"|"&amp;Calculate_cap_emi!$I$14:$I$21,
        Calculate_cap_emi!$AW$14:$AW$21, "Not found", 0))</f>
        <v>136.87553199885969</v>
      </c>
      <c r="S195" s="8" cm="1">
        <f t="array" ref="S195">_xlfn.SWITCH(K195,200,_xlfn.XLOOKUP(J195,EOL!$C$18:$N$18,EOL!$C$20:$N$20) + _xlfn.XLOOKUP(B195&amp;"|"&amp;E195,
        Calculate_cap_emi!$L$14:$L$21&amp;"|"&amp;Calculate_cap_emi!$I$14:$I$21,
        Calculate_cap_emi!$BD$14:$BD$21, "Not found", 0), LOOKUP(K195,EOL!$C$24:$D$24,EOL!$C$26:$D$26) + _xlfn.XLOOKUP(J195,EOL!$C$18:$N$18,EOL!$C$20:$N$20) + _xlfn.XLOOKUP(B195&amp;"|"&amp;E195,
        Calculate_cap_emi!$L$14:$L$21&amp;"|"&amp;Calculate_cap_emi!$I$14:$I$21,
        Calculate_cap_emi!$BD$14:$BD$21, "Not found", 0))</f>
        <v>932.4610235645755</v>
      </c>
      <c r="T195" s="8" cm="1">
        <f t="array" ref="T195">_xlfn.SWITCH(K195,200,_xlfn.XLOOKUP(J195,Other!$C$18:$N$18,Other!$C$20:$N$20) + _xlfn.XLOOKUP(B195&amp;"|"&amp;E195,
        Calculate_cap_emi!$L$14:$L$21&amp;"|"&amp;Calculate_cap_emi!$I$14:$I$21,
        Calculate_cap_emi!$BK$14:$BK$21, "Not found", 0), LOOKUP(K195,Other!$C$24:$D$24,Other!$C$26:$D$26) + _xlfn.XLOOKUP(J195,Other!$C$18:$N$18,Other!$C$20:$N$20) + _xlfn.XLOOKUP(B195&amp;"|"&amp;E195,
        Calculate_cap_emi!$L$14:$L$21&amp;"|"&amp;Calculate_cap_emi!$I$14:$I$21,
        Calculate_cap_emi!$BK$14:$BK$21, "Not found", 0))</f>
        <v>2813.2151897106132</v>
      </c>
      <c r="U195" s="8" cm="1">
        <f t="array" ref="U195">_xlfn.SWITCH(K195,200,_xlfn.XLOOKUP(J195,EOL_R!$C$18:$N$18,EOL_R!$C$20:$N$20) + _xlfn.XLOOKUP(B195&amp;"|"&amp;E195,
        Calculate_cap_emi_sens!$L$14:$L$21&amp;"|"&amp;Calculate_cap_emi_sens!$I$14:$I$21,
        Calculate_cap_emi_sens!$BD$14:$BD$21, "Not found", 0), LOOKUP(K195,EOL_R!$C$24:$D$24,EOL_R!$C$26:$D$26) + _xlfn.XLOOKUP(J195,EOL_R!$C$18:$N$18,EOL_R!$C$20:$N$20) + _xlfn.XLOOKUP(B195&amp;"|"&amp;E195,
        Calculate_cap_emi_sens!$L$14:$L$21&amp;"|"&amp;Calculate_cap_emi_sens!$I$14:$I$21,
        Calculate_cap_emi_sens!$BD$14:$BD$21, "Not found", 0))</f>
        <v>750.9148885599584</v>
      </c>
      <c r="V195" s="8" cm="1">
        <f t="array" ref="V195">_xlfn.SWITCH(K195,200,_xlfn.XLOOKUP(J195,Other_R!$C$18:$N$18,Other_R!$C$20:$N$20) + _xlfn.XLOOKUP(B195&amp;"|"&amp;E195,
        Calculate_cap_emi_sens!$L$14:$L$21&amp;"|"&amp;Calculate_cap_emi_sens!$I$14:$I$21,
        Calculate_cap_emi_sens!$BK$14:$BK$21, "Not found", 0), LOOKUP(K195,Other_R!$C$24:$D$24,Other_R!$C$26:$D$26) + _xlfn.XLOOKUP(J195,Other_R!$C$18:$N$18,Other_R!$C$20:$N$20) + _xlfn.XLOOKUP(B195&amp;"|"&amp;E195,
        Calculate_cap_emi_sens!$L$14:$L$21&amp;"|"&amp;Calculate_cap_emi_sens!$I$14:$I$21,
        Calculate_cap_emi_sens!$BK$14:$BK$21, "Not found", 0))</f>
        <v>2283.1145142849396</v>
      </c>
      <c r="W195" s="5">
        <f>Results_proc_ener!L195</f>
        <v>134847.58094262306</v>
      </c>
      <c r="X195" s="5">
        <f>Results_proc_ener!M195</f>
        <v>51534.195201054921</v>
      </c>
      <c r="Y195" s="5">
        <f>Results_proc_ener!N195</f>
        <v>20573.31818181818</v>
      </c>
      <c r="Z195" s="5">
        <f>Results_proc_ener!O195</f>
        <v>62740.067559749943</v>
      </c>
      <c r="AA195" s="5">
        <f>Results_proc_ener!P195</f>
        <v>134847.58094262306</v>
      </c>
      <c r="AB195" s="5">
        <f>Results_proc_ener!Q195</f>
        <v>3244.3026781858234</v>
      </c>
      <c r="AC195" s="5">
        <f>Results_proc_ener!R195</f>
        <v>266.02046789002446</v>
      </c>
      <c r="AD195" s="5">
        <f>Results_proc_ener!S195</f>
        <v>26881.941580963634</v>
      </c>
      <c r="AE195" s="5">
        <f>Results_proc_ener!T195</f>
        <v>90039.464891451222</v>
      </c>
    </row>
  </sheetData>
  <phoneticPr fontId="2" type="noConversion"/>
  <pageMargins left="0.7" right="0.7" top="0.75" bottom="0.75" header="0.3" footer="0.3"/>
  <headerFooter>
    <oddFooter>&amp;C_x000D_&amp;1#&amp;"Calibri"&amp;7&amp;K000000 In-Confidence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6D14-1ADD-4D19-9A0A-6BFA8CD6F1B6}">
  <dimension ref="A1:V195"/>
  <sheetViews>
    <sheetView workbookViewId="0">
      <pane ySplit="1" topLeftCell="A2" activePane="bottomLeft" state="frozen"/>
      <selection activeCell="F1" sqref="F1"/>
      <selection pane="bottomLeft"/>
    </sheetView>
  </sheetViews>
  <sheetFormatPr defaultRowHeight="15" x14ac:dyDescent="0.25"/>
  <cols>
    <col min="1" max="1" width="16" bestFit="1" customWidth="1"/>
    <col min="2" max="4" width="16" customWidth="1"/>
    <col min="8" max="8" width="11.7109375" bestFit="1" customWidth="1"/>
    <col min="9" max="9" width="11.7109375" customWidth="1"/>
    <col min="10" max="10" width="16" bestFit="1" customWidth="1"/>
    <col min="12" max="12" width="12.140625" bestFit="1" customWidth="1"/>
    <col min="13" max="13" width="9.42578125" bestFit="1" customWidth="1"/>
    <col min="14" max="14" width="9.7109375" bestFit="1" customWidth="1"/>
    <col min="16" max="16" width="9.42578125" bestFit="1" customWidth="1"/>
    <col min="17" max="20" width="9.42578125" customWidth="1"/>
    <col min="22" max="22" width="52" customWidth="1"/>
    <col min="27" max="27" width="9.140625" customWidth="1"/>
  </cols>
  <sheetData>
    <row r="1" spans="1:22" ht="15.95" customHeight="1" x14ac:dyDescent="0.25">
      <c r="A1" s="5" t="s">
        <v>0</v>
      </c>
      <c r="B1" s="5" t="s">
        <v>44</v>
      </c>
      <c r="C1" s="5" t="s">
        <v>61</v>
      </c>
      <c r="D1" s="5" t="s">
        <v>62</v>
      </c>
      <c r="E1" s="5" t="s">
        <v>1</v>
      </c>
      <c r="F1" s="5" t="s">
        <v>12</v>
      </c>
      <c r="G1" s="5" t="s">
        <v>52</v>
      </c>
      <c r="H1" s="5" t="s">
        <v>63</v>
      </c>
      <c r="I1" s="5" t="s">
        <v>66</v>
      </c>
      <c r="J1" s="5" t="s">
        <v>56</v>
      </c>
      <c r="K1" s="5" t="s">
        <v>53</v>
      </c>
      <c r="L1" s="5" t="s">
        <v>110</v>
      </c>
      <c r="M1" s="5" t="s">
        <v>115</v>
      </c>
      <c r="N1" s="5" t="s">
        <v>116</v>
      </c>
      <c r="O1" s="5" t="s">
        <v>117</v>
      </c>
      <c r="P1" s="5" t="s">
        <v>118</v>
      </c>
      <c r="Q1" s="5" t="s">
        <v>111</v>
      </c>
      <c r="R1" s="5" t="s">
        <v>112</v>
      </c>
      <c r="S1" s="5" t="s">
        <v>113</v>
      </c>
      <c r="T1" s="5" t="s">
        <v>114</v>
      </c>
      <c r="V1" s="6" t="s">
        <v>60</v>
      </c>
    </row>
    <row r="2" spans="1:22" x14ac:dyDescent="0.25">
      <c r="A2" s="5" t="s">
        <v>4</v>
      </c>
      <c r="B2" s="5" t="str">
        <f>_xlfn.TEXTBEFORE(A2, "-", 2)</f>
        <v>Mass-Nom</v>
      </c>
      <c r="C2" s="5" t="str">
        <f>_xlfn.TEXTBEFORE(A2, "-", 1)</f>
        <v>Mass</v>
      </c>
      <c r="D2" s="5" t="str">
        <f>_xlfn.TEXTAFTER(B2, "-", 1)</f>
        <v>Nom</v>
      </c>
      <c r="E2" s="5" t="s">
        <v>3</v>
      </c>
      <c r="F2" s="5" t="s">
        <v>13</v>
      </c>
      <c r="G2" s="5"/>
      <c r="H2" s="5"/>
      <c r="I2" s="5" cm="1">
        <f t="array" ref="I2">_xlfn.SWITCH(F2,"R",_xlfn.XLOOKUP(E2&amp;"|"&amp;B2,
        Calculate_cap_ener!$I$14:$I$21&amp;"|"&amp;Calculate_cap_ener!$L$14:$L$21,
        Calculate_cap_ener!$W$14:$W$21, "Not found", 0),"Rb",_xlfn.XLOOKUP(E2&amp;"|"&amp;B2,
        Calculate_cap_ener!$I$14:$I$21&amp;"|"&amp;Calculate_cap_ener!$L$14:$L$21,
        Calculate_cap_ener!$Y$14:$Y$21, "Not found", 0),"Rl",_xlfn.XLOOKUP(E2&amp;"|"&amp;B2,
        Calculate_cap_ener!$I$14:$I$21&amp;"|"&amp;Calculate_cap_ener!$L$14:$L$21,
        Calculate_cap_ener!$Z$14:$Z$21, "Not found", 0),0)</f>
        <v>11</v>
      </c>
      <c r="J2" s="5"/>
      <c r="K2" s="5"/>
      <c r="L2" s="5" cm="1">
        <f t="array" ref="L2">_xlfn.SWITCH(F2,"R",_xlfn.XLOOKUP(E2&amp;"|"&amp;B2,
        Calculate_cap_ener!$I$14:$I$21&amp;"|"&amp;Calculate_cap_ener!$L$14:$L$21,
        Calculate_cap_ener!$AC$14:$AC$21, "Not found", 0),"Rb",_xlfn.XLOOKUP(E2&amp;"|"&amp;B2,
        Calculate_cap_ener!$I$14:$I$21&amp;"|"&amp;Calculate_cap_ener!$L$14:$L$21,
        Calculate_cap_ener!$AE$14:$AE$21, "Not found", 0),"Rl",_xlfn.XLOOKUP(E2&amp;"|"&amp;B2,
        Calculate_cap_ener!$I$14:$I$21&amp;"|"&amp;Calculate_cap_ener!$L$14:$L$21,
        Calculate_cap_ener!$AF$14:$AF$21, "Not found", 0),"HP",_xlfn.XLOOKUP(E2&amp;"|"&amp;B2,
        Calculate_cap_ener!$I$14:$I$21&amp;"|"&amp;Calculate_cap_ener!$L$14:$L$21,
        Calculate_cap_ener!$AD$14:$AD$21, "Not found", 0),"HPl",_xlfn.XLOOKUP(E2&amp;"|"&amp;B2,
        Calculate_cap_ener!$I$14:$I$21&amp;"|"&amp;Calculate_cap_ener!$L$14:$L$21,
        Calculate_cap_ener!$AG$14:$AG$21, "Not found", 0),"Missing")</f>
        <v>24893.256098739545</v>
      </c>
      <c r="M2" s="5"/>
      <c r="N2" s="5"/>
      <c r="O2" s="5"/>
      <c r="P2" s="5"/>
      <c r="Q2" s="5" cm="1">
        <f t="array" ref="Q2">_xlfn.SWITCH(F2,"R",_xlfn.XLOOKUP(E2&amp;"|"&amp;B2,
        Calculate_cap_ener!$I$14:$I$21&amp;"|"&amp;Calculate_cap_ener!$L$14:$L$21,
        Calculate_cap_ener!$AJ$14:$AJ$21, "Not found", 0),"Rb",_xlfn.XLOOKUP(E2&amp;"|"&amp;B2,
        Calculate_cap_ener!$I$14:$I$21&amp;"|"&amp;Calculate_cap_ener!$L$14:$L$21,
        Calculate_cap_ener!$AL$14:$AL$21, "Not found", 0),"Rl",_xlfn.XLOOKUP(E2&amp;"|"&amp;B2,
        Calculate_cap_ener!$I$14:$I$21&amp;"|"&amp;Calculate_cap_ener!$L$14:$L$21,
        Calculate_cap_ener!$AM$14:$AM$21, "Not found", 0),"HP",_xlfn.XLOOKUP(E2&amp;"|"&amp;B2,
        Calculate_cap_ener!$I$14:$I$21&amp;"|"&amp;Calculate_cap_ener!$L$14:$L$21,
        Calculate_cap_ener!$AK$14:$AK$21, "Not found", 0),"HPl",_xlfn.XLOOKUP(E2&amp;"|"&amp;B2,
        Calculate_cap_ener!$I$14:$I$21&amp;"|"&amp;Calculate_cap_ener!$L$14:$L$21,
        Calculate_cap_ener!$AN$14:$AN$21, "Not found", 0),"Missing")</f>
        <v>982.8569241823501</v>
      </c>
      <c r="R2" s="5" cm="1">
        <f t="array" ref="R2">_xlfn.SWITCH(F2,"R",_xlfn.XLOOKUP(E2&amp;"|"&amp;B2,
        Calculate_cap_ener!$I$14:$I$21&amp;"|"&amp;Calculate_cap_ener!$L$14:$L$21,
        Calculate_cap_ener!$AQ$14:$AQ$21, "Not found", 0),"Rb",_xlfn.XLOOKUP(E2&amp;"|"&amp;B2,
        Calculate_cap_ener!$I$14:$I$21&amp;"|"&amp;Calculate_cap_ener!$L$14:$L$21,
        Calculate_cap_ener!$AS$14:$AS$21, "Not found", 0),"Rl",_xlfn.XLOOKUP(E2&amp;"|"&amp;B2,
        Calculate_cap_ener!$I$14:$I$21&amp;"|"&amp;Calculate_cap_ener!$L$14:$L$21,
        Calculate_cap_ener!$AT$14:$AT$21, "Not found", 0),"HP",_xlfn.XLOOKUP(E2&amp;"|"&amp;B2,
        Calculate_cap_ener!$I$14:$I$21&amp;"|"&amp;Calculate_cap_ener!$L$14:$L$21,
        Calculate_cap_ener!$AR$14:$AR$21, "Not found", 0),"HPl",_xlfn.XLOOKUP(E2&amp;"|"&amp;B2,
        Calculate_cap_ener!$I$14:$I$21&amp;"|"&amp;Calculate_cap_ener!$L$14:$L$21,
        Calculate_cap_ener!$AU$14:$AU$21, "Not found", 0),"Missing")</f>
        <v>17.878346159169151</v>
      </c>
      <c r="S2" s="5" cm="1">
        <f t="array" ref="S2">_xlfn.SWITCH(F2,"R",_xlfn.XLOOKUP(E2&amp;"|"&amp;B2,
        Calculate_cap_ener!$I$14:$I$21&amp;"|"&amp;Calculate_cap_ener!$L$14:$L$21,
        Calculate_cap_ener!$AX$14:$AX$21, "Not found", 0),"Rb",_xlfn.XLOOKUP(E2&amp;"|"&amp;B2,
        Calculate_cap_ener!$I$14:$I$21&amp;"|"&amp;Calculate_cap_ener!$L$14:$L$21,
        Calculate_cap_ener!$AZ$14:$AZ$21, "Not found", 0),"Rl",_xlfn.XLOOKUP(E2&amp;"|"&amp;B2,
        Calculate_cap_ener!$I$14:$I$21&amp;"|"&amp;Calculate_cap_ener!$L$14:$L$21,
        Calculate_cap_ener!$BA$14:$BA$21, "Not found", 0),"HP",_xlfn.XLOOKUP(E2&amp;"|"&amp;B2,
        Calculate_cap_ener!$I$14:$I$21&amp;"|"&amp;Calculate_cap_ener!$L$14:$L$21,
        Calculate_cap_ener!$AY$14:$AY$21, "Not found", 0),"HPl",_xlfn.XLOOKUP(E2&amp;"|"&amp;B2,
        Calculate_cap_ener!$I$14:$I$21&amp;"|"&amp;Calculate_cap_ener!$L$14:$L$21,
        Calculate_cap_ener!$BB$14:$BB$21, "Not found", 0),"Missing")</f>
        <v>101.6259057567496</v>
      </c>
      <c r="T2" s="5" cm="1">
        <f t="array" ref="T2">_xlfn.SWITCH(F2,"R",_xlfn.XLOOKUP(E2&amp;"|"&amp;B2,
        Calculate_cap_ener!$I$14:$I$21&amp;"|"&amp;Calculate_cap_ener!$L$14:$L$21,
        Calculate_cap_ener!$BE$14:$BE$21, "Not found", 0),"Rb",_xlfn.XLOOKUP(E2&amp;"|"&amp;B2,
        Calculate_cap_ener!$I$14:$I$21&amp;"|"&amp;Calculate_cap_ener!$L$14:$L$21,
        Calculate_cap_ener!$BG$14:$BG$21, "Not found", 0),"Rl",_xlfn.XLOOKUP(E2&amp;"|"&amp;B2,
        Calculate_cap_ener!$I$14:$I$21&amp;"|"&amp;Calculate_cap_ener!$L$14:$L$21,
        Calculate_cap_ener!$BH$14:$BH$21, "Not found", 0),"HP",_xlfn.XLOOKUP(E2&amp;"|"&amp;B2,
        Calculate_cap_ener!$I$14:$I$21&amp;"|"&amp;Calculate_cap_ener!$L$14:$L$21,
        Calculate_cap_ener!$BF$14:$BF$21, "Not found", 0),"HPl",_xlfn.XLOOKUP(E2&amp;"|"&amp;B2,
        Calculate_cap_ener!$I$14:$I$21&amp;"|"&amp;Calculate_cap_ener!$L$14:$L$21,
        Calculate_cap_ener!$BI$14:$BI$21, "Not found", 0),"Missing")</f>
        <v>0</v>
      </c>
    </row>
    <row r="3" spans="1:22" x14ac:dyDescent="0.25">
      <c r="A3" s="5" t="s">
        <v>2</v>
      </c>
      <c r="B3" s="5" t="str">
        <f t="shared" ref="B3:B66" si="0">_xlfn.TEXTBEFORE(A3, "-", 2)</f>
        <v>Mass-Nom</v>
      </c>
      <c r="C3" s="5" t="str">
        <f t="shared" ref="C3:C66" si="1">_xlfn.TEXTBEFORE(A3, "-", 1)</f>
        <v>Mass</v>
      </c>
      <c r="D3" s="5" t="str">
        <f t="shared" ref="D3:D66" si="2">_xlfn.TEXTAFTER(B3, "-", 1)</f>
        <v>Nom</v>
      </c>
      <c r="E3" s="5" t="s">
        <v>3</v>
      </c>
      <c r="F3" s="5" t="s">
        <v>13</v>
      </c>
      <c r="G3" s="5"/>
      <c r="H3" s="5"/>
      <c r="I3" s="5" cm="1">
        <f t="array" ref="I3">_xlfn.SWITCH(F3,"R",_xlfn.XLOOKUP(E3&amp;"|"&amp;B3,
        Calculate_cap_ener!$I$14:$I$21&amp;"|"&amp;Calculate_cap_ener!$L$14:$L$21,
        Calculate_cap_ener!$W$14:$W$21, "Not found", 0),"Rb",_xlfn.XLOOKUP(E3&amp;"|"&amp;B3,
        Calculate_cap_ener!$I$14:$I$21&amp;"|"&amp;Calculate_cap_ener!$L$14:$L$21,
        Calculate_cap_ener!$Y$14:$Y$21, "Not found", 0),"Rl",_xlfn.XLOOKUP(E3&amp;"|"&amp;B3,
        Calculate_cap_ener!$I$14:$I$21&amp;"|"&amp;Calculate_cap_ener!$L$14:$L$21,
        Calculate_cap_ener!$Z$14:$Z$21, "Not found", 0),0)</f>
        <v>11</v>
      </c>
      <c r="J3" s="5"/>
      <c r="K3" s="5"/>
      <c r="L3" s="5" cm="1">
        <f t="array" ref="L3">_xlfn.SWITCH(F3,"R",_xlfn.XLOOKUP(E3&amp;"|"&amp;B3,
        Calculate_cap_ener!$I$14:$I$21&amp;"|"&amp;Calculate_cap_ener!$L$14:$L$21,
        Calculate_cap_ener!$AC$14:$AC$21, "Not found", 0),"Rb",_xlfn.XLOOKUP(E3&amp;"|"&amp;B3,
        Calculate_cap_ener!$I$14:$I$21&amp;"|"&amp;Calculate_cap_ener!$L$14:$L$21,
        Calculate_cap_ener!$AE$14:$AE$21, "Not found", 0),"Rl",_xlfn.XLOOKUP(E3&amp;"|"&amp;B3,
        Calculate_cap_ener!$I$14:$I$21&amp;"|"&amp;Calculate_cap_ener!$L$14:$L$21,
        Calculate_cap_ener!$AF$14:$AF$21, "Not found", 0),"HP",_xlfn.XLOOKUP(E3&amp;"|"&amp;B3,
        Calculate_cap_ener!$I$14:$I$21&amp;"|"&amp;Calculate_cap_ener!$L$14:$L$21,
        Calculate_cap_ener!$AD$14:$AD$21, "Not found", 0),"HPl",_xlfn.XLOOKUP(E3&amp;"|"&amp;B3,
        Calculate_cap_ener!$I$14:$I$21&amp;"|"&amp;Calculate_cap_ener!$L$14:$L$21,
        Calculate_cap_ener!$AG$14:$AG$21, "Not found", 0),"Missing")</f>
        <v>24893.256098739545</v>
      </c>
      <c r="M3" s="5"/>
      <c r="N3" s="5"/>
      <c r="O3" s="5"/>
      <c r="P3" s="5"/>
      <c r="Q3" s="5" cm="1">
        <f t="array" ref="Q3">_xlfn.SWITCH(F3,"R",_xlfn.XLOOKUP(E3&amp;"|"&amp;B3,
        Calculate_cap_ener!$I$14:$I$21&amp;"|"&amp;Calculate_cap_ener!$L$14:$L$21,
        Calculate_cap_ener!$AJ$14:$AJ$21, "Not found", 0),"Rb",_xlfn.XLOOKUP(E3&amp;"|"&amp;B3,
        Calculate_cap_ener!$I$14:$I$21&amp;"|"&amp;Calculate_cap_ener!$L$14:$L$21,
        Calculate_cap_ener!$AL$14:$AL$21, "Not found", 0),"Rl",_xlfn.XLOOKUP(E3&amp;"|"&amp;B3,
        Calculate_cap_ener!$I$14:$I$21&amp;"|"&amp;Calculate_cap_ener!$L$14:$L$21,
        Calculate_cap_ener!$AM$14:$AM$21, "Not found", 0),"HP",_xlfn.XLOOKUP(E3&amp;"|"&amp;B3,
        Calculate_cap_ener!$I$14:$I$21&amp;"|"&amp;Calculate_cap_ener!$L$14:$L$21,
        Calculate_cap_ener!$AK$14:$AK$21, "Not found", 0),"HPl",_xlfn.XLOOKUP(E3&amp;"|"&amp;B3,
        Calculate_cap_ener!$I$14:$I$21&amp;"|"&amp;Calculate_cap_ener!$L$14:$L$21,
        Calculate_cap_ener!$AN$14:$AN$21, "Not found", 0),"Missing")</f>
        <v>982.8569241823501</v>
      </c>
      <c r="R3" s="5" cm="1">
        <f t="array" ref="R3">_xlfn.SWITCH(F3,"R",_xlfn.XLOOKUP(E3&amp;"|"&amp;B3,
        Calculate_cap_ener!$I$14:$I$21&amp;"|"&amp;Calculate_cap_ener!$L$14:$L$21,
        Calculate_cap_ener!$AQ$14:$AQ$21, "Not found", 0),"Rb",_xlfn.XLOOKUP(E3&amp;"|"&amp;B3,
        Calculate_cap_ener!$I$14:$I$21&amp;"|"&amp;Calculate_cap_ener!$L$14:$L$21,
        Calculate_cap_ener!$AS$14:$AS$21, "Not found", 0),"Rl",_xlfn.XLOOKUP(E3&amp;"|"&amp;B3,
        Calculate_cap_ener!$I$14:$I$21&amp;"|"&amp;Calculate_cap_ener!$L$14:$L$21,
        Calculate_cap_ener!$AT$14:$AT$21, "Not found", 0),"HP",_xlfn.XLOOKUP(E3&amp;"|"&amp;B3,
        Calculate_cap_ener!$I$14:$I$21&amp;"|"&amp;Calculate_cap_ener!$L$14:$L$21,
        Calculate_cap_ener!$AR$14:$AR$21, "Not found", 0),"HPl",_xlfn.XLOOKUP(E3&amp;"|"&amp;B3,
        Calculate_cap_ener!$I$14:$I$21&amp;"|"&amp;Calculate_cap_ener!$L$14:$L$21,
        Calculate_cap_ener!$AU$14:$AU$21, "Not found", 0),"Missing")</f>
        <v>17.878346159169151</v>
      </c>
      <c r="S3" s="5" cm="1">
        <f t="array" ref="S3">_xlfn.SWITCH(F3,"R",_xlfn.XLOOKUP(E3&amp;"|"&amp;B3,
        Calculate_cap_ener!$I$14:$I$21&amp;"|"&amp;Calculate_cap_ener!$L$14:$L$21,
        Calculate_cap_ener!$AX$14:$AX$21, "Not found", 0),"Rb",_xlfn.XLOOKUP(E3&amp;"|"&amp;B3,
        Calculate_cap_ener!$I$14:$I$21&amp;"|"&amp;Calculate_cap_ener!$L$14:$L$21,
        Calculate_cap_ener!$AZ$14:$AZ$21, "Not found", 0),"Rl",_xlfn.XLOOKUP(E3&amp;"|"&amp;B3,
        Calculate_cap_ener!$I$14:$I$21&amp;"|"&amp;Calculate_cap_ener!$L$14:$L$21,
        Calculate_cap_ener!$BA$14:$BA$21, "Not found", 0),"HP",_xlfn.XLOOKUP(E3&amp;"|"&amp;B3,
        Calculate_cap_ener!$I$14:$I$21&amp;"|"&amp;Calculate_cap_ener!$L$14:$L$21,
        Calculate_cap_ener!$AY$14:$AY$21, "Not found", 0),"HPl",_xlfn.XLOOKUP(E3&amp;"|"&amp;B3,
        Calculate_cap_ener!$I$14:$I$21&amp;"|"&amp;Calculate_cap_ener!$L$14:$L$21,
        Calculate_cap_ener!$BB$14:$BB$21, "Not found", 0),"Missing")</f>
        <v>101.6259057567496</v>
      </c>
      <c r="T3" s="5" cm="1">
        <f t="array" ref="T3">_xlfn.SWITCH(F3,"R",_xlfn.XLOOKUP(E3&amp;"|"&amp;B3,
        Calculate_cap_ener!$I$14:$I$21&amp;"|"&amp;Calculate_cap_ener!$L$14:$L$21,
        Calculate_cap_ener!$BE$14:$BE$21, "Not found", 0),"Rb",_xlfn.XLOOKUP(E3&amp;"|"&amp;B3,
        Calculate_cap_ener!$I$14:$I$21&amp;"|"&amp;Calculate_cap_ener!$L$14:$L$21,
        Calculate_cap_ener!$BG$14:$BG$21, "Not found", 0),"Rl",_xlfn.XLOOKUP(E3&amp;"|"&amp;B3,
        Calculate_cap_ener!$I$14:$I$21&amp;"|"&amp;Calculate_cap_ener!$L$14:$L$21,
        Calculate_cap_ener!$BH$14:$BH$21, "Not found", 0),"HP",_xlfn.XLOOKUP(E3&amp;"|"&amp;B3,
        Calculate_cap_ener!$I$14:$I$21&amp;"|"&amp;Calculate_cap_ener!$L$14:$L$21,
        Calculate_cap_ener!$BF$14:$BF$21, "Not found", 0),"HPl",_xlfn.XLOOKUP(E3&amp;"|"&amp;B3,
        Calculate_cap_ener!$I$14:$I$21&amp;"|"&amp;Calculate_cap_ener!$L$14:$L$21,
        Calculate_cap_ener!$BI$14:$BI$21, "Not found", 0),"Missing")</f>
        <v>0</v>
      </c>
    </row>
    <row r="4" spans="1:22" x14ac:dyDescent="0.25">
      <c r="A4" s="5" t="s">
        <v>5</v>
      </c>
      <c r="B4" s="5" t="str">
        <f t="shared" si="0"/>
        <v>Mass-H1</v>
      </c>
      <c r="C4" s="5" t="str">
        <f t="shared" si="1"/>
        <v>Mass</v>
      </c>
      <c r="D4" s="5" t="str">
        <f t="shared" si="2"/>
        <v>H1</v>
      </c>
      <c r="E4" s="5" t="s">
        <v>3</v>
      </c>
      <c r="F4" s="5" t="s">
        <v>13</v>
      </c>
      <c r="G4" s="5"/>
      <c r="H4" s="5"/>
      <c r="I4" s="5" cm="1">
        <f t="array" ref="I4">_xlfn.SWITCH(F4,"R",_xlfn.XLOOKUP(E4&amp;"|"&amp;B4,
        Calculate_cap_ener!$I$14:$I$21&amp;"|"&amp;Calculate_cap_ener!$L$14:$L$21,
        Calculate_cap_ener!$W$14:$W$21, "Not found", 0),"Rb",_xlfn.XLOOKUP(E4&amp;"|"&amp;B4,
        Calculate_cap_ener!$I$14:$I$21&amp;"|"&amp;Calculate_cap_ener!$L$14:$L$21,
        Calculate_cap_ener!$Y$14:$Y$21, "Not found", 0),"Rl",_xlfn.XLOOKUP(E4&amp;"|"&amp;B4,
        Calculate_cap_ener!$I$14:$I$21&amp;"|"&amp;Calculate_cap_ener!$L$14:$L$21,
        Calculate_cap_ener!$Z$14:$Z$21, "Not found", 0),0)</f>
        <v>7</v>
      </c>
      <c r="J4" s="5"/>
      <c r="K4" s="5"/>
      <c r="L4" s="5" cm="1">
        <f t="array" ref="L4">_xlfn.SWITCH(F4,"R",_xlfn.XLOOKUP(E4&amp;"|"&amp;B4,
        Calculate_cap_ener!$I$14:$I$21&amp;"|"&amp;Calculate_cap_ener!$L$14:$L$21,
        Calculate_cap_ener!$AC$14:$AC$21, "Not found", 0),"Rb",_xlfn.XLOOKUP(E4&amp;"|"&amp;B4,
        Calculate_cap_ener!$I$14:$I$21&amp;"|"&amp;Calculate_cap_ener!$L$14:$L$21,
        Calculate_cap_ener!$AE$14:$AE$21, "Not found", 0),"Rl",_xlfn.XLOOKUP(E4&amp;"|"&amp;B4,
        Calculate_cap_ener!$I$14:$I$21&amp;"|"&amp;Calculate_cap_ener!$L$14:$L$21,
        Calculate_cap_ener!$AF$14:$AF$21, "Not found", 0),"HP",_xlfn.XLOOKUP(E4&amp;"|"&amp;B4,
        Calculate_cap_ener!$I$14:$I$21&amp;"|"&amp;Calculate_cap_ener!$L$14:$L$21,
        Calculate_cap_ener!$AD$14:$AD$21, "Not found", 0),"HPl",_xlfn.XLOOKUP(E4&amp;"|"&amp;B4,
        Calculate_cap_ener!$I$14:$I$21&amp;"|"&amp;Calculate_cap_ener!$L$14:$L$21,
        Calculate_cap_ener!$AG$14:$AG$21, "Not found", 0),"Missing")</f>
        <v>19975.709705088429</v>
      </c>
      <c r="M4" s="5"/>
      <c r="N4" s="5"/>
      <c r="O4" s="5"/>
      <c r="P4" s="5"/>
      <c r="Q4" s="5" cm="1">
        <f t="array" ref="Q4">_xlfn.SWITCH(F4,"R",_xlfn.XLOOKUP(E4&amp;"|"&amp;B4,
        Calculate_cap_ener!$I$14:$I$21&amp;"|"&amp;Calculate_cap_ener!$L$14:$L$21,
        Calculate_cap_ener!$AJ$14:$AJ$21, "Not found", 0),"Rb",_xlfn.XLOOKUP(E4&amp;"|"&amp;B4,
        Calculate_cap_ener!$I$14:$I$21&amp;"|"&amp;Calculate_cap_ener!$L$14:$L$21,
        Calculate_cap_ener!$AL$14:$AL$21, "Not found", 0),"Rl",_xlfn.XLOOKUP(E4&amp;"|"&amp;B4,
        Calculate_cap_ener!$I$14:$I$21&amp;"|"&amp;Calculate_cap_ener!$L$14:$L$21,
        Calculate_cap_ener!$AM$14:$AM$21, "Not found", 0),"HP",_xlfn.XLOOKUP(E4&amp;"|"&amp;B4,
        Calculate_cap_ener!$I$14:$I$21&amp;"|"&amp;Calculate_cap_ener!$L$14:$L$21,
        Calculate_cap_ener!$AK$14:$AK$21, "Not found", 0),"HPl",_xlfn.XLOOKUP(E4&amp;"|"&amp;B4,
        Calculate_cap_ener!$I$14:$I$21&amp;"|"&amp;Calculate_cap_ener!$L$14:$L$21,
        Calculate_cap_ener!$AN$14:$AN$21, "Not found", 0),"Missing")</f>
        <v>728.39025102879009</v>
      </c>
      <c r="R4" s="5" cm="1">
        <f t="array" ref="R4">_xlfn.SWITCH(F4,"R",_xlfn.XLOOKUP(E4&amp;"|"&amp;B4,
        Calculate_cap_ener!$I$14:$I$21&amp;"|"&amp;Calculate_cap_ener!$L$14:$L$21,
        Calculate_cap_ener!$AQ$14:$AQ$21, "Not found", 0),"Rb",_xlfn.XLOOKUP(E4&amp;"|"&amp;B4,
        Calculate_cap_ener!$I$14:$I$21&amp;"|"&amp;Calculate_cap_ener!$L$14:$L$21,
        Calculate_cap_ener!$AS$14:$AS$21, "Not found", 0),"Rl",_xlfn.XLOOKUP(E4&amp;"|"&amp;B4,
        Calculate_cap_ener!$I$14:$I$21&amp;"|"&amp;Calculate_cap_ener!$L$14:$L$21,
        Calculate_cap_ener!$AT$14:$AT$21, "Not found", 0),"HP",_xlfn.XLOOKUP(E4&amp;"|"&amp;B4,
        Calculate_cap_ener!$I$14:$I$21&amp;"|"&amp;Calculate_cap_ener!$L$14:$L$21,
        Calculate_cap_ener!$AR$14:$AR$21, "Not found", 0),"HPl",_xlfn.XLOOKUP(E4&amp;"|"&amp;B4,
        Calculate_cap_ener!$I$14:$I$21&amp;"|"&amp;Calculate_cap_ener!$L$14:$L$21,
        Calculate_cap_ener!$AU$14:$AU$21, "Not found", 0),"Missing")</f>
        <v>14.557230127516119</v>
      </c>
      <c r="S4" s="5" cm="1">
        <f t="array" ref="S4">_xlfn.SWITCH(F4,"R",_xlfn.XLOOKUP(E4&amp;"|"&amp;B4,
        Calculate_cap_ener!$I$14:$I$21&amp;"|"&amp;Calculate_cap_ener!$L$14:$L$21,
        Calculate_cap_ener!$AX$14:$AX$21, "Not found", 0),"Rb",_xlfn.XLOOKUP(E4&amp;"|"&amp;B4,
        Calculate_cap_ener!$I$14:$I$21&amp;"|"&amp;Calculate_cap_ener!$L$14:$L$21,
        Calculate_cap_ener!$AZ$14:$AZ$21, "Not found", 0),"Rl",_xlfn.XLOOKUP(E4&amp;"|"&amp;B4,
        Calculate_cap_ener!$I$14:$I$21&amp;"|"&amp;Calculate_cap_ener!$L$14:$L$21,
        Calculate_cap_ener!$BA$14:$BA$21, "Not found", 0),"HP",_xlfn.XLOOKUP(E4&amp;"|"&amp;B4,
        Calculate_cap_ener!$I$14:$I$21&amp;"|"&amp;Calculate_cap_ener!$L$14:$L$21,
        Calculate_cap_ener!$AY$14:$AY$21, "Not found", 0),"HPl",_xlfn.XLOOKUP(E4&amp;"|"&amp;B4,
        Calculate_cap_ener!$I$14:$I$21&amp;"|"&amp;Calculate_cap_ener!$L$14:$L$21,
        Calculate_cap_ener!$BB$14:$BB$21, "Not found", 0),"Missing")</f>
        <v>86.552477269538329</v>
      </c>
      <c r="T4" s="5" cm="1">
        <f t="array" ref="T4">_xlfn.SWITCH(F4,"R",_xlfn.XLOOKUP(E4&amp;"|"&amp;B4,
        Calculate_cap_ener!$I$14:$I$21&amp;"|"&amp;Calculate_cap_ener!$L$14:$L$21,
        Calculate_cap_ener!$BE$14:$BE$21, "Not found", 0),"Rb",_xlfn.XLOOKUP(E4&amp;"|"&amp;B4,
        Calculate_cap_ener!$I$14:$I$21&amp;"|"&amp;Calculate_cap_ener!$L$14:$L$21,
        Calculate_cap_ener!$BG$14:$BG$21, "Not found", 0),"Rl",_xlfn.XLOOKUP(E4&amp;"|"&amp;B4,
        Calculate_cap_ener!$I$14:$I$21&amp;"|"&amp;Calculate_cap_ener!$L$14:$L$21,
        Calculate_cap_ener!$BH$14:$BH$21, "Not found", 0),"HP",_xlfn.XLOOKUP(E4&amp;"|"&amp;B4,
        Calculate_cap_ener!$I$14:$I$21&amp;"|"&amp;Calculate_cap_ener!$L$14:$L$21,
        Calculate_cap_ener!$BF$14:$BF$21, "Not found", 0),"HPl",_xlfn.XLOOKUP(E4&amp;"|"&amp;B4,
        Calculate_cap_ener!$I$14:$I$21&amp;"|"&amp;Calculate_cap_ener!$L$14:$L$21,
        Calculate_cap_ener!$BI$14:$BI$21, "Not found", 0),"Missing")</f>
        <v>0</v>
      </c>
    </row>
    <row r="5" spans="1:22" x14ac:dyDescent="0.25">
      <c r="A5" s="5" t="s">
        <v>6</v>
      </c>
      <c r="B5" s="5" t="str">
        <f t="shared" si="0"/>
        <v>Mass-H1</v>
      </c>
      <c r="C5" s="5" t="str">
        <f t="shared" si="1"/>
        <v>Mass</v>
      </c>
      <c r="D5" s="5" t="str">
        <f t="shared" si="2"/>
        <v>H1</v>
      </c>
      <c r="E5" s="5" t="s">
        <v>3</v>
      </c>
      <c r="F5" s="5" t="s">
        <v>13</v>
      </c>
      <c r="G5" s="5"/>
      <c r="H5" s="5"/>
      <c r="I5" s="5" cm="1">
        <f t="array" ref="I5">_xlfn.SWITCH(F5,"R",_xlfn.XLOOKUP(E5&amp;"|"&amp;B5,
        Calculate_cap_ener!$I$14:$I$21&amp;"|"&amp;Calculate_cap_ener!$L$14:$L$21,
        Calculate_cap_ener!$W$14:$W$21, "Not found", 0),"Rb",_xlfn.XLOOKUP(E5&amp;"|"&amp;B5,
        Calculate_cap_ener!$I$14:$I$21&amp;"|"&amp;Calculate_cap_ener!$L$14:$L$21,
        Calculate_cap_ener!$Y$14:$Y$21, "Not found", 0),"Rl",_xlfn.XLOOKUP(E5&amp;"|"&amp;B5,
        Calculate_cap_ener!$I$14:$I$21&amp;"|"&amp;Calculate_cap_ener!$L$14:$L$21,
        Calculate_cap_ener!$Z$14:$Z$21, "Not found", 0),0)</f>
        <v>7</v>
      </c>
      <c r="J5" s="5"/>
      <c r="K5" s="5"/>
      <c r="L5" s="5" cm="1">
        <f t="array" ref="L5">_xlfn.SWITCH(F5,"R",_xlfn.XLOOKUP(E5&amp;"|"&amp;B5,
        Calculate_cap_ener!$I$14:$I$21&amp;"|"&amp;Calculate_cap_ener!$L$14:$L$21,
        Calculate_cap_ener!$AC$14:$AC$21, "Not found", 0),"Rb",_xlfn.XLOOKUP(E5&amp;"|"&amp;B5,
        Calculate_cap_ener!$I$14:$I$21&amp;"|"&amp;Calculate_cap_ener!$L$14:$L$21,
        Calculate_cap_ener!$AE$14:$AE$21, "Not found", 0),"Rl",_xlfn.XLOOKUP(E5&amp;"|"&amp;B5,
        Calculate_cap_ener!$I$14:$I$21&amp;"|"&amp;Calculate_cap_ener!$L$14:$L$21,
        Calculate_cap_ener!$AF$14:$AF$21, "Not found", 0),"HP",_xlfn.XLOOKUP(E5&amp;"|"&amp;B5,
        Calculate_cap_ener!$I$14:$I$21&amp;"|"&amp;Calculate_cap_ener!$L$14:$L$21,
        Calculate_cap_ener!$AD$14:$AD$21, "Not found", 0),"HPl",_xlfn.XLOOKUP(E5&amp;"|"&amp;B5,
        Calculate_cap_ener!$I$14:$I$21&amp;"|"&amp;Calculate_cap_ener!$L$14:$L$21,
        Calculate_cap_ener!$AG$14:$AG$21, "Not found", 0),"Missing")</f>
        <v>19975.709705088429</v>
      </c>
      <c r="M5" s="5"/>
      <c r="N5" s="5"/>
      <c r="O5" s="5"/>
      <c r="P5" s="5"/>
      <c r="Q5" s="5" cm="1">
        <f t="array" ref="Q5">_xlfn.SWITCH(F5,"R",_xlfn.XLOOKUP(E5&amp;"|"&amp;B5,
        Calculate_cap_ener!$I$14:$I$21&amp;"|"&amp;Calculate_cap_ener!$L$14:$L$21,
        Calculate_cap_ener!$AJ$14:$AJ$21, "Not found", 0),"Rb",_xlfn.XLOOKUP(E5&amp;"|"&amp;B5,
        Calculate_cap_ener!$I$14:$I$21&amp;"|"&amp;Calculate_cap_ener!$L$14:$L$21,
        Calculate_cap_ener!$AL$14:$AL$21, "Not found", 0),"Rl",_xlfn.XLOOKUP(E5&amp;"|"&amp;B5,
        Calculate_cap_ener!$I$14:$I$21&amp;"|"&amp;Calculate_cap_ener!$L$14:$L$21,
        Calculate_cap_ener!$AM$14:$AM$21, "Not found", 0),"HP",_xlfn.XLOOKUP(E5&amp;"|"&amp;B5,
        Calculate_cap_ener!$I$14:$I$21&amp;"|"&amp;Calculate_cap_ener!$L$14:$L$21,
        Calculate_cap_ener!$AK$14:$AK$21, "Not found", 0),"HPl",_xlfn.XLOOKUP(E5&amp;"|"&amp;B5,
        Calculate_cap_ener!$I$14:$I$21&amp;"|"&amp;Calculate_cap_ener!$L$14:$L$21,
        Calculate_cap_ener!$AN$14:$AN$21, "Not found", 0),"Missing")</f>
        <v>728.39025102879009</v>
      </c>
      <c r="R5" s="5" cm="1">
        <f t="array" ref="R5">_xlfn.SWITCH(F5,"R",_xlfn.XLOOKUP(E5&amp;"|"&amp;B5,
        Calculate_cap_ener!$I$14:$I$21&amp;"|"&amp;Calculate_cap_ener!$L$14:$L$21,
        Calculate_cap_ener!$AQ$14:$AQ$21, "Not found", 0),"Rb",_xlfn.XLOOKUP(E5&amp;"|"&amp;B5,
        Calculate_cap_ener!$I$14:$I$21&amp;"|"&amp;Calculate_cap_ener!$L$14:$L$21,
        Calculate_cap_ener!$AS$14:$AS$21, "Not found", 0),"Rl",_xlfn.XLOOKUP(E5&amp;"|"&amp;B5,
        Calculate_cap_ener!$I$14:$I$21&amp;"|"&amp;Calculate_cap_ener!$L$14:$L$21,
        Calculate_cap_ener!$AT$14:$AT$21, "Not found", 0),"HP",_xlfn.XLOOKUP(E5&amp;"|"&amp;B5,
        Calculate_cap_ener!$I$14:$I$21&amp;"|"&amp;Calculate_cap_ener!$L$14:$L$21,
        Calculate_cap_ener!$AR$14:$AR$21, "Not found", 0),"HPl",_xlfn.XLOOKUP(E5&amp;"|"&amp;B5,
        Calculate_cap_ener!$I$14:$I$21&amp;"|"&amp;Calculate_cap_ener!$L$14:$L$21,
        Calculate_cap_ener!$AU$14:$AU$21, "Not found", 0),"Missing")</f>
        <v>14.557230127516119</v>
      </c>
      <c r="S5" s="5" cm="1">
        <f t="array" ref="S5">_xlfn.SWITCH(F5,"R",_xlfn.XLOOKUP(E5&amp;"|"&amp;B5,
        Calculate_cap_ener!$I$14:$I$21&amp;"|"&amp;Calculate_cap_ener!$L$14:$L$21,
        Calculate_cap_ener!$AX$14:$AX$21, "Not found", 0),"Rb",_xlfn.XLOOKUP(E5&amp;"|"&amp;B5,
        Calculate_cap_ener!$I$14:$I$21&amp;"|"&amp;Calculate_cap_ener!$L$14:$L$21,
        Calculate_cap_ener!$AZ$14:$AZ$21, "Not found", 0),"Rl",_xlfn.XLOOKUP(E5&amp;"|"&amp;B5,
        Calculate_cap_ener!$I$14:$I$21&amp;"|"&amp;Calculate_cap_ener!$L$14:$L$21,
        Calculate_cap_ener!$BA$14:$BA$21, "Not found", 0),"HP",_xlfn.XLOOKUP(E5&amp;"|"&amp;B5,
        Calculate_cap_ener!$I$14:$I$21&amp;"|"&amp;Calculate_cap_ener!$L$14:$L$21,
        Calculate_cap_ener!$AY$14:$AY$21, "Not found", 0),"HPl",_xlfn.XLOOKUP(E5&amp;"|"&amp;B5,
        Calculate_cap_ener!$I$14:$I$21&amp;"|"&amp;Calculate_cap_ener!$L$14:$L$21,
        Calculate_cap_ener!$BB$14:$BB$21, "Not found", 0),"Missing")</f>
        <v>86.552477269538329</v>
      </c>
      <c r="T5" s="5" cm="1">
        <f t="array" ref="T5">_xlfn.SWITCH(F5,"R",_xlfn.XLOOKUP(E5&amp;"|"&amp;B5,
        Calculate_cap_ener!$I$14:$I$21&amp;"|"&amp;Calculate_cap_ener!$L$14:$L$21,
        Calculate_cap_ener!$BE$14:$BE$21, "Not found", 0),"Rb",_xlfn.XLOOKUP(E5&amp;"|"&amp;B5,
        Calculate_cap_ener!$I$14:$I$21&amp;"|"&amp;Calculate_cap_ener!$L$14:$L$21,
        Calculate_cap_ener!$BG$14:$BG$21, "Not found", 0),"Rl",_xlfn.XLOOKUP(E5&amp;"|"&amp;B5,
        Calculate_cap_ener!$I$14:$I$21&amp;"|"&amp;Calculate_cap_ener!$L$14:$L$21,
        Calculate_cap_ener!$BH$14:$BH$21, "Not found", 0),"HP",_xlfn.XLOOKUP(E5&amp;"|"&amp;B5,
        Calculate_cap_ener!$I$14:$I$21&amp;"|"&amp;Calculate_cap_ener!$L$14:$L$21,
        Calculate_cap_ener!$BF$14:$BF$21, "Not found", 0),"HPl",_xlfn.XLOOKUP(E5&amp;"|"&amp;B5,
        Calculate_cap_ener!$I$14:$I$21&amp;"|"&amp;Calculate_cap_ener!$L$14:$L$21,
        Calculate_cap_ener!$BI$14:$BI$21, "Not found", 0),"Missing")</f>
        <v>0</v>
      </c>
    </row>
    <row r="6" spans="1:22" x14ac:dyDescent="0.25">
      <c r="A6" s="5" t="s">
        <v>7</v>
      </c>
      <c r="B6" s="5" t="str">
        <f t="shared" si="0"/>
        <v>Mod-Nom</v>
      </c>
      <c r="C6" s="5" t="str">
        <f t="shared" si="1"/>
        <v>Mod</v>
      </c>
      <c r="D6" s="5" t="str">
        <f t="shared" si="2"/>
        <v>Nom</v>
      </c>
      <c r="E6" s="5" t="s">
        <v>3</v>
      </c>
      <c r="F6" s="5" t="s">
        <v>13</v>
      </c>
      <c r="G6" s="5"/>
      <c r="H6" s="5"/>
      <c r="I6" s="5" cm="1">
        <f t="array" ref="I6">_xlfn.SWITCH(F6,"R",_xlfn.XLOOKUP(E6&amp;"|"&amp;B6,
        Calculate_cap_ener!$I$14:$I$21&amp;"|"&amp;Calculate_cap_ener!$L$14:$L$21,
        Calculate_cap_ener!$W$14:$W$21, "Not found", 0),"Rb",_xlfn.XLOOKUP(E6&amp;"|"&amp;B6,
        Calculate_cap_ener!$I$14:$I$21&amp;"|"&amp;Calculate_cap_ener!$L$14:$L$21,
        Calculate_cap_ener!$Y$14:$Y$21, "Not found", 0),"Rl",_xlfn.XLOOKUP(E6&amp;"|"&amp;B6,
        Calculate_cap_ener!$I$14:$I$21&amp;"|"&amp;Calculate_cap_ener!$L$14:$L$21,
        Calculate_cap_ener!$Z$14:$Z$21, "Not found", 0),0)</f>
        <v>12</v>
      </c>
      <c r="J6" s="5"/>
      <c r="K6" s="5"/>
      <c r="L6" s="5" cm="1">
        <f t="array" ref="L6">_xlfn.SWITCH(F6,"R",_xlfn.XLOOKUP(E6&amp;"|"&amp;B6,
        Calculate_cap_ener!$I$14:$I$21&amp;"|"&amp;Calculate_cap_ener!$L$14:$L$21,
        Calculate_cap_ener!$AC$14:$AC$21, "Not found", 0),"Rb",_xlfn.XLOOKUP(E6&amp;"|"&amp;B6,
        Calculate_cap_ener!$I$14:$I$21&amp;"|"&amp;Calculate_cap_ener!$L$14:$L$21,
        Calculate_cap_ener!$AE$14:$AE$21, "Not found", 0),"Rl",_xlfn.XLOOKUP(E6&amp;"|"&amp;B6,
        Calculate_cap_ener!$I$14:$I$21&amp;"|"&amp;Calculate_cap_ener!$L$14:$L$21,
        Calculate_cap_ener!$AF$14:$AF$21, "Not found", 0),"HP",_xlfn.XLOOKUP(E6&amp;"|"&amp;B6,
        Calculate_cap_ener!$I$14:$I$21&amp;"|"&amp;Calculate_cap_ener!$L$14:$L$21,
        Calculate_cap_ener!$AD$14:$AD$21, "Not found", 0),"HPl",_xlfn.XLOOKUP(E6&amp;"|"&amp;B6,
        Calculate_cap_ener!$I$14:$I$21&amp;"|"&amp;Calculate_cap_ener!$L$14:$L$21,
        Calculate_cap_ener!$AG$14:$AG$21, "Not found", 0),"Missing")</f>
        <v>33702.645041284981</v>
      </c>
      <c r="M6" s="5"/>
      <c r="N6" s="5"/>
      <c r="O6" s="5"/>
      <c r="P6" s="5"/>
      <c r="Q6" s="5" cm="1">
        <f t="array" ref="Q6">_xlfn.SWITCH(F6,"R",_xlfn.XLOOKUP(E6&amp;"|"&amp;B6,
        Calculate_cap_ener!$I$14:$I$21&amp;"|"&amp;Calculate_cap_ener!$L$14:$L$21,
        Calculate_cap_ener!$AJ$14:$AJ$21, "Not found", 0),"Rb",_xlfn.XLOOKUP(E6&amp;"|"&amp;B6,
        Calculate_cap_ener!$I$14:$I$21&amp;"|"&amp;Calculate_cap_ener!$L$14:$L$21,
        Calculate_cap_ener!$AL$14:$AL$21, "Not found", 0),"Rl",_xlfn.XLOOKUP(E6&amp;"|"&amp;B6,
        Calculate_cap_ener!$I$14:$I$21&amp;"|"&amp;Calculate_cap_ener!$L$14:$L$21,
        Calculate_cap_ener!$AM$14:$AM$21, "Not found", 0),"HP",_xlfn.XLOOKUP(E6&amp;"|"&amp;B6,
        Calculate_cap_ener!$I$14:$I$21&amp;"|"&amp;Calculate_cap_ener!$L$14:$L$21,
        Calculate_cap_ener!$AK$14:$AK$21, "Not found", 0),"HPl",_xlfn.XLOOKUP(E6&amp;"|"&amp;B6,
        Calculate_cap_ener!$I$14:$I$21&amp;"|"&amp;Calculate_cap_ener!$L$14:$L$21,
        Calculate_cap_ener!$AN$14:$AN$21, "Not found", 0),"Missing")</f>
        <v>1235.1893078107803</v>
      </c>
      <c r="R6" s="5" cm="1">
        <f t="array" ref="R6">_xlfn.SWITCH(F6,"R",_xlfn.XLOOKUP(E6&amp;"|"&amp;B6,
        Calculate_cap_ener!$I$14:$I$21&amp;"|"&amp;Calculate_cap_ener!$L$14:$L$21,
        Calculate_cap_ener!$AQ$14:$AQ$21, "Not found", 0),"Rb",_xlfn.XLOOKUP(E6&amp;"|"&amp;B6,
        Calculate_cap_ener!$I$14:$I$21&amp;"|"&amp;Calculate_cap_ener!$L$14:$L$21,
        Calculate_cap_ener!$AS$14:$AS$21, "Not found", 0),"Rl",_xlfn.XLOOKUP(E6&amp;"|"&amp;B6,
        Calculate_cap_ener!$I$14:$I$21&amp;"|"&amp;Calculate_cap_ener!$L$14:$L$21,
        Calculate_cap_ener!$AT$14:$AT$21, "Not found", 0),"HP",_xlfn.XLOOKUP(E6&amp;"|"&amp;B6,
        Calculate_cap_ener!$I$14:$I$21&amp;"|"&amp;Calculate_cap_ener!$L$14:$L$21,
        Calculate_cap_ener!$AR$14:$AR$21, "Not found", 0),"HPl",_xlfn.XLOOKUP(E6&amp;"|"&amp;B6,
        Calculate_cap_ener!$I$14:$I$21&amp;"|"&amp;Calculate_cap_ener!$L$14:$L$21,
        Calculate_cap_ener!$AU$14:$AU$21, "Not found", 0),"Missing")</f>
        <v>24.538809881831291</v>
      </c>
      <c r="S6" s="5" cm="1">
        <f t="array" ref="S6">_xlfn.SWITCH(F6,"R",_xlfn.XLOOKUP(E6&amp;"|"&amp;B6,
        Calculate_cap_ener!$I$14:$I$21&amp;"|"&amp;Calculate_cap_ener!$L$14:$L$21,
        Calculate_cap_ener!$AX$14:$AX$21, "Not found", 0),"Rb",_xlfn.XLOOKUP(E6&amp;"|"&amp;B6,
        Calculate_cap_ener!$I$14:$I$21&amp;"|"&amp;Calculate_cap_ener!$L$14:$L$21,
        Calculate_cap_ener!$AZ$14:$AZ$21, "Not found", 0),"Rl",_xlfn.XLOOKUP(E6&amp;"|"&amp;B6,
        Calculate_cap_ener!$I$14:$I$21&amp;"|"&amp;Calculate_cap_ener!$L$14:$L$21,
        Calculate_cap_ener!$BA$14:$BA$21, "Not found", 0),"HP",_xlfn.XLOOKUP(E6&amp;"|"&amp;B6,
        Calculate_cap_ener!$I$14:$I$21&amp;"|"&amp;Calculate_cap_ener!$L$14:$L$21,
        Calculate_cap_ener!$AY$14:$AY$21, "Not found", 0),"HPl",_xlfn.XLOOKUP(E6&amp;"|"&amp;B6,
        Calculate_cap_ener!$I$14:$I$21&amp;"|"&amp;Calculate_cap_ener!$L$14:$L$21,
        Calculate_cap_ener!$BB$14:$BB$21, "Not found", 0),"Missing")</f>
        <v>145.51024782316483</v>
      </c>
      <c r="T6" s="5" cm="1">
        <f t="array" ref="T6">_xlfn.SWITCH(F6,"R",_xlfn.XLOOKUP(E6&amp;"|"&amp;B6,
        Calculate_cap_ener!$I$14:$I$21&amp;"|"&amp;Calculate_cap_ener!$L$14:$L$21,
        Calculate_cap_ener!$BE$14:$BE$21, "Not found", 0),"Rb",_xlfn.XLOOKUP(E6&amp;"|"&amp;B6,
        Calculate_cap_ener!$I$14:$I$21&amp;"|"&amp;Calculate_cap_ener!$L$14:$L$21,
        Calculate_cap_ener!$BG$14:$BG$21, "Not found", 0),"Rl",_xlfn.XLOOKUP(E6&amp;"|"&amp;B6,
        Calculate_cap_ener!$I$14:$I$21&amp;"|"&amp;Calculate_cap_ener!$L$14:$L$21,
        Calculate_cap_ener!$BH$14:$BH$21, "Not found", 0),"HP",_xlfn.XLOOKUP(E6&amp;"|"&amp;B6,
        Calculate_cap_ener!$I$14:$I$21&amp;"|"&amp;Calculate_cap_ener!$L$14:$L$21,
        Calculate_cap_ener!$BF$14:$BF$21, "Not found", 0),"HPl",_xlfn.XLOOKUP(E6&amp;"|"&amp;B6,
        Calculate_cap_ener!$I$14:$I$21&amp;"|"&amp;Calculate_cap_ener!$L$14:$L$21,
        Calculate_cap_ener!$BI$14:$BI$21, "Not found", 0),"Missing")</f>
        <v>0</v>
      </c>
    </row>
    <row r="7" spans="1:22" x14ac:dyDescent="0.25">
      <c r="A7" s="5" t="s">
        <v>8</v>
      </c>
      <c r="B7" s="5" t="str">
        <f t="shared" si="0"/>
        <v>Mod-Nom</v>
      </c>
      <c r="C7" s="5" t="str">
        <f t="shared" si="1"/>
        <v>Mod</v>
      </c>
      <c r="D7" s="5" t="str">
        <f t="shared" si="2"/>
        <v>Nom</v>
      </c>
      <c r="E7" s="5" t="s">
        <v>3</v>
      </c>
      <c r="F7" s="5" t="s">
        <v>13</v>
      </c>
      <c r="G7" s="5"/>
      <c r="H7" s="5"/>
      <c r="I7" s="5" cm="1">
        <f t="array" ref="I7">_xlfn.SWITCH(F7,"R",_xlfn.XLOOKUP(E7&amp;"|"&amp;B7,
        Calculate_cap_ener!$I$14:$I$21&amp;"|"&amp;Calculate_cap_ener!$L$14:$L$21,
        Calculate_cap_ener!$W$14:$W$21, "Not found", 0),"Rb",_xlfn.XLOOKUP(E7&amp;"|"&amp;B7,
        Calculate_cap_ener!$I$14:$I$21&amp;"|"&amp;Calculate_cap_ener!$L$14:$L$21,
        Calculate_cap_ener!$Y$14:$Y$21, "Not found", 0),"Rl",_xlfn.XLOOKUP(E7&amp;"|"&amp;B7,
        Calculate_cap_ener!$I$14:$I$21&amp;"|"&amp;Calculate_cap_ener!$L$14:$L$21,
        Calculate_cap_ener!$Z$14:$Z$21, "Not found", 0),0)</f>
        <v>12</v>
      </c>
      <c r="J7" s="5"/>
      <c r="K7" s="5"/>
      <c r="L7" s="5" cm="1">
        <f t="array" ref="L7">_xlfn.SWITCH(F7,"R",_xlfn.XLOOKUP(E7&amp;"|"&amp;B7,
        Calculate_cap_ener!$I$14:$I$21&amp;"|"&amp;Calculate_cap_ener!$L$14:$L$21,
        Calculate_cap_ener!$AC$14:$AC$21, "Not found", 0),"Rb",_xlfn.XLOOKUP(E7&amp;"|"&amp;B7,
        Calculate_cap_ener!$I$14:$I$21&amp;"|"&amp;Calculate_cap_ener!$L$14:$L$21,
        Calculate_cap_ener!$AE$14:$AE$21, "Not found", 0),"Rl",_xlfn.XLOOKUP(E7&amp;"|"&amp;B7,
        Calculate_cap_ener!$I$14:$I$21&amp;"|"&amp;Calculate_cap_ener!$L$14:$L$21,
        Calculate_cap_ener!$AF$14:$AF$21, "Not found", 0),"HP",_xlfn.XLOOKUP(E7&amp;"|"&amp;B7,
        Calculate_cap_ener!$I$14:$I$21&amp;"|"&amp;Calculate_cap_ener!$L$14:$L$21,
        Calculate_cap_ener!$AD$14:$AD$21, "Not found", 0),"HPl",_xlfn.XLOOKUP(E7&amp;"|"&amp;B7,
        Calculate_cap_ener!$I$14:$I$21&amp;"|"&amp;Calculate_cap_ener!$L$14:$L$21,
        Calculate_cap_ener!$AG$14:$AG$21, "Not found", 0),"Missing")</f>
        <v>33702.645041284981</v>
      </c>
      <c r="M7" s="5"/>
      <c r="N7" s="5"/>
      <c r="O7" s="5"/>
      <c r="P7" s="5"/>
      <c r="Q7" s="5" cm="1">
        <f t="array" ref="Q7">_xlfn.SWITCH(F7,"R",_xlfn.XLOOKUP(E7&amp;"|"&amp;B7,
        Calculate_cap_ener!$I$14:$I$21&amp;"|"&amp;Calculate_cap_ener!$L$14:$L$21,
        Calculate_cap_ener!$AJ$14:$AJ$21, "Not found", 0),"Rb",_xlfn.XLOOKUP(E7&amp;"|"&amp;B7,
        Calculate_cap_ener!$I$14:$I$21&amp;"|"&amp;Calculate_cap_ener!$L$14:$L$21,
        Calculate_cap_ener!$AL$14:$AL$21, "Not found", 0),"Rl",_xlfn.XLOOKUP(E7&amp;"|"&amp;B7,
        Calculate_cap_ener!$I$14:$I$21&amp;"|"&amp;Calculate_cap_ener!$L$14:$L$21,
        Calculate_cap_ener!$AM$14:$AM$21, "Not found", 0),"HP",_xlfn.XLOOKUP(E7&amp;"|"&amp;B7,
        Calculate_cap_ener!$I$14:$I$21&amp;"|"&amp;Calculate_cap_ener!$L$14:$L$21,
        Calculate_cap_ener!$AK$14:$AK$21, "Not found", 0),"HPl",_xlfn.XLOOKUP(E7&amp;"|"&amp;B7,
        Calculate_cap_ener!$I$14:$I$21&amp;"|"&amp;Calculate_cap_ener!$L$14:$L$21,
        Calculate_cap_ener!$AN$14:$AN$21, "Not found", 0),"Missing")</f>
        <v>1235.1893078107803</v>
      </c>
      <c r="R7" s="5" cm="1">
        <f t="array" ref="R7">_xlfn.SWITCH(F7,"R",_xlfn.XLOOKUP(E7&amp;"|"&amp;B7,
        Calculate_cap_ener!$I$14:$I$21&amp;"|"&amp;Calculate_cap_ener!$L$14:$L$21,
        Calculate_cap_ener!$AQ$14:$AQ$21, "Not found", 0),"Rb",_xlfn.XLOOKUP(E7&amp;"|"&amp;B7,
        Calculate_cap_ener!$I$14:$I$21&amp;"|"&amp;Calculate_cap_ener!$L$14:$L$21,
        Calculate_cap_ener!$AS$14:$AS$21, "Not found", 0),"Rl",_xlfn.XLOOKUP(E7&amp;"|"&amp;B7,
        Calculate_cap_ener!$I$14:$I$21&amp;"|"&amp;Calculate_cap_ener!$L$14:$L$21,
        Calculate_cap_ener!$AT$14:$AT$21, "Not found", 0),"HP",_xlfn.XLOOKUP(E7&amp;"|"&amp;B7,
        Calculate_cap_ener!$I$14:$I$21&amp;"|"&amp;Calculate_cap_ener!$L$14:$L$21,
        Calculate_cap_ener!$AR$14:$AR$21, "Not found", 0),"HPl",_xlfn.XLOOKUP(E7&amp;"|"&amp;B7,
        Calculate_cap_ener!$I$14:$I$21&amp;"|"&amp;Calculate_cap_ener!$L$14:$L$21,
        Calculate_cap_ener!$AU$14:$AU$21, "Not found", 0),"Missing")</f>
        <v>24.538809881831291</v>
      </c>
      <c r="S7" s="5" cm="1">
        <f t="array" ref="S7">_xlfn.SWITCH(F7,"R",_xlfn.XLOOKUP(E7&amp;"|"&amp;B7,
        Calculate_cap_ener!$I$14:$I$21&amp;"|"&amp;Calculate_cap_ener!$L$14:$L$21,
        Calculate_cap_ener!$AX$14:$AX$21, "Not found", 0),"Rb",_xlfn.XLOOKUP(E7&amp;"|"&amp;B7,
        Calculate_cap_ener!$I$14:$I$21&amp;"|"&amp;Calculate_cap_ener!$L$14:$L$21,
        Calculate_cap_ener!$AZ$14:$AZ$21, "Not found", 0),"Rl",_xlfn.XLOOKUP(E7&amp;"|"&amp;B7,
        Calculate_cap_ener!$I$14:$I$21&amp;"|"&amp;Calculate_cap_ener!$L$14:$L$21,
        Calculate_cap_ener!$BA$14:$BA$21, "Not found", 0),"HP",_xlfn.XLOOKUP(E7&amp;"|"&amp;B7,
        Calculate_cap_ener!$I$14:$I$21&amp;"|"&amp;Calculate_cap_ener!$L$14:$L$21,
        Calculate_cap_ener!$AY$14:$AY$21, "Not found", 0),"HPl",_xlfn.XLOOKUP(E7&amp;"|"&amp;B7,
        Calculate_cap_ener!$I$14:$I$21&amp;"|"&amp;Calculate_cap_ener!$L$14:$L$21,
        Calculate_cap_ener!$BB$14:$BB$21, "Not found", 0),"Missing")</f>
        <v>145.51024782316483</v>
      </c>
      <c r="T7" s="5" cm="1">
        <f t="array" ref="T7">_xlfn.SWITCH(F7,"R",_xlfn.XLOOKUP(E7&amp;"|"&amp;B7,
        Calculate_cap_ener!$I$14:$I$21&amp;"|"&amp;Calculate_cap_ener!$L$14:$L$21,
        Calculate_cap_ener!$BE$14:$BE$21, "Not found", 0),"Rb",_xlfn.XLOOKUP(E7&amp;"|"&amp;B7,
        Calculate_cap_ener!$I$14:$I$21&amp;"|"&amp;Calculate_cap_ener!$L$14:$L$21,
        Calculate_cap_ener!$BG$14:$BG$21, "Not found", 0),"Rl",_xlfn.XLOOKUP(E7&amp;"|"&amp;B7,
        Calculate_cap_ener!$I$14:$I$21&amp;"|"&amp;Calculate_cap_ener!$L$14:$L$21,
        Calculate_cap_ener!$BH$14:$BH$21, "Not found", 0),"HP",_xlfn.XLOOKUP(E7&amp;"|"&amp;B7,
        Calculate_cap_ener!$I$14:$I$21&amp;"|"&amp;Calculate_cap_ener!$L$14:$L$21,
        Calculate_cap_ener!$BF$14:$BF$21, "Not found", 0),"HPl",_xlfn.XLOOKUP(E7&amp;"|"&amp;B7,
        Calculate_cap_ener!$I$14:$I$21&amp;"|"&amp;Calculate_cap_ener!$L$14:$L$21,
        Calculate_cap_ener!$BI$14:$BI$21, "Not found", 0),"Missing")</f>
        <v>0</v>
      </c>
    </row>
    <row r="8" spans="1:22" x14ac:dyDescent="0.25">
      <c r="A8" s="5" t="s">
        <v>9</v>
      </c>
      <c r="B8" s="5" t="str">
        <f t="shared" si="0"/>
        <v>Mod-H1</v>
      </c>
      <c r="C8" s="5" t="str">
        <f t="shared" si="1"/>
        <v>Mod</v>
      </c>
      <c r="D8" s="5" t="str">
        <f t="shared" si="2"/>
        <v>H1</v>
      </c>
      <c r="E8" s="5" t="s">
        <v>3</v>
      </c>
      <c r="F8" s="5" t="s">
        <v>13</v>
      </c>
      <c r="G8" s="5"/>
      <c r="H8" s="5"/>
      <c r="I8" s="5" cm="1">
        <f t="array" ref="I8">_xlfn.SWITCH(F8,"R",_xlfn.XLOOKUP(E8&amp;"|"&amp;B8,
        Calculate_cap_ener!$I$14:$I$21&amp;"|"&amp;Calculate_cap_ener!$L$14:$L$21,
        Calculate_cap_ener!$W$14:$W$21, "Not found", 0),"Rb",_xlfn.XLOOKUP(E8&amp;"|"&amp;B8,
        Calculate_cap_ener!$I$14:$I$21&amp;"|"&amp;Calculate_cap_ener!$L$14:$L$21,
        Calculate_cap_ener!$Y$14:$Y$21, "Not found", 0),"Rl",_xlfn.XLOOKUP(E8&amp;"|"&amp;B8,
        Calculate_cap_ener!$I$14:$I$21&amp;"|"&amp;Calculate_cap_ener!$L$14:$L$21,
        Calculate_cap_ener!$Z$14:$Z$21, "Not found", 0),0)</f>
        <v>8.5</v>
      </c>
      <c r="J8" s="5"/>
      <c r="K8" s="5"/>
      <c r="L8" s="5" cm="1">
        <f t="array" ref="L8">_xlfn.SWITCH(F8,"R",_xlfn.XLOOKUP(E8&amp;"|"&amp;B8,
        Calculate_cap_ener!$I$14:$I$21&amp;"|"&amp;Calculate_cap_ener!$L$14:$L$21,
        Calculate_cap_ener!$AC$14:$AC$21, "Not found", 0),"Rb",_xlfn.XLOOKUP(E8&amp;"|"&amp;B8,
        Calculate_cap_ener!$I$14:$I$21&amp;"|"&amp;Calculate_cap_ener!$L$14:$L$21,
        Calculate_cap_ener!$AE$14:$AE$21, "Not found", 0),"Rl",_xlfn.XLOOKUP(E8&amp;"|"&amp;B8,
        Calculate_cap_ener!$I$14:$I$21&amp;"|"&amp;Calculate_cap_ener!$L$14:$L$21,
        Calculate_cap_ener!$AF$14:$AF$21, "Not found", 0),"HP",_xlfn.XLOOKUP(E8&amp;"|"&amp;B8,
        Calculate_cap_ener!$I$14:$I$21&amp;"|"&amp;Calculate_cap_ener!$L$14:$L$21,
        Calculate_cap_ener!$AD$14:$AD$21, "Not found", 0),"HPl",_xlfn.XLOOKUP(E8&amp;"|"&amp;B8,
        Calculate_cap_ener!$I$14:$I$21&amp;"|"&amp;Calculate_cap_ener!$L$14:$L$21,
        Calculate_cap_ener!$AG$14:$AG$21, "Not found", 0),"Missing")</f>
        <v>23714.790188740768</v>
      </c>
      <c r="M8" s="5"/>
      <c r="N8" s="5"/>
      <c r="O8" s="5"/>
      <c r="P8" s="5"/>
      <c r="Q8" s="5" cm="1">
        <f t="array" ref="Q8">_xlfn.SWITCH(F8,"R",_xlfn.XLOOKUP(E8&amp;"|"&amp;B8,
        Calculate_cap_ener!$I$14:$I$21&amp;"|"&amp;Calculate_cap_ener!$L$14:$L$21,
        Calculate_cap_ener!$AJ$14:$AJ$21, "Not found", 0),"Rb",_xlfn.XLOOKUP(E8&amp;"|"&amp;B8,
        Calculate_cap_ener!$I$14:$I$21&amp;"|"&amp;Calculate_cap_ener!$L$14:$L$21,
        Calculate_cap_ener!$AL$14:$AL$21, "Not found", 0),"Rl",_xlfn.XLOOKUP(E8&amp;"|"&amp;B8,
        Calculate_cap_ener!$I$14:$I$21&amp;"|"&amp;Calculate_cap_ener!$L$14:$L$21,
        Calculate_cap_ener!$AM$14:$AM$21, "Not found", 0),"HP",_xlfn.XLOOKUP(E8&amp;"|"&amp;B8,
        Calculate_cap_ener!$I$14:$I$21&amp;"|"&amp;Calculate_cap_ener!$L$14:$L$21,
        Calculate_cap_ener!$AK$14:$AK$21, "Not found", 0),"HPl",_xlfn.XLOOKUP(E8&amp;"|"&amp;B8,
        Calculate_cap_ener!$I$14:$I$21&amp;"|"&amp;Calculate_cap_ener!$L$14:$L$21,
        Calculate_cap_ener!$AN$14:$AN$21, "Not found", 0),"Missing")</f>
        <v>870.99418229638513</v>
      </c>
      <c r="R8" s="5" cm="1">
        <f t="array" ref="R8">_xlfn.SWITCH(F8,"R",_xlfn.XLOOKUP(E8&amp;"|"&amp;B8,
        Calculate_cap_ener!$I$14:$I$21&amp;"|"&amp;Calculate_cap_ener!$L$14:$L$21,
        Calculate_cap_ener!$AQ$14:$AQ$21, "Not found", 0),"Rb",_xlfn.XLOOKUP(E8&amp;"|"&amp;B8,
        Calculate_cap_ener!$I$14:$I$21&amp;"|"&amp;Calculate_cap_ener!$L$14:$L$21,
        Calculate_cap_ener!$AS$14:$AS$21, "Not found", 0),"Rl",_xlfn.XLOOKUP(E8&amp;"|"&amp;B8,
        Calculate_cap_ener!$I$14:$I$21&amp;"|"&amp;Calculate_cap_ener!$L$14:$L$21,
        Calculate_cap_ener!$AT$14:$AT$21, "Not found", 0),"HP",_xlfn.XLOOKUP(E8&amp;"|"&amp;B8,
        Calculate_cap_ener!$I$14:$I$21&amp;"|"&amp;Calculate_cap_ener!$L$14:$L$21,
        Calculate_cap_ener!$AR$14:$AR$21, "Not found", 0),"HPl",_xlfn.XLOOKUP(E8&amp;"|"&amp;B8,
        Calculate_cap_ener!$I$14:$I$21&amp;"|"&amp;Calculate_cap_ener!$L$14:$L$21,
        Calculate_cap_ener!$AU$14:$AU$21, "Not found", 0),"Missing")</f>
        <v>17.260194818073234</v>
      </c>
      <c r="S8" s="5" cm="1">
        <f t="array" ref="S8">_xlfn.SWITCH(F8,"R",_xlfn.XLOOKUP(E8&amp;"|"&amp;B8,
        Calculate_cap_ener!$I$14:$I$21&amp;"|"&amp;Calculate_cap_ener!$L$14:$L$21,
        Calculate_cap_ener!$AX$14:$AX$21, "Not found", 0),"Rb",_xlfn.XLOOKUP(E8&amp;"|"&amp;B8,
        Calculate_cap_ener!$I$14:$I$21&amp;"|"&amp;Calculate_cap_ener!$L$14:$L$21,
        Calculate_cap_ener!$AZ$14:$AZ$21, "Not found", 0),"Rl",_xlfn.XLOOKUP(E8&amp;"|"&amp;B8,
        Calculate_cap_ener!$I$14:$I$21&amp;"|"&amp;Calculate_cap_ener!$L$14:$L$21,
        Calculate_cap_ener!$BA$14:$BA$21, "Not found", 0),"HP",_xlfn.XLOOKUP(E8&amp;"|"&amp;B8,
        Calculate_cap_ener!$I$14:$I$21&amp;"|"&amp;Calculate_cap_ener!$L$14:$L$21,
        Calculate_cap_ener!$AY$14:$AY$21, "Not found", 0),"HPl",_xlfn.XLOOKUP(E8&amp;"|"&amp;B8,
        Calculate_cap_ener!$I$14:$I$21&amp;"|"&amp;Calculate_cap_ener!$L$14:$L$21,
        Calculate_cap_ener!$BB$14:$BB$21, "Not found", 0),"Missing")</f>
        <v>102.23400918839566</v>
      </c>
      <c r="T8" s="5" cm="1">
        <f t="array" ref="T8">_xlfn.SWITCH(F8,"R",_xlfn.XLOOKUP(E8&amp;"|"&amp;B8,
        Calculate_cap_ener!$I$14:$I$21&amp;"|"&amp;Calculate_cap_ener!$L$14:$L$21,
        Calculate_cap_ener!$BE$14:$BE$21, "Not found", 0),"Rb",_xlfn.XLOOKUP(E8&amp;"|"&amp;B8,
        Calculate_cap_ener!$I$14:$I$21&amp;"|"&amp;Calculate_cap_ener!$L$14:$L$21,
        Calculate_cap_ener!$BG$14:$BG$21, "Not found", 0),"Rl",_xlfn.XLOOKUP(E8&amp;"|"&amp;B8,
        Calculate_cap_ener!$I$14:$I$21&amp;"|"&amp;Calculate_cap_ener!$L$14:$L$21,
        Calculate_cap_ener!$BH$14:$BH$21, "Not found", 0),"HP",_xlfn.XLOOKUP(E8&amp;"|"&amp;B8,
        Calculate_cap_ener!$I$14:$I$21&amp;"|"&amp;Calculate_cap_ener!$L$14:$L$21,
        Calculate_cap_ener!$BF$14:$BF$21, "Not found", 0),"HPl",_xlfn.XLOOKUP(E8&amp;"|"&amp;B8,
        Calculate_cap_ener!$I$14:$I$21&amp;"|"&amp;Calculate_cap_ener!$L$14:$L$21,
        Calculate_cap_ener!$BI$14:$BI$21, "Not found", 0),"Missing")</f>
        <v>0</v>
      </c>
    </row>
    <row r="9" spans="1:22" x14ac:dyDescent="0.25">
      <c r="A9" s="5" t="s">
        <v>10</v>
      </c>
      <c r="B9" s="5" t="str">
        <f t="shared" si="0"/>
        <v>Mod-H1</v>
      </c>
      <c r="C9" s="5" t="str">
        <f t="shared" si="1"/>
        <v>Mod</v>
      </c>
      <c r="D9" s="5" t="str">
        <f t="shared" si="2"/>
        <v>H1</v>
      </c>
      <c r="E9" s="5" t="s">
        <v>3</v>
      </c>
      <c r="F9" s="5" t="s">
        <v>13</v>
      </c>
      <c r="G9" s="5"/>
      <c r="H9" s="5"/>
      <c r="I9" s="5" cm="1">
        <f t="array" ref="I9">_xlfn.SWITCH(F9,"R",_xlfn.XLOOKUP(E9&amp;"|"&amp;B9,
        Calculate_cap_ener!$I$14:$I$21&amp;"|"&amp;Calculate_cap_ener!$L$14:$L$21,
        Calculate_cap_ener!$W$14:$W$21, "Not found", 0),"Rb",_xlfn.XLOOKUP(E9&amp;"|"&amp;B9,
        Calculate_cap_ener!$I$14:$I$21&amp;"|"&amp;Calculate_cap_ener!$L$14:$L$21,
        Calculate_cap_ener!$Y$14:$Y$21, "Not found", 0),"Rl",_xlfn.XLOOKUP(E9&amp;"|"&amp;B9,
        Calculate_cap_ener!$I$14:$I$21&amp;"|"&amp;Calculate_cap_ener!$L$14:$L$21,
        Calculate_cap_ener!$Z$14:$Z$21, "Not found", 0),0)</f>
        <v>8.5</v>
      </c>
      <c r="J9" s="5"/>
      <c r="K9" s="5"/>
      <c r="L9" s="5" cm="1">
        <f t="array" ref="L9">_xlfn.SWITCH(F9,"R",_xlfn.XLOOKUP(E9&amp;"|"&amp;B9,
        Calculate_cap_ener!$I$14:$I$21&amp;"|"&amp;Calculate_cap_ener!$L$14:$L$21,
        Calculate_cap_ener!$AC$14:$AC$21, "Not found", 0),"Rb",_xlfn.XLOOKUP(E9&amp;"|"&amp;B9,
        Calculate_cap_ener!$I$14:$I$21&amp;"|"&amp;Calculate_cap_ener!$L$14:$L$21,
        Calculate_cap_ener!$AE$14:$AE$21, "Not found", 0),"Rl",_xlfn.XLOOKUP(E9&amp;"|"&amp;B9,
        Calculate_cap_ener!$I$14:$I$21&amp;"|"&amp;Calculate_cap_ener!$L$14:$L$21,
        Calculate_cap_ener!$AF$14:$AF$21, "Not found", 0),"HP",_xlfn.XLOOKUP(E9&amp;"|"&amp;B9,
        Calculate_cap_ener!$I$14:$I$21&amp;"|"&amp;Calculate_cap_ener!$L$14:$L$21,
        Calculate_cap_ener!$AD$14:$AD$21, "Not found", 0),"HPl",_xlfn.XLOOKUP(E9&amp;"|"&amp;B9,
        Calculate_cap_ener!$I$14:$I$21&amp;"|"&amp;Calculate_cap_ener!$L$14:$L$21,
        Calculate_cap_ener!$AG$14:$AG$21, "Not found", 0),"Missing")</f>
        <v>23714.790188740768</v>
      </c>
      <c r="M9" s="5"/>
      <c r="N9" s="5"/>
      <c r="O9" s="5"/>
      <c r="P9" s="5"/>
      <c r="Q9" s="5" cm="1">
        <f t="array" ref="Q9">_xlfn.SWITCH(F9,"R",_xlfn.XLOOKUP(E9&amp;"|"&amp;B9,
        Calculate_cap_ener!$I$14:$I$21&amp;"|"&amp;Calculate_cap_ener!$L$14:$L$21,
        Calculate_cap_ener!$AJ$14:$AJ$21, "Not found", 0),"Rb",_xlfn.XLOOKUP(E9&amp;"|"&amp;B9,
        Calculate_cap_ener!$I$14:$I$21&amp;"|"&amp;Calculate_cap_ener!$L$14:$L$21,
        Calculate_cap_ener!$AL$14:$AL$21, "Not found", 0),"Rl",_xlfn.XLOOKUP(E9&amp;"|"&amp;B9,
        Calculate_cap_ener!$I$14:$I$21&amp;"|"&amp;Calculate_cap_ener!$L$14:$L$21,
        Calculate_cap_ener!$AM$14:$AM$21, "Not found", 0),"HP",_xlfn.XLOOKUP(E9&amp;"|"&amp;B9,
        Calculate_cap_ener!$I$14:$I$21&amp;"|"&amp;Calculate_cap_ener!$L$14:$L$21,
        Calculate_cap_ener!$AK$14:$AK$21, "Not found", 0),"HPl",_xlfn.XLOOKUP(E9&amp;"|"&amp;B9,
        Calculate_cap_ener!$I$14:$I$21&amp;"|"&amp;Calculate_cap_ener!$L$14:$L$21,
        Calculate_cap_ener!$AN$14:$AN$21, "Not found", 0),"Missing")</f>
        <v>870.99418229638513</v>
      </c>
      <c r="R9" s="5" cm="1">
        <f t="array" ref="R9">_xlfn.SWITCH(F9,"R",_xlfn.XLOOKUP(E9&amp;"|"&amp;B9,
        Calculate_cap_ener!$I$14:$I$21&amp;"|"&amp;Calculate_cap_ener!$L$14:$L$21,
        Calculate_cap_ener!$AQ$14:$AQ$21, "Not found", 0),"Rb",_xlfn.XLOOKUP(E9&amp;"|"&amp;B9,
        Calculate_cap_ener!$I$14:$I$21&amp;"|"&amp;Calculate_cap_ener!$L$14:$L$21,
        Calculate_cap_ener!$AS$14:$AS$21, "Not found", 0),"Rl",_xlfn.XLOOKUP(E9&amp;"|"&amp;B9,
        Calculate_cap_ener!$I$14:$I$21&amp;"|"&amp;Calculate_cap_ener!$L$14:$L$21,
        Calculate_cap_ener!$AT$14:$AT$21, "Not found", 0),"HP",_xlfn.XLOOKUP(E9&amp;"|"&amp;B9,
        Calculate_cap_ener!$I$14:$I$21&amp;"|"&amp;Calculate_cap_ener!$L$14:$L$21,
        Calculate_cap_ener!$AR$14:$AR$21, "Not found", 0),"HPl",_xlfn.XLOOKUP(E9&amp;"|"&amp;B9,
        Calculate_cap_ener!$I$14:$I$21&amp;"|"&amp;Calculate_cap_ener!$L$14:$L$21,
        Calculate_cap_ener!$AU$14:$AU$21, "Not found", 0),"Missing")</f>
        <v>17.260194818073234</v>
      </c>
      <c r="S9" s="5" cm="1">
        <f t="array" ref="S9">_xlfn.SWITCH(F9,"R",_xlfn.XLOOKUP(E9&amp;"|"&amp;B9,
        Calculate_cap_ener!$I$14:$I$21&amp;"|"&amp;Calculate_cap_ener!$L$14:$L$21,
        Calculate_cap_ener!$AX$14:$AX$21, "Not found", 0),"Rb",_xlfn.XLOOKUP(E9&amp;"|"&amp;B9,
        Calculate_cap_ener!$I$14:$I$21&amp;"|"&amp;Calculate_cap_ener!$L$14:$L$21,
        Calculate_cap_ener!$AZ$14:$AZ$21, "Not found", 0),"Rl",_xlfn.XLOOKUP(E9&amp;"|"&amp;B9,
        Calculate_cap_ener!$I$14:$I$21&amp;"|"&amp;Calculate_cap_ener!$L$14:$L$21,
        Calculate_cap_ener!$BA$14:$BA$21, "Not found", 0),"HP",_xlfn.XLOOKUP(E9&amp;"|"&amp;B9,
        Calculate_cap_ener!$I$14:$I$21&amp;"|"&amp;Calculate_cap_ener!$L$14:$L$21,
        Calculate_cap_ener!$AY$14:$AY$21, "Not found", 0),"HPl",_xlfn.XLOOKUP(E9&amp;"|"&amp;B9,
        Calculate_cap_ener!$I$14:$I$21&amp;"|"&amp;Calculate_cap_ener!$L$14:$L$21,
        Calculate_cap_ener!$BB$14:$BB$21, "Not found", 0),"Missing")</f>
        <v>102.23400918839566</v>
      </c>
      <c r="T9" s="5" cm="1">
        <f t="array" ref="T9">_xlfn.SWITCH(F9,"R",_xlfn.XLOOKUP(E9&amp;"|"&amp;B9,
        Calculate_cap_ener!$I$14:$I$21&amp;"|"&amp;Calculate_cap_ener!$L$14:$L$21,
        Calculate_cap_ener!$BE$14:$BE$21, "Not found", 0),"Rb",_xlfn.XLOOKUP(E9&amp;"|"&amp;B9,
        Calculate_cap_ener!$I$14:$I$21&amp;"|"&amp;Calculate_cap_ener!$L$14:$L$21,
        Calculate_cap_ener!$BG$14:$BG$21, "Not found", 0),"Rl",_xlfn.XLOOKUP(E9&amp;"|"&amp;B9,
        Calculate_cap_ener!$I$14:$I$21&amp;"|"&amp;Calculate_cap_ener!$L$14:$L$21,
        Calculate_cap_ener!$BH$14:$BH$21, "Not found", 0),"HP",_xlfn.XLOOKUP(E9&amp;"|"&amp;B9,
        Calculate_cap_ener!$I$14:$I$21&amp;"|"&amp;Calculate_cap_ener!$L$14:$L$21,
        Calculate_cap_ener!$BF$14:$BF$21, "Not found", 0),"HPl",_xlfn.XLOOKUP(E9&amp;"|"&amp;B9,
        Calculate_cap_ener!$I$14:$I$21&amp;"|"&amp;Calculate_cap_ener!$L$14:$L$21,
        Calculate_cap_ener!$BI$14:$BI$21, "Not found", 0),"Missing")</f>
        <v>0</v>
      </c>
    </row>
    <row r="10" spans="1:22" x14ac:dyDescent="0.25">
      <c r="A10" s="5" t="s">
        <v>4</v>
      </c>
      <c r="B10" s="5" t="str">
        <f t="shared" si="0"/>
        <v>Mass-Nom</v>
      </c>
      <c r="C10" s="5" t="str">
        <f t="shared" si="1"/>
        <v>Mass</v>
      </c>
      <c r="D10" s="5" t="str">
        <f t="shared" si="2"/>
        <v>Nom</v>
      </c>
      <c r="E10" s="5" t="s">
        <v>11</v>
      </c>
      <c r="F10" s="5" t="s">
        <v>13</v>
      </c>
      <c r="G10" s="5"/>
      <c r="H10" s="5"/>
      <c r="I10" s="5" cm="1">
        <f t="array" ref="I10">_xlfn.SWITCH(F10,"R",_xlfn.XLOOKUP(E10&amp;"|"&amp;B10,
        Calculate_cap_ener!$I$14:$I$21&amp;"|"&amp;Calculate_cap_ener!$L$14:$L$21,
        Calculate_cap_ener!$W$14:$W$21, "Not found", 0),"Rb",_xlfn.XLOOKUP(E10&amp;"|"&amp;B10,
        Calculate_cap_ener!$I$14:$I$21&amp;"|"&amp;Calculate_cap_ener!$L$14:$L$21,
        Calculate_cap_ener!$Y$14:$Y$21, "Not found", 0),"Rl",_xlfn.XLOOKUP(E10&amp;"|"&amp;B10,
        Calculate_cap_ener!$I$14:$I$21&amp;"|"&amp;Calculate_cap_ener!$L$14:$L$21,
        Calculate_cap_ener!$Z$14:$Z$21, "Not found", 0),0)</f>
        <v>15.5</v>
      </c>
      <c r="J10" s="5"/>
      <c r="K10" s="5"/>
      <c r="L10" s="5" cm="1">
        <f t="array" ref="L10">_xlfn.SWITCH(F10,"R",_xlfn.XLOOKUP(E10&amp;"|"&amp;B10,
        Calculate_cap_ener!$I$14:$I$21&amp;"|"&amp;Calculate_cap_ener!$L$14:$L$21,
        Calculate_cap_ener!$AC$14:$AC$21, "Not found", 0),"Rb",_xlfn.XLOOKUP(E10&amp;"|"&amp;B10,
        Calculate_cap_ener!$I$14:$I$21&amp;"|"&amp;Calculate_cap_ener!$L$14:$L$21,
        Calculate_cap_ener!$AE$14:$AE$21, "Not found", 0),"Rl",_xlfn.XLOOKUP(E10&amp;"|"&amp;B10,
        Calculate_cap_ener!$I$14:$I$21&amp;"|"&amp;Calculate_cap_ener!$L$14:$L$21,
        Calculate_cap_ener!$AF$14:$AF$21, "Not found", 0),"HP",_xlfn.XLOOKUP(E10&amp;"|"&amp;B10,
        Calculate_cap_ener!$I$14:$I$21&amp;"|"&amp;Calculate_cap_ener!$L$14:$L$21,
        Calculate_cap_ener!$AD$14:$AD$21, "Not found", 0),"HPl",_xlfn.XLOOKUP(E10&amp;"|"&amp;B10,
        Calculate_cap_ener!$I$14:$I$21&amp;"|"&amp;Calculate_cap_ener!$L$14:$L$21,
        Calculate_cap_ener!$AG$14:$AG$21, "Not found", 0),"Missing")</f>
        <v>36110.497549696542</v>
      </c>
      <c r="M10" s="5"/>
      <c r="N10" s="5"/>
      <c r="O10" s="5"/>
      <c r="P10" s="5"/>
      <c r="Q10" s="5" cm="1">
        <f t="array" ref="Q10">_xlfn.SWITCH(F10,"R",_xlfn.XLOOKUP(E10&amp;"|"&amp;B10,
        Calculate_cap_ener!$I$14:$I$21&amp;"|"&amp;Calculate_cap_ener!$L$14:$L$21,
        Calculate_cap_ener!$AJ$14:$AJ$21, "Not found", 0),"Rb",_xlfn.XLOOKUP(E10&amp;"|"&amp;B10,
        Calculate_cap_ener!$I$14:$I$21&amp;"|"&amp;Calculate_cap_ener!$L$14:$L$21,
        Calculate_cap_ener!$AL$14:$AL$21, "Not found", 0),"Rl",_xlfn.XLOOKUP(E10&amp;"|"&amp;B10,
        Calculate_cap_ener!$I$14:$I$21&amp;"|"&amp;Calculate_cap_ener!$L$14:$L$21,
        Calculate_cap_ener!$AM$14:$AM$21, "Not found", 0),"HP",_xlfn.XLOOKUP(E10&amp;"|"&amp;B10,
        Calculate_cap_ener!$I$14:$I$21&amp;"|"&amp;Calculate_cap_ener!$L$14:$L$21,
        Calculate_cap_ener!$AK$14:$AK$21, "Not found", 0),"HPl",_xlfn.XLOOKUP(E10&amp;"|"&amp;B10,
        Calculate_cap_ener!$I$14:$I$21&amp;"|"&amp;Calculate_cap_ener!$L$14:$L$21,
        Calculate_cap_ener!$AN$14:$AN$21, "Not found", 0),"Missing")</f>
        <v>1410.6687179851351</v>
      </c>
      <c r="R10" s="5" cm="1">
        <f t="array" ref="R10">_xlfn.SWITCH(F10,"R",_xlfn.XLOOKUP(E10&amp;"|"&amp;B10,
        Calculate_cap_ener!$I$14:$I$21&amp;"|"&amp;Calculate_cap_ener!$L$14:$L$21,
        Calculate_cap_ener!$AQ$14:$AQ$21, "Not found", 0),"Rb",_xlfn.XLOOKUP(E10&amp;"|"&amp;B10,
        Calculate_cap_ener!$I$14:$I$21&amp;"|"&amp;Calculate_cap_ener!$L$14:$L$21,
        Calculate_cap_ener!$AS$14:$AS$21, "Not found", 0),"Rl",_xlfn.XLOOKUP(E10&amp;"|"&amp;B10,
        Calculate_cap_ener!$I$14:$I$21&amp;"|"&amp;Calculate_cap_ener!$L$14:$L$21,
        Calculate_cap_ener!$AT$14:$AT$21, "Not found", 0),"HP",_xlfn.XLOOKUP(E10&amp;"|"&amp;B10,
        Calculate_cap_ener!$I$14:$I$21&amp;"|"&amp;Calculate_cap_ener!$L$14:$L$21,
        Calculate_cap_ener!$AR$14:$AR$21, "Not found", 0),"HPl",_xlfn.XLOOKUP(E10&amp;"|"&amp;B10,
        Calculate_cap_ener!$I$14:$I$21&amp;"|"&amp;Calculate_cap_ener!$L$14:$L$21,
        Calculate_cap_ener!$AU$14:$AU$21, "Not found", 0),"Missing")</f>
        <v>25.98724023084047</v>
      </c>
      <c r="S10" s="5" cm="1">
        <f t="array" ref="S10">_xlfn.SWITCH(F10,"R",_xlfn.XLOOKUP(E10&amp;"|"&amp;B10,
        Calculate_cap_ener!$I$14:$I$21&amp;"|"&amp;Calculate_cap_ener!$L$14:$L$21,
        Calculate_cap_ener!$AX$14:$AX$21, "Not found", 0),"Rb",_xlfn.XLOOKUP(E10&amp;"|"&amp;B10,
        Calculate_cap_ener!$I$14:$I$21&amp;"|"&amp;Calculate_cap_ener!$L$14:$L$21,
        Calculate_cap_ener!$AZ$14:$AZ$21, "Not found", 0),"Rl",_xlfn.XLOOKUP(E10&amp;"|"&amp;B10,
        Calculate_cap_ener!$I$14:$I$21&amp;"|"&amp;Calculate_cap_ener!$L$14:$L$21,
        Calculate_cap_ener!$BA$14:$BA$21, "Not found", 0),"HP",_xlfn.XLOOKUP(E10&amp;"|"&amp;B10,
        Calculate_cap_ener!$I$14:$I$21&amp;"|"&amp;Calculate_cap_ener!$L$14:$L$21,
        Calculate_cap_ener!$AY$14:$AY$21, "Not found", 0),"HPl",_xlfn.XLOOKUP(E10&amp;"|"&amp;B10,
        Calculate_cap_ener!$I$14:$I$21&amp;"|"&amp;Calculate_cap_ener!$L$14:$L$21,
        Calculate_cap_ener!$BB$14:$BB$21, "Not found", 0),"Missing")</f>
        <v>148.6705015133216</v>
      </c>
      <c r="T10" s="5" cm="1">
        <f t="array" ref="T10">_xlfn.SWITCH(F10,"R",_xlfn.XLOOKUP(E10&amp;"|"&amp;B10,
        Calculate_cap_ener!$I$14:$I$21&amp;"|"&amp;Calculate_cap_ener!$L$14:$L$21,
        Calculate_cap_ener!$BE$14:$BE$21, "Not found", 0),"Rb",_xlfn.XLOOKUP(E10&amp;"|"&amp;B10,
        Calculate_cap_ener!$I$14:$I$21&amp;"|"&amp;Calculate_cap_ener!$L$14:$L$21,
        Calculate_cap_ener!$BG$14:$BG$21, "Not found", 0),"Rl",_xlfn.XLOOKUP(E10&amp;"|"&amp;B10,
        Calculate_cap_ener!$I$14:$I$21&amp;"|"&amp;Calculate_cap_ener!$L$14:$L$21,
        Calculate_cap_ener!$BH$14:$BH$21, "Not found", 0),"HP",_xlfn.XLOOKUP(E10&amp;"|"&amp;B10,
        Calculate_cap_ener!$I$14:$I$21&amp;"|"&amp;Calculate_cap_ener!$L$14:$L$21,
        Calculate_cap_ener!$BF$14:$BF$21, "Not found", 0),"HPl",_xlfn.XLOOKUP(E10&amp;"|"&amp;B10,
        Calculate_cap_ener!$I$14:$I$21&amp;"|"&amp;Calculate_cap_ener!$L$14:$L$21,
        Calculate_cap_ener!$BI$14:$BI$21, "Not found", 0),"Missing")</f>
        <v>0</v>
      </c>
    </row>
    <row r="11" spans="1:22" x14ac:dyDescent="0.25">
      <c r="A11" s="5" t="s">
        <v>2</v>
      </c>
      <c r="B11" s="5" t="str">
        <f t="shared" si="0"/>
        <v>Mass-Nom</v>
      </c>
      <c r="C11" s="5" t="str">
        <f t="shared" si="1"/>
        <v>Mass</v>
      </c>
      <c r="D11" s="5" t="str">
        <f t="shared" si="2"/>
        <v>Nom</v>
      </c>
      <c r="E11" s="5" t="s">
        <v>11</v>
      </c>
      <c r="F11" s="5" t="s">
        <v>13</v>
      </c>
      <c r="G11" s="5"/>
      <c r="H11" s="5"/>
      <c r="I11" s="5" cm="1">
        <f t="array" ref="I11">_xlfn.SWITCH(F11,"R",_xlfn.XLOOKUP(E11&amp;"|"&amp;B11,
        Calculate_cap_ener!$I$14:$I$21&amp;"|"&amp;Calculate_cap_ener!$L$14:$L$21,
        Calculate_cap_ener!$W$14:$W$21, "Not found", 0),"Rb",_xlfn.XLOOKUP(E11&amp;"|"&amp;B11,
        Calculate_cap_ener!$I$14:$I$21&amp;"|"&amp;Calculate_cap_ener!$L$14:$L$21,
        Calculate_cap_ener!$Y$14:$Y$21, "Not found", 0),"Rl",_xlfn.XLOOKUP(E11&amp;"|"&amp;B11,
        Calculate_cap_ener!$I$14:$I$21&amp;"|"&amp;Calculate_cap_ener!$L$14:$L$21,
        Calculate_cap_ener!$Z$14:$Z$21, "Not found", 0),0)</f>
        <v>15.5</v>
      </c>
      <c r="J11" s="5"/>
      <c r="K11" s="5"/>
      <c r="L11" s="5" cm="1">
        <f t="array" ref="L11">_xlfn.SWITCH(F11,"R",_xlfn.XLOOKUP(E11&amp;"|"&amp;B11,
        Calculate_cap_ener!$I$14:$I$21&amp;"|"&amp;Calculate_cap_ener!$L$14:$L$21,
        Calculate_cap_ener!$AC$14:$AC$21, "Not found", 0),"Rb",_xlfn.XLOOKUP(E11&amp;"|"&amp;B11,
        Calculate_cap_ener!$I$14:$I$21&amp;"|"&amp;Calculate_cap_ener!$L$14:$L$21,
        Calculate_cap_ener!$AE$14:$AE$21, "Not found", 0),"Rl",_xlfn.XLOOKUP(E11&amp;"|"&amp;B11,
        Calculate_cap_ener!$I$14:$I$21&amp;"|"&amp;Calculate_cap_ener!$L$14:$L$21,
        Calculate_cap_ener!$AF$14:$AF$21, "Not found", 0),"HP",_xlfn.XLOOKUP(E11&amp;"|"&amp;B11,
        Calculate_cap_ener!$I$14:$I$21&amp;"|"&amp;Calculate_cap_ener!$L$14:$L$21,
        Calculate_cap_ener!$AD$14:$AD$21, "Not found", 0),"HPl",_xlfn.XLOOKUP(E11&amp;"|"&amp;B11,
        Calculate_cap_ener!$I$14:$I$21&amp;"|"&amp;Calculate_cap_ener!$L$14:$L$21,
        Calculate_cap_ener!$AG$14:$AG$21, "Not found", 0),"Missing")</f>
        <v>36110.497549696542</v>
      </c>
      <c r="M11" s="5"/>
      <c r="N11" s="5"/>
      <c r="O11" s="5"/>
      <c r="P11" s="5"/>
      <c r="Q11" s="5" cm="1">
        <f t="array" ref="Q11">_xlfn.SWITCH(F11,"R",_xlfn.XLOOKUP(E11&amp;"|"&amp;B11,
        Calculate_cap_ener!$I$14:$I$21&amp;"|"&amp;Calculate_cap_ener!$L$14:$L$21,
        Calculate_cap_ener!$AJ$14:$AJ$21, "Not found", 0),"Rb",_xlfn.XLOOKUP(E11&amp;"|"&amp;B11,
        Calculate_cap_ener!$I$14:$I$21&amp;"|"&amp;Calculate_cap_ener!$L$14:$L$21,
        Calculate_cap_ener!$AL$14:$AL$21, "Not found", 0),"Rl",_xlfn.XLOOKUP(E11&amp;"|"&amp;B11,
        Calculate_cap_ener!$I$14:$I$21&amp;"|"&amp;Calculate_cap_ener!$L$14:$L$21,
        Calculate_cap_ener!$AM$14:$AM$21, "Not found", 0),"HP",_xlfn.XLOOKUP(E11&amp;"|"&amp;B11,
        Calculate_cap_ener!$I$14:$I$21&amp;"|"&amp;Calculate_cap_ener!$L$14:$L$21,
        Calculate_cap_ener!$AK$14:$AK$21, "Not found", 0),"HPl",_xlfn.XLOOKUP(E11&amp;"|"&amp;B11,
        Calculate_cap_ener!$I$14:$I$21&amp;"|"&amp;Calculate_cap_ener!$L$14:$L$21,
        Calculate_cap_ener!$AN$14:$AN$21, "Not found", 0),"Missing")</f>
        <v>1410.6687179851351</v>
      </c>
      <c r="R11" s="5" cm="1">
        <f t="array" ref="R11">_xlfn.SWITCH(F11,"R",_xlfn.XLOOKUP(E11&amp;"|"&amp;B11,
        Calculate_cap_ener!$I$14:$I$21&amp;"|"&amp;Calculate_cap_ener!$L$14:$L$21,
        Calculate_cap_ener!$AQ$14:$AQ$21, "Not found", 0),"Rb",_xlfn.XLOOKUP(E11&amp;"|"&amp;B11,
        Calculate_cap_ener!$I$14:$I$21&amp;"|"&amp;Calculate_cap_ener!$L$14:$L$21,
        Calculate_cap_ener!$AS$14:$AS$21, "Not found", 0),"Rl",_xlfn.XLOOKUP(E11&amp;"|"&amp;B11,
        Calculate_cap_ener!$I$14:$I$21&amp;"|"&amp;Calculate_cap_ener!$L$14:$L$21,
        Calculate_cap_ener!$AT$14:$AT$21, "Not found", 0),"HP",_xlfn.XLOOKUP(E11&amp;"|"&amp;B11,
        Calculate_cap_ener!$I$14:$I$21&amp;"|"&amp;Calculate_cap_ener!$L$14:$L$21,
        Calculate_cap_ener!$AR$14:$AR$21, "Not found", 0),"HPl",_xlfn.XLOOKUP(E11&amp;"|"&amp;B11,
        Calculate_cap_ener!$I$14:$I$21&amp;"|"&amp;Calculate_cap_ener!$L$14:$L$21,
        Calculate_cap_ener!$AU$14:$AU$21, "Not found", 0),"Missing")</f>
        <v>25.98724023084047</v>
      </c>
      <c r="S11" s="5" cm="1">
        <f t="array" ref="S11">_xlfn.SWITCH(F11,"R",_xlfn.XLOOKUP(E11&amp;"|"&amp;B11,
        Calculate_cap_ener!$I$14:$I$21&amp;"|"&amp;Calculate_cap_ener!$L$14:$L$21,
        Calculate_cap_ener!$AX$14:$AX$21, "Not found", 0),"Rb",_xlfn.XLOOKUP(E11&amp;"|"&amp;B11,
        Calculate_cap_ener!$I$14:$I$21&amp;"|"&amp;Calculate_cap_ener!$L$14:$L$21,
        Calculate_cap_ener!$AZ$14:$AZ$21, "Not found", 0),"Rl",_xlfn.XLOOKUP(E11&amp;"|"&amp;B11,
        Calculate_cap_ener!$I$14:$I$21&amp;"|"&amp;Calculate_cap_ener!$L$14:$L$21,
        Calculate_cap_ener!$BA$14:$BA$21, "Not found", 0),"HP",_xlfn.XLOOKUP(E11&amp;"|"&amp;B11,
        Calculate_cap_ener!$I$14:$I$21&amp;"|"&amp;Calculate_cap_ener!$L$14:$L$21,
        Calculate_cap_ener!$AY$14:$AY$21, "Not found", 0),"HPl",_xlfn.XLOOKUP(E11&amp;"|"&amp;B11,
        Calculate_cap_ener!$I$14:$I$21&amp;"|"&amp;Calculate_cap_ener!$L$14:$L$21,
        Calculate_cap_ener!$BB$14:$BB$21, "Not found", 0),"Missing")</f>
        <v>148.6705015133216</v>
      </c>
      <c r="T11" s="5" cm="1">
        <f t="array" ref="T11">_xlfn.SWITCH(F11,"R",_xlfn.XLOOKUP(E11&amp;"|"&amp;B11,
        Calculate_cap_ener!$I$14:$I$21&amp;"|"&amp;Calculate_cap_ener!$L$14:$L$21,
        Calculate_cap_ener!$BE$14:$BE$21, "Not found", 0),"Rb",_xlfn.XLOOKUP(E11&amp;"|"&amp;B11,
        Calculate_cap_ener!$I$14:$I$21&amp;"|"&amp;Calculate_cap_ener!$L$14:$L$21,
        Calculate_cap_ener!$BG$14:$BG$21, "Not found", 0),"Rl",_xlfn.XLOOKUP(E11&amp;"|"&amp;B11,
        Calculate_cap_ener!$I$14:$I$21&amp;"|"&amp;Calculate_cap_ener!$L$14:$L$21,
        Calculate_cap_ener!$BH$14:$BH$21, "Not found", 0),"HP",_xlfn.XLOOKUP(E11&amp;"|"&amp;B11,
        Calculate_cap_ener!$I$14:$I$21&amp;"|"&amp;Calculate_cap_ener!$L$14:$L$21,
        Calculate_cap_ener!$BF$14:$BF$21, "Not found", 0),"HPl",_xlfn.XLOOKUP(E11&amp;"|"&amp;B11,
        Calculate_cap_ener!$I$14:$I$21&amp;"|"&amp;Calculate_cap_ener!$L$14:$L$21,
        Calculate_cap_ener!$BI$14:$BI$21, "Not found", 0),"Missing")</f>
        <v>0</v>
      </c>
    </row>
    <row r="12" spans="1:22" x14ac:dyDescent="0.25">
      <c r="A12" s="5" t="s">
        <v>5</v>
      </c>
      <c r="B12" s="5" t="str">
        <f t="shared" si="0"/>
        <v>Mass-H1</v>
      </c>
      <c r="C12" s="5" t="str">
        <f t="shared" si="1"/>
        <v>Mass</v>
      </c>
      <c r="D12" s="5" t="str">
        <f t="shared" si="2"/>
        <v>H1</v>
      </c>
      <c r="E12" s="5" t="s">
        <v>11</v>
      </c>
      <c r="F12" s="5" t="s">
        <v>13</v>
      </c>
      <c r="G12" s="5"/>
      <c r="H12" s="5"/>
      <c r="I12" s="5" cm="1">
        <f t="array" ref="I12">_xlfn.SWITCH(F12,"R",_xlfn.XLOOKUP(E12&amp;"|"&amp;B12,
        Calculate_cap_ener!$I$14:$I$21&amp;"|"&amp;Calculate_cap_ener!$L$14:$L$21,
        Calculate_cap_ener!$W$14:$W$21, "Not found", 0),"Rb",_xlfn.XLOOKUP(E12&amp;"|"&amp;B12,
        Calculate_cap_ener!$I$14:$I$21&amp;"|"&amp;Calculate_cap_ener!$L$14:$L$21,
        Calculate_cap_ener!$Y$14:$Y$21, "Not found", 0),"Rl",_xlfn.XLOOKUP(E12&amp;"|"&amp;B12,
        Calculate_cap_ener!$I$14:$I$21&amp;"|"&amp;Calculate_cap_ener!$L$14:$L$21,
        Calculate_cap_ener!$Z$14:$Z$21, "Not found", 0),0)</f>
        <v>8.5</v>
      </c>
      <c r="J12" s="5"/>
      <c r="K12" s="5"/>
      <c r="L12" s="5" cm="1">
        <f t="array" ref="L12">_xlfn.SWITCH(F12,"R",_xlfn.XLOOKUP(E12&amp;"|"&amp;B12,
        Calculate_cap_ener!$I$14:$I$21&amp;"|"&amp;Calculate_cap_ener!$L$14:$L$21,
        Calculate_cap_ener!$AC$14:$AC$21, "Not found", 0),"Rb",_xlfn.XLOOKUP(E12&amp;"|"&amp;B12,
        Calculate_cap_ener!$I$14:$I$21&amp;"|"&amp;Calculate_cap_ener!$L$14:$L$21,
        Calculate_cap_ener!$AE$14:$AE$21, "Not found", 0),"Rl",_xlfn.XLOOKUP(E12&amp;"|"&amp;B12,
        Calculate_cap_ener!$I$14:$I$21&amp;"|"&amp;Calculate_cap_ener!$L$14:$L$21,
        Calculate_cap_ener!$AF$14:$AF$21, "Not found", 0),"HP",_xlfn.XLOOKUP(E12&amp;"|"&amp;B12,
        Calculate_cap_ener!$I$14:$I$21&amp;"|"&amp;Calculate_cap_ener!$L$14:$L$21,
        Calculate_cap_ener!$AD$14:$AD$21, "Not found", 0),"HPl",_xlfn.XLOOKUP(E12&amp;"|"&amp;B12,
        Calculate_cap_ener!$I$14:$I$21&amp;"|"&amp;Calculate_cap_ener!$L$14:$L$21,
        Calculate_cap_ener!$AG$14:$AG$21, "Not found", 0),"Missing")</f>
        <v>21819.789602707595</v>
      </c>
      <c r="M12" s="5"/>
      <c r="N12" s="5"/>
      <c r="O12" s="5"/>
      <c r="P12" s="5"/>
      <c r="Q12" s="5" cm="1">
        <f t="array" ref="Q12">_xlfn.SWITCH(F12,"R",_xlfn.XLOOKUP(E12&amp;"|"&amp;B12,
        Calculate_cap_ener!$I$14:$I$21&amp;"|"&amp;Calculate_cap_ener!$L$14:$L$21,
        Calculate_cap_ener!$AJ$14:$AJ$21, "Not found", 0),"Rb",_xlfn.XLOOKUP(E12&amp;"|"&amp;B12,
        Calculate_cap_ener!$I$14:$I$21&amp;"|"&amp;Calculate_cap_ener!$L$14:$L$21,
        Calculate_cap_ener!$AL$14:$AL$21, "Not found", 0),"Rl",_xlfn.XLOOKUP(E12&amp;"|"&amp;B12,
        Calculate_cap_ener!$I$14:$I$21&amp;"|"&amp;Calculate_cap_ener!$L$14:$L$21,
        Calculate_cap_ener!$AM$14:$AM$21, "Not found", 0),"HP",_xlfn.XLOOKUP(E12&amp;"|"&amp;B12,
        Calculate_cap_ener!$I$14:$I$21&amp;"|"&amp;Calculate_cap_ener!$L$14:$L$21,
        Calculate_cap_ener!$AK$14:$AK$21, "Not found", 0),"HPl",_xlfn.XLOOKUP(E12&amp;"|"&amp;B12,
        Calculate_cap_ener!$I$14:$I$21&amp;"|"&amp;Calculate_cap_ener!$L$14:$L$21,
        Calculate_cap_ener!$AN$14:$AN$21, "Not found", 0),"Missing")</f>
        <v>823.81525346137505</v>
      </c>
      <c r="R12" s="5" cm="1">
        <f t="array" ref="R12">_xlfn.SWITCH(F12,"R",_xlfn.XLOOKUP(E12&amp;"|"&amp;B12,
        Calculate_cap_ener!$I$14:$I$21&amp;"|"&amp;Calculate_cap_ener!$L$14:$L$21,
        Calculate_cap_ener!$AQ$14:$AQ$21, "Not found", 0),"Rb",_xlfn.XLOOKUP(E12&amp;"|"&amp;B12,
        Calculate_cap_ener!$I$14:$I$21&amp;"|"&amp;Calculate_cap_ener!$L$14:$L$21,
        Calculate_cap_ener!$AS$14:$AS$21, "Not found", 0),"Rl",_xlfn.XLOOKUP(E12&amp;"|"&amp;B12,
        Calculate_cap_ener!$I$14:$I$21&amp;"|"&amp;Calculate_cap_ener!$L$14:$L$21,
        Calculate_cap_ener!$AT$14:$AT$21, "Not found", 0),"HP",_xlfn.XLOOKUP(E12&amp;"|"&amp;B12,
        Calculate_cap_ener!$I$14:$I$21&amp;"|"&amp;Calculate_cap_ener!$L$14:$L$21,
        Calculate_cap_ener!$AR$14:$AR$21, "Not found", 0),"HPl",_xlfn.XLOOKUP(E12&amp;"|"&amp;B12,
        Calculate_cap_ener!$I$14:$I$21&amp;"|"&amp;Calculate_cap_ener!$L$14:$L$21,
        Calculate_cap_ener!$AU$14:$AU$21, "Not found", 0),"Missing")</f>
        <v>15.802648639386</v>
      </c>
      <c r="S12" s="5" cm="1">
        <f t="array" ref="S12">_xlfn.SWITCH(F12,"R",_xlfn.XLOOKUP(E12&amp;"|"&amp;B12,
        Calculate_cap_ener!$I$14:$I$21&amp;"|"&amp;Calculate_cap_ener!$L$14:$L$21,
        Calculate_cap_ener!$AX$14:$AX$21, "Not found", 0),"Rb",_xlfn.XLOOKUP(E12&amp;"|"&amp;B12,
        Calculate_cap_ener!$I$14:$I$21&amp;"|"&amp;Calculate_cap_ener!$L$14:$L$21,
        Calculate_cap_ener!$AZ$14:$AZ$21, "Not found", 0),"Rl",_xlfn.XLOOKUP(E12&amp;"|"&amp;B12,
        Calculate_cap_ener!$I$14:$I$21&amp;"|"&amp;Calculate_cap_ener!$L$14:$L$21,
        Calculate_cap_ener!$BA$14:$BA$21, "Not found", 0),"HP",_xlfn.XLOOKUP(E12&amp;"|"&amp;B12,
        Calculate_cap_ener!$I$14:$I$21&amp;"|"&amp;Calculate_cap_ener!$L$14:$L$21,
        Calculate_cap_ener!$AY$14:$AY$21, "Not found", 0),"HPl",_xlfn.XLOOKUP(E12&amp;"|"&amp;B12,
        Calculate_cap_ener!$I$14:$I$21&amp;"|"&amp;Calculate_cap_ener!$L$14:$L$21,
        Calculate_cap_ener!$BB$14:$BB$21, "Not found", 0),"Missing")</f>
        <v>92.205012952242569</v>
      </c>
      <c r="T12" s="5" cm="1">
        <f t="array" ref="T12">_xlfn.SWITCH(F12,"R",_xlfn.XLOOKUP(E12&amp;"|"&amp;B12,
        Calculate_cap_ener!$I$14:$I$21&amp;"|"&amp;Calculate_cap_ener!$L$14:$L$21,
        Calculate_cap_ener!$BE$14:$BE$21, "Not found", 0),"Rb",_xlfn.XLOOKUP(E12&amp;"|"&amp;B12,
        Calculate_cap_ener!$I$14:$I$21&amp;"|"&amp;Calculate_cap_ener!$L$14:$L$21,
        Calculate_cap_ener!$BG$14:$BG$21, "Not found", 0),"Rl",_xlfn.XLOOKUP(E12&amp;"|"&amp;B12,
        Calculate_cap_ener!$I$14:$I$21&amp;"|"&amp;Calculate_cap_ener!$L$14:$L$21,
        Calculate_cap_ener!$BH$14:$BH$21, "Not found", 0),"HP",_xlfn.XLOOKUP(E12&amp;"|"&amp;B12,
        Calculate_cap_ener!$I$14:$I$21&amp;"|"&amp;Calculate_cap_ener!$L$14:$L$21,
        Calculate_cap_ener!$BF$14:$BF$21, "Not found", 0),"HPl",_xlfn.XLOOKUP(E12&amp;"|"&amp;B12,
        Calculate_cap_ener!$I$14:$I$21&amp;"|"&amp;Calculate_cap_ener!$L$14:$L$21,
        Calculate_cap_ener!$BI$14:$BI$21, "Not found", 0),"Missing")</f>
        <v>0</v>
      </c>
    </row>
    <row r="13" spans="1:22" x14ac:dyDescent="0.25">
      <c r="A13" s="5" t="s">
        <v>6</v>
      </c>
      <c r="B13" s="5" t="str">
        <f t="shared" si="0"/>
        <v>Mass-H1</v>
      </c>
      <c r="C13" s="5" t="str">
        <f t="shared" si="1"/>
        <v>Mass</v>
      </c>
      <c r="D13" s="5" t="str">
        <f t="shared" si="2"/>
        <v>H1</v>
      </c>
      <c r="E13" s="5" t="s">
        <v>11</v>
      </c>
      <c r="F13" s="5" t="s">
        <v>13</v>
      </c>
      <c r="G13" s="5"/>
      <c r="H13" s="5"/>
      <c r="I13" s="5" cm="1">
        <f t="array" ref="I13">_xlfn.SWITCH(F13,"R",_xlfn.XLOOKUP(E13&amp;"|"&amp;B13,
        Calculate_cap_ener!$I$14:$I$21&amp;"|"&amp;Calculate_cap_ener!$L$14:$L$21,
        Calculate_cap_ener!$W$14:$W$21, "Not found", 0),"Rb",_xlfn.XLOOKUP(E13&amp;"|"&amp;B13,
        Calculate_cap_ener!$I$14:$I$21&amp;"|"&amp;Calculate_cap_ener!$L$14:$L$21,
        Calculate_cap_ener!$Y$14:$Y$21, "Not found", 0),"Rl",_xlfn.XLOOKUP(E13&amp;"|"&amp;B13,
        Calculate_cap_ener!$I$14:$I$21&amp;"|"&amp;Calculate_cap_ener!$L$14:$L$21,
        Calculate_cap_ener!$Z$14:$Z$21, "Not found", 0),0)</f>
        <v>8.5</v>
      </c>
      <c r="J13" s="5"/>
      <c r="K13" s="5"/>
      <c r="L13" s="5" cm="1">
        <f t="array" ref="L13">_xlfn.SWITCH(F13,"R",_xlfn.XLOOKUP(E13&amp;"|"&amp;B13,
        Calculate_cap_ener!$I$14:$I$21&amp;"|"&amp;Calculate_cap_ener!$L$14:$L$21,
        Calculate_cap_ener!$AC$14:$AC$21, "Not found", 0),"Rb",_xlfn.XLOOKUP(E13&amp;"|"&amp;B13,
        Calculate_cap_ener!$I$14:$I$21&amp;"|"&amp;Calculate_cap_ener!$L$14:$L$21,
        Calculate_cap_ener!$AE$14:$AE$21, "Not found", 0),"Rl",_xlfn.XLOOKUP(E13&amp;"|"&amp;B13,
        Calculate_cap_ener!$I$14:$I$21&amp;"|"&amp;Calculate_cap_ener!$L$14:$L$21,
        Calculate_cap_ener!$AF$14:$AF$21, "Not found", 0),"HP",_xlfn.XLOOKUP(E13&amp;"|"&amp;B13,
        Calculate_cap_ener!$I$14:$I$21&amp;"|"&amp;Calculate_cap_ener!$L$14:$L$21,
        Calculate_cap_ener!$AD$14:$AD$21, "Not found", 0),"HPl",_xlfn.XLOOKUP(E13&amp;"|"&amp;B13,
        Calculate_cap_ener!$I$14:$I$21&amp;"|"&amp;Calculate_cap_ener!$L$14:$L$21,
        Calculate_cap_ener!$AG$14:$AG$21, "Not found", 0),"Missing")</f>
        <v>21819.789602707595</v>
      </c>
      <c r="M13" s="5"/>
      <c r="N13" s="5"/>
      <c r="O13" s="5"/>
      <c r="P13" s="5"/>
      <c r="Q13" s="5" cm="1">
        <f t="array" ref="Q13">_xlfn.SWITCH(F13,"R",_xlfn.XLOOKUP(E13&amp;"|"&amp;B13,
        Calculate_cap_ener!$I$14:$I$21&amp;"|"&amp;Calculate_cap_ener!$L$14:$L$21,
        Calculate_cap_ener!$AJ$14:$AJ$21, "Not found", 0),"Rb",_xlfn.XLOOKUP(E13&amp;"|"&amp;B13,
        Calculate_cap_ener!$I$14:$I$21&amp;"|"&amp;Calculate_cap_ener!$L$14:$L$21,
        Calculate_cap_ener!$AL$14:$AL$21, "Not found", 0),"Rl",_xlfn.XLOOKUP(E13&amp;"|"&amp;B13,
        Calculate_cap_ener!$I$14:$I$21&amp;"|"&amp;Calculate_cap_ener!$L$14:$L$21,
        Calculate_cap_ener!$AM$14:$AM$21, "Not found", 0),"HP",_xlfn.XLOOKUP(E13&amp;"|"&amp;B13,
        Calculate_cap_ener!$I$14:$I$21&amp;"|"&amp;Calculate_cap_ener!$L$14:$L$21,
        Calculate_cap_ener!$AK$14:$AK$21, "Not found", 0),"HPl",_xlfn.XLOOKUP(E13&amp;"|"&amp;B13,
        Calculate_cap_ener!$I$14:$I$21&amp;"|"&amp;Calculate_cap_ener!$L$14:$L$21,
        Calculate_cap_ener!$AN$14:$AN$21, "Not found", 0),"Missing")</f>
        <v>823.81525346137505</v>
      </c>
      <c r="R13" s="5" cm="1">
        <f t="array" ref="R13">_xlfn.SWITCH(F13,"R",_xlfn.XLOOKUP(E13&amp;"|"&amp;B13,
        Calculate_cap_ener!$I$14:$I$21&amp;"|"&amp;Calculate_cap_ener!$L$14:$L$21,
        Calculate_cap_ener!$AQ$14:$AQ$21, "Not found", 0),"Rb",_xlfn.XLOOKUP(E13&amp;"|"&amp;B13,
        Calculate_cap_ener!$I$14:$I$21&amp;"|"&amp;Calculate_cap_ener!$L$14:$L$21,
        Calculate_cap_ener!$AS$14:$AS$21, "Not found", 0),"Rl",_xlfn.XLOOKUP(E13&amp;"|"&amp;B13,
        Calculate_cap_ener!$I$14:$I$21&amp;"|"&amp;Calculate_cap_ener!$L$14:$L$21,
        Calculate_cap_ener!$AT$14:$AT$21, "Not found", 0),"HP",_xlfn.XLOOKUP(E13&amp;"|"&amp;B13,
        Calculate_cap_ener!$I$14:$I$21&amp;"|"&amp;Calculate_cap_ener!$L$14:$L$21,
        Calculate_cap_ener!$AR$14:$AR$21, "Not found", 0),"HPl",_xlfn.XLOOKUP(E13&amp;"|"&amp;B13,
        Calculate_cap_ener!$I$14:$I$21&amp;"|"&amp;Calculate_cap_ener!$L$14:$L$21,
        Calculate_cap_ener!$AU$14:$AU$21, "Not found", 0),"Missing")</f>
        <v>15.802648639386</v>
      </c>
      <c r="S13" s="5" cm="1">
        <f t="array" ref="S13">_xlfn.SWITCH(F13,"R",_xlfn.XLOOKUP(E13&amp;"|"&amp;B13,
        Calculate_cap_ener!$I$14:$I$21&amp;"|"&amp;Calculate_cap_ener!$L$14:$L$21,
        Calculate_cap_ener!$AX$14:$AX$21, "Not found", 0),"Rb",_xlfn.XLOOKUP(E13&amp;"|"&amp;B13,
        Calculate_cap_ener!$I$14:$I$21&amp;"|"&amp;Calculate_cap_ener!$L$14:$L$21,
        Calculate_cap_ener!$AZ$14:$AZ$21, "Not found", 0),"Rl",_xlfn.XLOOKUP(E13&amp;"|"&amp;B13,
        Calculate_cap_ener!$I$14:$I$21&amp;"|"&amp;Calculate_cap_ener!$L$14:$L$21,
        Calculate_cap_ener!$BA$14:$BA$21, "Not found", 0),"HP",_xlfn.XLOOKUP(E13&amp;"|"&amp;B13,
        Calculate_cap_ener!$I$14:$I$21&amp;"|"&amp;Calculate_cap_ener!$L$14:$L$21,
        Calculate_cap_ener!$AY$14:$AY$21, "Not found", 0),"HPl",_xlfn.XLOOKUP(E13&amp;"|"&amp;B13,
        Calculate_cap_ener!$I$14:$I$21&amp;"|"&amp;Calculate_cap_ener!$L$14:$L$21,
        Calculate_cap_ener!$BB$14:$BB$21, "Not found", 0),"Missing")</f>
        <v>92.205012952242569</v>
      </c>
      <c r="T13" s="5" cm="1">
        <f t="array" ref="T13">_xlfn.SWITCH(F13,"R",_xlfn.XLOOKUP(E13&amp;"|"&amp;B13,
        Calculate_cap_ener!$I$14:$I$21&amp;"|"&amp;Calculate_cap_ener!$L$14:$L$21,
        Calculate_cap_ener!$BE$14:$BE$21, "Not found", 0),"Rb",_xlfn.XLOOKUP(E13&amp;"|"&amp;B13,
        Calculate_cap_ener!$I$14:$I$21&amp;"|"&amp;Calculate_cap_ener!$L$14:$L$21,
        Calculate_cap_ener!$BG$14:$BG$21, "Not found", 0),"Rl",_xlfn.XLOOKUP(E13&amp;"|"&amp;B13,
        Calculate_cap_ener!$I$14:$I$21&amp;"|"&amp;Calculate_cap_ener!$L$14:$L$21,
        Calculate_cap_ener!$BH$14:$BH$21, "Not found", 0),"HP",_xlfn.XLOOKUP(E13&amp;"|"&amp;B13,
        Calculate_cap_ener!$I$14:$I$21&amp;"|"&amp;Calculate_cap_ener!$L$14:$L$21,
        Calculate_cap_ener!$BF$14:$BF$21, "Not found", 0),"HPl",_xlfn.XLOOKUP(E13&amp;"|"&amp;B13,
        Calculate_cap_ener!$I$14:$I$21&amp;"|"&amp;Calculate_cap_ener!$L$14:$L$21,
        Calculate_cap_ener!$BI$14:$BI$21, "Not found", 0),"Missing")</f>
        <v>0</v>
      </c>
    </row>
    <row r="14" spans="1:22" x14ac:dyDescent="0.25">
      <c r="A14" s="5" t="s">
        <v>7</v>
      </c>
      <c r="B14" s="5" t="str">
        <f t="shared" si="0"/>
        <v>Mod-Nom</v>
      </c>
      <c r="C14" s="5" t="str">
        <f t="shared" si="1"/>
        <v>Mod</v>
      </c>
      <c r="D14" s="5" t="str">
        <f t="shared" si="2"/>
        <v>Nom</v>
      </c>
      <c r="E14" s="5" t="s">
        <v>11</v>
      </c>
      <c r="F14" s="5" t="s">
        <v>13</v>
      </c>
      <c r="G14" s="5"/>
      <c r="H14" s="5"/>
      <c r="I14" s="5" cm="1">
        <f t="array" ref="I14">_xlfn.SWITCH(F14,"R",_xlfn.XLOOKUP(E14&amp;"|"&amp;B14,
        Calculate_cap_ener!$I$14:$I$21&amp;"|"&amp;Calculate_cap_ener!$L$14:$L$21,
        Calculate_cap_ener!$W$14:$W$21, "Not found", 0),"Rb",_xlfn.XLOOKUP(E14&amp;"|"&amp;B14,
        Calculate_cap_ener!$I$14:$I$21&amp;"|"&amp;Calculate_cap_ener!$L$14:$L$21,
        Calculate_cap_ener!$Y$14:$Y$21, "Not found", 0),"Rl",_xlfn.XLOOKUP(E14&amp;"|"&amp;B14,
        Calculate_cap_ener!$I$14:$I$21&amp;"|"&amp;Calculate_cap_ener!$L$14:$L$21,
        Calculate_cap_ener!$Z$14:$Z$21, "Not found", 0),0)</f>
        <v>15.5</v>
      </c>
      <c r="J14" s="5"/>
      <c r="K14" s="5"/>
      <c r="L14" s="5" cm="1">
        <f t="array" ref="L14">_xlfn.SWITCH(F14,"R",_xlfn.XLOOKUP(E14&amp;"|"&amp;B14,
        Calculate_cap_ener!$I$14:$I$21&amp;"|"&amp;Calculate_cap_ener!$L$14:$L$21,
        Calculate_cap_ener!$AC$14:$AC$21, "Not found", 0),"Rb",_xlfn.XLOOKUP(E14&amp;"|"&amp;B14,
        Calculate_cap_ener!$I$14:$I$21&amp;"|"&amp;Calculate_cap_ener!$L$14:$L$21,
        Calculate_cap_ener!$AE$14:$AE$21, "Not found", 0),"Rl",_xlfn.XLOOKUP(E14&amp;"|"&amp;B14,
        Calculate_cap_ener!$I$14:$I$21&amp;"|"&amp;Calculate_cap_ener!$L$14:$L$21,
        Calculate_cap_ener!$AF$14:$AF$21, "Not found", 0),"HP",_xlfn.XLOOKUP(E14&amp;"|"&amp;B14,
        Calculate_cap_ener!$I$14:$I$21&amp;"|"&amp;Calculate_cap_ener!$L$14:$L$21,
        Calculate_cap_ener!$AD$14:$AD$21, "Not found", 0),"HPl",_xlfn.XLOOKUP(E14&amp;"|"&amp;B14,
        Calculate_cap_ener!$I$14:$I$21&amp;"|"&amp;Calculate_cap_ener!$L$14:$L$21,
        Calculate_cap_ener!$AG$14:$AG$21, "Not found", 0),"Missing")</f>
        <v>38005.498135729693</v>
      </c>
      <c r="M14" s="5"/>
      <c r="N14" s="5"/>
      <c r="O14" s="5"/>
      <c r="P14" s="5"/>
      <c r="Q14" s="5" cm="1">
        <f t="array" ref="Q14">_xlfn.SWITCH(F14,"R",_xlfn.XLOOKUP(E14&amp;"|"&amp;B14,
        Calculate_cap_ener!$I$14:$I$21&amp;"|"&amp;Calculate_cap_ener!$L$14:$L$21,
        Calculate_cap_ener!$AJ$14:$AJ$21, "Not found", 0),"Rb",_xlfn.XLOOKUP(E14&amp;"|"&amp;B14,
        Calculate_cap_ener!$I$14:$I$21&amp;"|"&amp;Calculate_cap_ener!$L$14:$L$21,
        Calculate_cap_ener!$AL$14:$AL$21, "Not found", 0),"Rl",_xlfn.XLOOKUP(E14&amp;"|"&amp;B14,
        Calculate_cap_ener!$I$14:$I$21&amp;"|"&amp;Calculate_cap_ener!$L$14:$L$21,
        Calculate_cap_ener!$AM$14:$AM$21, "Not found", 0),"HP",_xlfn.XLOOKUP(E14&amp;"|"&amp;B14,
        Calculate_cap_ener!$I$14:$I$21&amp;"|"&amp;Calculate_cap_ener!$L$14:$L$21,
        Calculate_cap_ener!$AK$14:$AK$21, "Not found", 0),"HPl",_xlfn.XLOOKUP(E14&amp;"|"&amp;B14,
        Calculate_cap_ener!$I$14:$I$21&amp;"|"&amp;Calculate_cap_ener!$L$14:$L$21,
        Calculate_cap_ener!$AN$14:$AN$21, "Not found", 0),"Missing")</f>
        <v>1457.8476468201452</v>
      </c>
      <c r="R14" s="5" cm="1">
        <f t="array" ref="R14">_xlfn.SWITCH(F14,"R",_xlfn.XLOOKUP(E14&amp;"|"&amp;B14,
        Calculate_cap_ener!$I$14:$I$21&amp;"|"&amp;Calculate_cap_ener!$L$14:$L$21,
        Calculate_cap_ener!$AQ$14:$AQ$21, "Not found", 0),"Rb",_xlfn.XLOOKUP(E14&amp;"|"&amp;B14,
        Calculate_cap_ener!$I$14:$I$21&amp;"|"&amp;Calculate_cap_ener!$L$14:$L$21,
        Calculate_cap_ener!$AS$14:$AS$21, "Not found", 0),"Rl",_xlfn.XLOOKUP(E14&amp;"|"&amp;B14,
        Calculate_cap_ener!$I$14:$I$21&amp;"|"&amp;Calculate_cap_ener!$L$14:$L$21,
        Calculate_cap_ener!$AT$14:$AT$21, "Not found", 0),"HP",_xlfn.XLOOKUP(E14&amp;"|"&amp;B14,
        Calculate_cap_ener!$I$14:$I$21&amp;"|"&amp;Calculate_cap_ener!$L$14:$L$21,
        Calculate_cap_ener!$AR$14:$AR$21, "Not found", 0),"HPl",_xlfn.XLOOKUP(E14&amp;"|"&amp;B14,
        Calculate_cap_ener!$I$14:$I$21&amp;"|"&amp;Calculate_cap_ener!$L$14:$L$21,
        Calculate_cap_ener!$AU$14:$AU$21, "Not found", 0),"Missing")</f>
        <v>27.44478640952768</v>
      </c>
      <c r="S14" s="5" cm="1">
        <f t="array" ref="S14">_xlfn.SWITCH(F14,"R",_xlfn.XLOOKUP(E14&amp;"|"&amp;B14,
        Calculate_cap_ener!$I$14:$I$21&amp;"|"&amp;Calculate_cap_ener!$L$14:$L$21,
        Calculate_cap_ener!$AX$14:$AX$21, "Not found", 0),"Rb",_xlfn.XLOOKUP(E14&amp;"|"&amp;B14,
        Calculate_cap_ener!$I$14:$I$21&amp;"|"&amp;Calculate_cap_ener!$L$14:$L$21,
        Calculate_cap_ener!$AZ$14:$AZ$21, "Not found", 0),"Rl",_xlfn.XLOOKUP(E14&amp;"|"&amp;B14,
        Calculate_cap_ener!$I$14:$I$21&amp;"|"&amp;Calculate_cap_ener!$L$14:$L$21,
        Calculate_cap_ener!$BA$14:$BA$21, "Not found", 0),"HP",_xlfn.XLOOKUP(E14&amp;"|"&amp;B14,
        Calculate_cap_ener!$I$14:$I$21&amp;"|"&amp;Calculate_cap_ener!$L$14:$L$21,
        Calculate_cap_ener!$AY$14:$AY$21, "Not found", 0),"HPl",_xlfn.XLOOKUP(E14&amp;"|"&amp;B14,
        Calculate_cap_ener!$I$14:$I$21&amp;"|"&amp;Calculate_cap_ener!$L$14:$L$21,
        Calculate_cap_ener!$BB$14:$BB$21, "Not found", 0),"Missing")</f>
        <v>158.69949774947469</v>
      </c>
      <c r="T14" s="5" cm="1">
        <f t="array" ref="T14">_xlfn.SWITCH(F14,"R",_xlfn.XLOOKUP(E14&amp;"|"&amp;B14,
        Calculate_cap_ener!$I$14:$I$21&amp;"|"&amp;Calculate_cap_ener!$L$14:$L$21,
        Calculate_cap_ener!$BE$14:$BE$21, "Not found", 0),"Rb",_xlfn.XLOOKUP(E14&amp;"|"&amp;B14,
        Calculate_cap_ener!$I$14:$I$21&amp;"|"&amp;Calculate_cap_ener!$L$14:$L$21,
        Calculate_cap_ener!$BG$14:$BG$21, "Not found", 0),"Rl",_xlfn.XLOOKUP(E14&amp;"|"&amp;B14,
        Calculate_cap_ener!$I$14:$I$21&amp;"|"&amp;Calculate_cap_ener!$L$14:$L$21,
        Calculate_cap_ener!$BH$14:$BH$21, "Not found", 0),"HP",_xlfn.XLOOKUP(E14&amp;"|"&amp;B14,
        Calculate_cap_ener!$I$14:$I$21&amp;"|"&amp;Calculate_cap_ener!$L$14:$L$21,
        Calculate_cap_ener!$BF$14:$BF$21, "Not found", 0),"HPl",_xlfn.XLOOKUP(E14&amp;"|"&amp;B14,
        Calculate_cap_ener!$I$14:$I$21&amp;"|"&amp;Calculate_cap_ener!$L$14:$L$21,
        Calculate_cap_ener!$BI$14:$BI$21, "Not found", 0),"Missing")</f>
        <v>0</v>
      </c>
    </row>
    <row r="15" spans="1:22" x14ac:dyDescent="0.25">
      <c r="A15" s="5" t="s">
        <v>8</v>
      </c>
      <c r="B15" s="5" t="str">
        <f t="shared" si="0"/>
        <v>Mod-Nom</v>
      </c>
      <c r="C15" s="5" t="str">
        <f t="shared" si="1"/>
        <v>Mod</v>
      </c>
      <c r="D15" s="5" t="str">
        <f t="shared" si="2"/>
        <v>Nom</v>
      </c>
      <c r="E15" s="5" t="s">
        <v>11</v>
      </c>
      <c r="F15" s="5" t="s">
        <v>13</v>
      </c>
      <c r="G15" s="5"/>
      <c r="H15" s="5"/>
      <c r="I15" s="5" cm="1">
        <f t="array" ref="I15">_xlfn.SWITCH(F15,"R",_xlfn.XLOOKUP(E15&amp;"|"&amp;B15,
        Calculate_cap_ener!$I$14:$I$21&amp;"|"&amp;Calculate_cap_ener!$L$14:$L$21,
        Calculate_cap_ener!$W$14:$W$21, "Not found", 0),"Rb",_xlfn.XLOOKUP(E15&amp;"|"&amp;B15,
        Calculate_cap_ener!$I$14:$I$21&amp;"|"&amp;Calculate_cap_ener!$L$14:$L$21,
        Calculate_cap_ener!$Y$14:$Y$21, "Not found", 0),"Rl",_xlfn.XLOOKUP(E15&amp;"|"&amp;B15,
        Calculate_cap_ener!$I$14:$I$21&amp;"|"&amp;Calculate_cap_ener!$L$14:$L$21,
        Calculate_cap_ener!$Z$14:$Z$21, "Not found", 0),0)</f>
        <v>15.5</v>
      </c>
      <c r="J15" s="5"/>
      <c r="K15" s="5"/>
      <c r="L15" s="5" cm="1">
        <f t="array" ref="L15">_xlfn.SWITCH(F15,"R",_xlfn.XLOOKUP(E15&amp;"|"&amp;B15,
        Calculate_cap_ener!$I$14:$I$21&amp;"|"&amp;Calculate_cap_ener!$L$14:$L$21,
        Calculate_cap_ener!$AC$14:$AC$21, "Not found", 0),"Rb",_xlfn.XLOOKUP(E15&amp;"|"&amp;B15,
        Calculate_cap_ener!$I$14:$I$21&amp;"|"&amp;Calculate_cap_ener!$L$14:$L$21,
        Calculate_cap_ener!$AE$14:$AE$21, "Not found", 0),"Rl",_xlfn.XLOOKUP(E15&amp;"|"&amp;B15,
        Calculate_cap_ener!$I$14:$I$21&amp;"|"&amp;Calculate_cap_ener!$L$14:$L$21,
        Calculate_cap_ener!$AF$14:$AF$21, "Not found", 0),"HP",_xlfn.XLOOKUP(E15&amp;"|"&amp;B15,
        Calculate_cap_ener!$I$14:$I$21&amp;"|"&amp;Calculate_cap_ener!$L$14:$L$21,
        Calculate_cap_ener!$AD$14:$AD$21, "Not found", 0),"HPl",_xlfn.XLOOKUP(E15&amp;"|"&amp;B15,
        Calculate_cap_ener!$I$14:$I$21&amp;"|"&amp;Calculate_cap_ener!$L$14:$L$21,
        Calculate_cap_ener!$AG$14:$AG$21, "Not found", 0),"Missing")</f>
        <v>38005.498135729693</v>
      </c>
      <c r="M15" s="5"/>
      <c r="N15" s="5"/>
      <c r="O15" s="5"/>
      <c r="P15" s="5"/>
      <c r="Q15" s="5" cm="1">
        <f t="array" ref="Q15">_xlfn.SWITCH(F15,"R",_xlfn.XLOOKUP(E15&amp;"|"&amp;B15,
        Calculate_cap_ener!$I$14:$I$21&amp;"|"&amp;Calculate_cap_ener!$L$14:$L$21,
        Calculate_cap_ener!$AJ$14:$AJ$21, "Not found", 0),"Rb",_xlfn.XLOOKUP(E15&amp;"|"&amp;B15,
        Calculate_cap_ener!$I$14:$I$21&amp;"|"&amp;Calculate_cap_ener!$L$14:$L$21,
        Calculate_cap_ener!$AL$14:$AL$21, "Not found", 0),"Rl",_xlfn.XLOOKUP(E15&amp;"|"&amp;B15,
        Calculate_cap_ener!$I$14:$I$21&amp;"|"&amp;Calculate_cap_ener!$L$14:$L$21,
        Calculate_cap_ener!$AM$14:$AM$21, "Not found", 0),"HP",_xlfn.XLOOKUP(E15&amp;"|"&amp;B15,
        Calculate_cap_ener!$I$14:$I$21&amp;"|"&amp;Calculate_cap_ener!$L$14:$L$21,
        Calculate_cap_ener!$AK$14:$AK$21, "Not found", 0),"HPl",_xlfn.XLOOKUP(E15&amp;"|"&amp;B15,
        Calculate_cap_ener!$I$14:$I$21&amp;"|"&amp;Calculate_cap_ener!$L$14:$L$21,
        Calculate_cap_ener!$AN$14:$AN$21, "Not found", 0),"Missing")</f>
        <v>1457.8476468201452</v>
      </c>
      <c r="R15" s="5" cm="1">
        <f t="array" ref="R15">_xlfn.SWITCH(F15,"R",_xlfn.XLOOKUP(E15&amp;"|"&amp;B15,
        Calculate_cap_ener!$I$14:$I$21&amp;"|"&amp;Calculate_cap_ener!$L$14:$L$21,
        Calculate_cap_ener!$AQ$14:$AQ$21, "Not found", 0),"Rb",_xlfn.XLOOKUP(E15&amp;"|"&amp;B15,
        Calculate_cap_ener!$I$14:$I$21&amp;"|"&amp;Calculate_cap_ener!$L$14:$L$21,
        Calculate_cap_ener!$AS$14:$AS$21, "Not found", 0),"Rl",_xlfn.XLOOKUP(E15&amp;"|"&amp;B15,
        Calculate_cap_ener!$I$14:$I$21&amp;"|"&amp;Calculate_cap_ener!$L$14:$L$21,
        Calculate_cap_ener!$AT$14:$AT$21, "Not found", 0),"HP",_xlfn.XLOOKUP(E15&amp;"|"&amp;B15,
        Calculate_cap_ener!$I$14:$I$21&amp;"|"&amp;Calculate_cap_ener!$L$14:$L$21,
        Calculate_cap_ener!$AR$14:$AR$21, "Not found", 0),"HPl",_xlfn.XLOOKUP(E15&amp;"|"&amp;B15,
        Calculate_cap_ener!$I$14:$I$21&amp;"|"&amp;Calculate_cap_ener!$L$14:$L$21,
        Calculate_cap_ener!$AU$14:$AU$21, "Not found", 0),"Missing")</f>
        <v>27.44478640952768</v>
      </c>
      <c r="S15" s="5" cm="1">
        <f t="array" ref="S15">_xlfn.SWITCH(F15,"R",_xlfn.XLOOKUP(E15&amp;"|"&amp;B15,
        Calculate_cap_ener!$I$14:$I$21&amp;"|"&amp;Calculate_cap_ener!$L$14:$L$21,
        Calculate_cap_ener!$AX$14:$AX$21, "Not found", 0),"Rb",_xlfn.XLOOKUP(E15&amp;"|"&amp;B15,
        Calculate_cap_ener!$I$14:$I$21&amp;"|"&amp;Calculate_cap_ener!$L$14:$L$21,
        Calculate_cap_ener!$AZ$14:$AZ$21, "Not found", 0),"Rl",_xlfn.XLOOKUP(E15&amp;"|"&amp;B15,
        Calculate_cap_ener!$I$14:$I$21&amp;"|"&amp;Calculate_cap_ener!$L$14:$L$21,
        Calculate_cap_ener!$BA$14:$BA$21, "Not found", 0),"HP",_xlfn.XLOOKUP(E15&amp;"|"&amp;B15,
        Calculate_cap_ener!$I$14:$I$21&amp;"|"&amp;Calculate_cap_ener!$L$14:$L$21,
        Calculate_cap_ener!$AY$14:$AY$21, "Not found", 0),"HPl",_xlfn.XLOOKUP(E15&amp;"|"&amp;B15,
        Calculate_cap_ener!$I$14:$I$21&amp;"|"&amp;Calculate_cap_ener!$L$14:$L$21,
        Calculate_cap_ener!$BB$14:$BB$21, "Not found", 0),"Missing")</f>
        <v>158.69949774947469</v>
      </c>
      <c r="T15" s="5" cm="1">
        <f t="array" ref="T15">_xlfn.SWITCH(F15,"R",_xlfn.XLOOKUP(E15&amp;"|"&amp;B15,
        Calculate_cap_ener!$I$14:$I$21&amp;"|"&amp;Calculate_cap_ener!$L$14:$L$21,
        Calculate_cap_ener!$BE$14:$BE$21, "Not found", 0),"Rb",_xlfn.XLOOKUP(E15&amp;"|"&amp;B15,
        Calculate_cap_ener!$I$14:$I$21&amp;"|"&amp;Calculate_cap_ener!$L$14:$L$21,
        Calculate_cap_ener!$BG$14:$BG$21, "Not found", 0),"Rl",_xlfn.XLOOKUP(E15&amp;"|"&amp;B15,
        Calculate_cap_ener!$I$14:$I$21&amp;"|"&amp;Calculate_cap_ener!$L$14:$L$21,
        Calculate_cap_ener!$BH$14:$BH$21, "Not found", 0),"HP",_xlfn.XLOOKUP(E15&amp;"|"&amp;B15,
        Calculate_cap_ener!$I$14:$I$21&amp;"|"&amp;Calculate_cap_ener!$L$14:$L$21,
        Calculate_cap_ener!$BF$14:$BF$21, "Not found", 0),"HPl",_xlfn.XLOOKUP(E15&amp;"|"&amp;B15,
        Calculate_cap_ener!$I$14:$I$21&amp;"|"&amp;Calculate_cap_ener!$L$14:$L$21,
        Calculate_cap_ener!$BI$14:$BI$21, "Not found", 0),"Missing")</f>
        <v>0</v>
      </c>
    </row>
    <row r="16" spans="1:22" x14ac:dyDescent="0.25">
      <c r="A16" s="5" t="s">
        <v>9</v>
      </c>
      <c r="B16" s="5" t="str">
        <f t="shared" si="0"/>
        <v>Mod-H1</v>
      </c>
      <c r="C16" s="5" t="str">
        <f t="shared" si="1"/>
        <v>Mod</v>
      </c>
      <c r="D16" s="5" t="str">
        <f t="shared" si="2"/>
        <v>H1</v>
      </c>
      <c r="E16" s="5" t="s">
        <v>11</v>
      </c>
      <c r="F16" s="5" t="s">
        <v>13</v>
      </c>
      <c r="G16" s="5"/>
      <c r="H16" s="5"/>
      <c r="I16" s="5" cm="1">
        <f t="array" ref="I16">_xlfn.SWITCH(F16,"R",_xlfn.XLOOKUP(E16&amp;"|"&amp;B16,
        Calculate_cap_ener!$I$14:$I$21&amp;"|"&amp;Calculate_cap_ener!$L$14:$L$21,
        Calculate_cap_ener!$W$14:$W$21, "Not found", 0),"Rb",_xlfn.XLOOKUP(E16&amp;"|"&amp;B16,
        Calculate_cap_ener!$I$14:$I$21&amp;"|"&amp;Calculate_cap_ener!$L$14:$L$21,
        Calculate_cap_ener!$Y$14:$Y$21, "Not found", 0),"Rl",_xlfn.XLOOKUP(E16&amp;"|"&amp;B16,
        Calculate_cap_ener!$I$14:$I$21&amp;"|"&amp;Calculate_cap_ener!$L$14:$L$21,
        Calculate_cap_ener!$Z$14:$Z$21, "Not found", 0),0)</f>
        <v>12.5</v>
      </c>
      <c r="J16" s="5"/>
      <c r="K16" s="5"/>
      <c r="L16" s="5" cm="1">
        <f t="array" ref="L16">_xlfn.SWITCH(F16,"R",_xlfn.XLOOKUP(E16&amp;"|"&amp;B16,
        Calculate_cap_ener!$I$14:$I$21&amp;"|"&amp;Calculate_cap_ener!$L$14:$L$21,
        Calculate_cap_ener!$AC$14:$AC$21, "Not found", 0),"Rb",_xlfn.XLOOKUP(E16&amp;"|"&amp;B16,
        Calculate_cap_ener!$I$14:$I$21&amp;"|"&amp;Calculate_cap_ener!$L$14:$L$21,
        Calculate_cap_ener!$AE$14:$AE$21, "Not found", 0),"Rl",_xlfn.XLOOKUP(E16&amp;"|"&amp;B16,
        Calculate_cap_ener!$I$14:$I$21&amp;"|"&amp;Calculate_cap_ener!$L$14:$L$21,
        Calculate_cap_ener!$AF$14:$AF$21, "Not found", 0),"HP",_xlfn.XLOOKUP(E16&amp;"|"&amp;B16,
        Calculate_cap_ener!$I$14:$I$21&amp;"|"&amp;Calculate_cap_ener!$L$14:$L$21,
        Calculate_cap_ener!$AD$14:$AD$21, "Not found", 0),"HPl",_xlfn.XLOOKUP(E16&amp;"|"&amp;B16,
        Calculate_cap_ener!$I$14:$I$21&amp;"|"&amp;Calculate_cap_ener!$L$14:$L$21,
        Calculate_cap_ener!$AG$14:$AG$21, "Not found", 0),"Missing")</f>
        <v>34317.338340491369</v>
      </c>
      <c r="M16" s="5"/>
      <c r="N16" s="5"/>
      <c r="O16" s="5"/>
      <c r="P16" s="5"/>
      <c r="Q16" s="5" cm="1">
        <f t="array" ref="Q16">_xlfn.SWITCH(F16,"R",_xlfn.XLOOKUP(E16&amp;"|"&amp;B16,
        Calculate_cap_ener!$I$14:$I$21&amp;"|"&amp;Calculate_cap_ener!$L$14:$L$21,
        Calculate_cap_ener!$AJ$14:$AJ$21, "Not found", 0),"Rb",_xlfn.XLOOKUP(E16&amp;"|"&amp;B16,
        Calculate_cap_ener!$I$14:$I$21&amp;"|"&amp;Calculate_cap_ener!$L$14:$L$21,
        Calculate_cap_ener!$AL$14:$AL$21, "Not found", 0),"Rl",_xlfn.XLOOKUP(E16&amp;"|"&amp;B16,
        Calculate_cap_ener!$I$14:$I$21&amp;"|"&amp;Calculate_cap_ener!$L$14:$L$21,
        Calculate_cap_ener!$AM$14:$AM$21, "Not found", 0),"HP",_xlfn.XLOOKUP(E16&amp;"|"&amp;B16,
        Calculate_cap_ener!$I$14:$I$21&amp;"|"&amp;Calculate_cap_ener!$L$14:$L$21,
        Calculate_cap_ener!$AK$14:$AK$21, "Not found", 0),"HPl",_xlfn.XLOOKUP(E16&amp;"|"&amp;B16,
        Calculate_cap_ener!$I$14:$I$21&amp;"|"&amp;Calculate_cap_ener!$L$14:$L$21,
        Calculate_cap_ener!$AN$14:$AN$21, "Not found", 0),"Missing")</f>
        <v>1266.9976419549753</v>
      </c>
      <c r="R16" s="5" cm="1">
        <f t="array" ref="R16">_xlfn.SWITCH(F16,"R",_xlfn.XLOOKUP(E16&amp;"|"&amp;B16,
        Calculate_cap_ener!$I$14:$I$21&amp;"|"&amp;Calculate_cap_ener!$L$14:$L$21,
        Calculate_cap_ener!$AQ$14:$AQ$21, "Not found", 0),"Rb",_xlfn.XLOOKUP(E16&amp;"|"&amp;B16,
        Calculate_cap_ener!$I$14:$I$21&amp;"|"&amp;Calculate_cap_ener!$L$14:$L$21,
        Calculate_cap_ener!$AS$14:$AS$21, "Not found", 0),"Rl",_xlfn.XLOOKUP(E16&amp;"|"&amp;B16,
        Calculate_cap_ener!$I$14:$I$21&amp;"|"&amp;Calculate_cap_ener!$L$14:$L$21,
        Calculate_cap_ener!$AT$14:$AT$21, "Not found", 0),"HP",_xlfn.XLOOKUP(E16&amp;"|"&amp;B16,
        Calculate_cap_ener!$I$14:$I$21&amp;"|"&amp;Calculate_cap_ener!$L$14:$L$21,
        Calculate_cap_ener!$AR$14:$AR$21, "Not found", 0),"HPl",_xlfn.XLOOKUP(E16&amp;"|"&amp;B16,
        Calculate_cap_ener!$I$14:$I$21&amp;"|"&amp;Calculate_cap_ener!$L$14:$L$21,
        Calculate_cap_ener!$AU$14:$AU$21, "Not found", 0),"Missing")</f>
        <v>24.953949385787915</v>
      </c>
      <c r="S16" s="5" cm="1">
        <f t="array" ref="S16">_xlfn.SWITCH(F16,"R",_xlfn.XLOOKUP(E16&amp;"|"&amp;B16,
        Calculate_cap_ener!$I$14:$I$21&amp;"|"&amp;Calculate_cap_ener!$L$14:$L$21,
        Calculate_cap_ener!$AX$14:$AX$21, "Not found", 0),"Rb",_xlfn.XLOOKUP(E16&amp;"|"&amp;B16,
        Calculate_cap_ener!$I$14:$I$21&amp;"|"&amp;Calculate_cap_ener!$L$14:$L$21,
        Calculate_cap_ener!$AZ$14:$AZ$21, "Not found", 0),"Rl",_xlfn.XLOOKUP(E16&amp;"|"&amp;B16,
        Calculate_cap_ener!$I$14:$I$21&amp;"|"&amp;Calculate_cap_ener!$L$14:$L$21,
        Calculate_cap_ener!$BA$14:$BA$21, "Not found", 0),"HP",_xlfn.XLOOKUP(E16&amp;"|"&amp;B16,
        Calculate_cap_ener!$I$14:$I$21&amp;"|"&amp;Calculate_cap_ener!$L$14:$L$21,
        Calculate_cap_ener!$AY$14:$AY$21, "Not found", 0),"HPl",_xlfn.XLOOKUP(E16&amp;"|"&amp;B16,
        Calculate_cap_ener!$I$14:$I$21&amp;"|"&amp;Calculate_cap_ener!$L$14:$L$21,
        Calculate_cap_ener!$BB$14:$BB$21, "Not found", 0),"Missing")</f>
        <v>147.39442638406626</v>
      </c>
      <c r="T16" s="5" cm="1">
        <f t="array" ref="T16">_xlfn.SWITCH(F16,"R",_xlfn.XLOOKUP(E16&amp;"|"&amp;B16,
        Calculate_cap_ener!$I$14:$I$21&amp;"|"&amp;Calculate_cap_ener!$L$14:$L$21,
        Calculate_cap_ener!$BE$14:$BE$21, "Not found", 0),"Rb",_xlfn.XLOOKUP(E16&amp;"|"&amp;B16,
        Calculate_cap_ener!$I$14:$I$21&amp;"|"&amp;Calculate_cap_ener!$L$14:$L$21,
        Calculate_cap_ener!$BG$14:$BG$21, "Not found", 0),"Rl",_xlfn.XLOOKUP(E16&amp;"|"&amp;B16,
        Calculate_cap_ener!$I$14:$I$21&amp;"|"&amp;Calculate_cap_ener!$L$14:$L$21,
        Calculate_cap_ener!$BH$14:$BH$21, "Not found", 0),"HP",_xlfn.XLOOKUP(E16&amp;"|"&amp;B16,
        Calculate_cap_ener!$I$14:$I$21&amp;"|"&amp;Calculate_cap_ener!$L$14:$L$21,
        Calculate_cap_ener!$BF$14:$BF$21, "Not found", 0),"HPl",_xlfn.XLOOKUP(E16&amp;"|"&amp;B16,
        Calculate_cap_ener!$I$14:$I$21&amp;"|"&amp;Calculate_cap_ener!$L$14:$L$21,
        Calculate_cap_ener!$BI$14:$BI$21, "Not found", 0),"Missing")</f>
        <v>0</v>
      </c>
    </row>
    <row r="17" spans="1:20" x14ac:dyDescent="0.25">
      <c r="A17" s="5" t="s">
        <v>10</v>
      </c>
      <c r="B17" s="5" t="str">
        <f t="shared" si="0"/>
        <v>Mod-H1</v>
      </c>
      <c r="C17" s="5" t="str">
        <f t="shared" si="1"/>
        <v>Mod</v>
      </c>
      <c r="D17" s="5" t="str">
        <f t="shared" si="2"/>
        <v>H1</v>
      </c>
      <c r="E17" s="5" t="s">
        <v>11</v>
      </c>
      <c r="F17" s="5" t="s">
        <v>13</v>
      </c>
      <c r="G17" s="5"/>
      <c r="H17" s="5"/>
      <c r="I17" s="5" cm="1">
        <f t="array" ref="I17">_xlfn.SWITCH(F17,"R",_xlfn.XLOOKUP(E17&amp;"|"&amp;B17,
        Calculate_cap_ener!$I$14:$I$21&amp;"|"&amp;Calculate_cap_ener!$L$14:$L$21,
        Calculate_cap_ener!$W$14:$W$21, "Not found", 0),"Rb",_xlfn.XLOOKUP(E17&amp;"|"&amp;B17,
        Calculate_cap_ener!$I$14:$I$21&amp;"|"&amp;Calculate_cap_ener!$L$14:$L$21,
        Calculate_cap_ener!$Y$14:$Y$21, "Not found", 0),"Rl",_xlfn.XLOOKUP(E17&amp;"|"&amp;B17,
        Calculate_cap_ener!$I$14:$I$21&amp;"|"&amp;Calculate_cap_ener!$L$14:$L$21,
        Calculate_cap_ener!$Z$14:$Z$21, "Not found", 0),0)</f>
        <v>12.5</v>
      </c>
      <c r="J17" s="5"/>
      <c r="K17" s="5"/>
      <c r="L17" s="5" cm="1">
        <f t="array" ref="L17">_xlfn.SWITCH(F17,"R",_xlfn.XLOOKUP(E17&amp;"|"&amp;B17,
        Calculate_cap_ener!$I$14:$I$21&amp;"|"&amp;Calculate_cap_ener!$L$14:$L$21,
        Calculate_cap_ener!$AC$14:$AC$21, "Not found", 0),"Rb",_xlfn.XLOOKUP(E17&amp;"|"&amp;B17,
        Calculate_cap_ener!$I$14:$I$21&amp;"|"&amp;Calculate_cap_ener!$L$14:$L$21,
        Calculate_cap_ener!$AE$14:$AE$21, "Not found", 0),"Rl",_xlfn.XLOOKUP(E17&amp;"|"&amp;B17,
        Calculate_cap_ener!$I$14:$I$21&amp;"|"&amp;Calculate_cap_ener!$L$14:$L$21,
        Calculate_cap_ener!$AF$14:$AF$21, "Not found", 0),"HP",_xlfn.XLOOKUP(E17&amp;"|"&amp;B17,
        Calculate_cap_ener!$I$14:$I$21&amp;"|"&amp;Calculate_cap_ener!$L$14:$L$21,
        Calculate_cap_ener!$AD$14:$AD$21, "Not found", 0),"HPl",_xlfn.XLOOKUP(E17&amp;"|"&amp;B17,
        Calculate_cap_ener!$I$14:$I$21&amp;"|"&amp;Calculate_cap_ener!$L$14:$L$21,
        Calculate_cap_ener!$AG$14:$AG$21, "Not found", 0),"Missing")</f>
        <v>34317.338340491369</v>
      </c>
      <c r="M17" s="5"/>
      <c r="N17" s="5"/>
      <c r="O17" s="5"/>
      <c r="P17" s="5"/>
      <c r="Q17" s="5" cm="1">
        <f t="array" ref="Q17">_xlfn.SWITCH(F17,"R",_xlfn.XLOOKUP(E17&amp;"|"&amp;B17,
        Calculate_cap_ener!$I$14:$I$21&amp;"|"&amp;Calculate_cap_ener!$L$14:$L$21,
        Calculate_cap_ener!$AJ$14:$AJ$21, "Not found", 0),"Rb",_xlfn.XLOOKUP(E17&amp;"|"&amp;B17,
        Calculate_cap_ener!$I$14:$I$21&amp;"|"&amp;Calculate_cap_ener!$L$14:$L$21,
        Calculate_cap_ener!$AL$14:$AL$21, "Not found", 0),"Rl",_xlfn.XLOOKUP(E17&amp;"|"&amp;B17,
        Calculate_cap_ener!$I$14:$I$21&amp;"|"&amp;Calculate_cap_ener!$L$14:$L$21,
        Calculate_cap_ener!$AM$14:$AM$21, "Not found", 0),"HP",_xlfn.XLOOKUP(E17&amp;"|"&amp;B17,
        Calculate_cap_ener!$I$14:$I$21&amp;"|"&amp;Calculate_cap_ener!$L$14:$L$21,
        Calculate_cap_ener!$AK$14:$AK$21, "Not found", 0),"HPl",_xlfn.XLOOKUP(E17&amp;"|"&amp;B17,
        Calculate_cap_ener!$I$14:$I$21&amp;"|"&amp;Calculate_cap_ener!$L$14:$L$21,
        Calculate_cap_ener!$AN$14:$AN$21, "Not found", 0),"Missing")</f>
        <v>1266.9976419549753</v>
      </c>
      <c r="R17" s="5" cm="1">
        <f t="array" ref="R17">_xlfn.SWITCH(F17,"R",_xlfn.XLOOKUP(E17&amp;"|"&amp;B17,
        Calculate_cap_ener!$I$14:$I$21&amp;"|"&amp;Calculate_cap_ener!$L$14:$L$21,
        Calculate_cap_ener!$AQ$14:$AQ$21, "Not found", 0),"Rb",_xlfn.XLOOKUP(E17&amp;"|"&amp;B17,
        Calculate_cap_ener!$I$14:$I$21&amp;"|"&amp;Calculate_cap_ener!$L$14:$L$21,
        Calculate_cap_ener!$AS$14:$AS$21, "Not found", 0),"Rl",_xlfn.XLOOKUP(E17&amp;"|"&amp;B17,
        Calculate_cap_ener!$I$14:$I$21&amp;"|"&amp;Calculate_cap_ener!$L$14:$L$21,
        Calculate_cap_ener!$AT$14:$AT$21, "Not found", 0),"HP",_xlfn.XLOOKUP(E17&amp;"|"&amp;B17,
        Calculate_cap_ener!$I$14:$I$21&amp;"|"&amp;Calculate_cap_ener!$L$14:$L$21,
        Calculate_cap_ener!$AR$14:$AR$21, "Not found", 0),"HPl",_xlfn.XLOOKUP(E17&amp;"|"&amp;B17,
        Calculate_cap_ener!$I$14:$I$21&amp;"|"&amp;Calculate_cap_ener!$L$14:$L$21,
        Calculate_cap_ener!$AU$14:$AU$21, "Not found", 0),"Missing")</f>
        <v>24.953949385787915</v>
      </c>
      <c r="S17" s="5" cm="1">
        <f t="array" ref="S17">_xlfn.SWITCH(F17,"R",_xlfn.XLOOKUP(E17&amp;"|"&amp;B17,
        Calculate_cap_ener!$I$14:$I$21&amp;"|"&amp;Calculate_cap_ener!$L$14:$L$21,
        Calculate_cap_ener!$AX$14:$AX$21, "Not found", 0),"Rb",_xlfn.XLOOKUP(E17&amp;"|"&amp;B17,
        Calculate_cap_ener!$I$14:$I$21&amp;"|"&amp;Calculate_cap_ener!$L$14:$L$21,
        Calculate_cap_ener!$AZ$14:$AZ$21, "Not found", 0),"Rl",_xlfn.XLOOKUP(E17&amp;"|"&amp;B17,
        Calculate_cap_ener!$I$14:$I$21&amp;"|"&amp;Calculate_cap_ener!$L$14:$L$21,
        Calculate_cap_ener!$BA$14:$BA$21, "Not found", 0),"HP",_xlfn.XLOOKUP(E17&amp;"|"&amp;B17,
        Calculate_cap_ener!$I$14:$I$21&amp;"|"&amp;Calculate_cap_ener!$L$14:$L$21,
        Calculate_cap_ener!$AY$14:$AY$21, "Not found", 0),"HPl",_xlfn.XLOOKUP(E17&amp;"|"&amp;B17,
        Calculate_cap_ener!$I$14:$I$21&amp;"|"&amp;Calculate_cap_ener!$L$14:$L$21,
        Calculate_cap_ener!$BB$14:$BB$21, "Not found", 0),"Missing")</f>
        <v>147.39442638406626</v>
      </c>
      <c r="T17" s="5" cm="1">
        <f t="array" ref="T17">_xlfn.SWITCH(F17,"R",_xlfn.XLOOKUP(E17&amp;"|"&amp;B17,
        Calculate_cap_ener!$I$14:$I$21&amp;"|"&amp;Calculate_cap_ener!$L$14:$L$21,
        Calculate_cap_ener!$BE$14:$BE$21, "Not found", 0),"Rb",_xlfn.XLOOKUP(E17&amp;"|"&amp;B17,
        Calculate_cap_ener!$I$14:$I$21&amp;"|"&amp;Calculate_cap_ener!$L$14:$L$21,
        Calculate_cap_ener!$BG$14:$BG$21, "Not found", 0),"Rl",_xlfn.XLOOKUP(E17&amp;"|"&amp;B17,
        Calculate_cap_ener!$I$14:$I$21&amp;"|"&amp;Calculate_cap_ener!$L$14:$L$21,
        Calculate_cap_ener!$BH$14:$BH$21, "Not found", 0),"HP",_xlfn.XLOOKUP(E17&amp;"|"&amp;B17,
        Calculate_cap_ener!$I$14:$I$21&amp;"|"&amp;Calculate_cap_ener!$L$14:$L$21,
        Calculate_cap_ener!$BF$14:$BF$21, "Not found", 0),"HPl",_xlfn.XLOOKUP(E17&amp;"|"&amp;B17,
        Calculate_cap_ener!$I$14:$I$21&amp;"|"&amp;Calculate_cap_ener!$L$14:$L$21,
        Calculate_cap_ener!$BI$14:$BI$21, "Not found", 0),"Missing")</f>
        <v>0</v>
      </c>
    </row>
    <row r="18" spans="1:20" x14ac:dyDescent="0.25">
      <c r="A18" s="5" t="s">
        <v>4</v>
      </c>
      <c r="B18" s="5" t="str">
        <f t="shared" si="0"/>
        <v>Mass-Nom</v>
      </c>
      <c r="C18" s="5" t="str">
        <f t="shared" si="1"/>
        <v>Mass</v>
      </c>
      <c r="D18" s="5" t="str">
        <f t="shared" si="2"/>
        <v>Nom</v>
      </c>
      <c r="E18" s="5" t="s">
        <v>3</v>
      </c>
      <c r="F18" s="5" t="s">
        <v>15</v>
      </c>
      <c r="G18" s="5"/>
      <c r="H18" s="5"/>
      <c r="I18" s="5" cm="1">
        <f t="array" ref="I18">_xlfn.SWITCH(F18,"R",_xlfn.XLOOKUP(E18&amp;"|"&amp;B18,
        Calculate_cap_ener!$I$14:$I$21&amp;"|"&amp;Calculate_cap_ener!$L$14:$L$21,
        Calculate_cap_ener!$W$14:$W$21, "Not found", 0),"Rb",_xlfn.XLOOKUP(E18&amp;"|"&amp;B18,
        Calculate_cap_ener!$I$14:$I$21&amp;"|"&amp;Calculate_cap_ener!$L$14:$L$21,
        Calculate_cap_ener!$Y$14:$Y$21, "Not found", 0),"Rl",_xlfn.XLOOKUP(E18&amp;"|"&amp;B18,
        Calculate_cap_ener!$I$14:$I$21&amp;"|"&amp;Calculate_cap_ener!$L$14:$L$21,
        Calculate_cap_ener!$Z$14:$Z$21, "Not found", 0),0)</f>
        <v>4</v>
      </c>
      <c r="J18" s="5"/>
      <c r="K18" s="5"/>
      <c r="L18" s="5" cm="1">
        <f t="array" ref="L18">_xlfn.SWITCH(F18,"R",_xlfn.XLOOKUP(E18&amp;"|"&amp;B18,
        Calculate_cap_ener!$I$14:$I$21&amp;"|"&amp;Calculate_cap_ener!$L$14:$L$21,
        Calculate_cap_ener!$AC$14:$AC$21, "Not found", 0),"Rb",_xlfn.XLOOKUP(E18&amp;"|"&amp;B18,
        Calculate_cap_ener!$I$14:$I$21&amp;"|"&amp;Calculate_cap_ener!$L$14:$L$21,
        Calculate_cap_ener!$AE$14:$AE$21, "Not found", 0),"Rl",_xlfn.XLOOKUP(E18&amp;"|"&amp;B18,
        Calculate_cap_ener!$I$14:$I$21&amp;"|"&amp;Calculate_cap_ener!$L$14:$L$21,
        Calculate_cap_ener!$AF$14:$AF$21, "Not found", 0),"HP",_xlfn.XLOOKUP(E18&amp;"|"&amp;B18,
        Calculate_cap_ener!$I$14:$I$21&amp;"|"&amp;Calculate_cap_ener!$L$14:$L$21,
        Calculate_cap_ener!$AD$14:$AD$21, "Not found", 0),"HPl",_xlfn.XLOOKUP(E18&amp;"|"&amp;B18,
        Calculate_cap_ener!$I$14:$I$21&amp;"|"&amp;Calculate_cap_ener!$L$14:$L$21,
        Calculate_cap_ener!$AG$14:$AG$21, "Not found", 0),"Missing")</f>
        <v>8707.5475657174447</v>
      </c>
      <c r="M18" s="5"/>
      <c r="N18" s="5"/>
      <c r="O18" s="5"/>
      <c r="P18" s="5"/>
      <c r="Q18" s="5" cm="1">
        <f t="array" ref="Q18">_xlfn.SWITCH(F18,"R",_xlfn.XLOOKUP(E18&amp;"|"&amp;B18,
        Calculate_cap_ener!$I$14:$I$21&amp;"|"&amp;Calculate_cap_ener!$L$14:$L$21,
        Calculate_cap_ener!$AJ$14:$AJ$21, "Not found", 0),"Rb",_xlfn.XLOOKUP(E18&amp;"|"&amp;B18,
        Calculate_cap_ener!$I$14:$I$21&amp;"|"&amp;Calculate_cap_ener!$L$14:$L$21,
        Calculate_cap_ener!$AL$14:$AL$21, "Not found", 0),"Rl",_xlfn.XLOOKUP(E18&amp;"|"&amp;B18,
        Calculate_cap_ener!$I$14:$I$21&amp;"|"&amp;Calculate_cap_ener!$L$14:$L$21,
        Calculate_cap_ener!$AM$14:$AM$21, "Not found", 0),"HP",_xlfn.XLOOKUP(E18&amp;"|"&amp;B18,
        Calculate_cap_ener!$I$14:$I$21&amp;"|"&amp;Calculate_cap_ener!$L$14:$L$21,
        Calculate_cap_ener!$AK$14:$AK$21, "Not found", 0),"HPl",_xlfn.XLOOKUP(E18&amp;"|"&amp;B18,
        Calculate_cap_ener!$I$14:$I$21&amp;"|"&amp;Calculate_cap_ener!$L$14:$L$21,
        Calculate_cap_ener!$AN$14:$AN$21, "Not found", 0),"Missing")</f>
        <v>348.82453082358001</v>
      </c>
      <c r="R18" s="5" cm="1">
        <f t="array" ref="R18">_xlfn.SWITCH(F18,"R",_xlfn.XLOOKUP(E18&amp;"|"&amp;B18,
        Calculate_cap_ener!$I$14:$I$21&amp;"|"&amp;Calculate_cap_ener!$L$14:$L$21,
        Calculate_cap_ener!$AQ$14:$AQ$21, "Not found", 0),"Rb",_xlfn.XLOOKUP(E18&amp;"|"&amp;B18,
        Calculate_cap_ener!$I$14:$I$21&amp;"|"&amp;Calculate_cap_ener!$L$14:$L$21,
        Calculate_cap_ener!$AS$14:$AS$21, "Not found", 0),"Rl",_xlfn.XLOOKUP(E18&amp;"|"&amp;B18,
        Calculate_cap_ener!$I$14:$I$21&amp;"|"&amp;Calculate_cap_ener!$L$14:$L$21,
        Calculate_cap_ener!$AT$14:$AT$21, "Not found", 0),"HP",_xlfn.XLOOKUP(E18&amp;"|"&amp;B18,
        Calculate_cap_ener!$I$14:$I$21&amp;"|"&amp;Calculate_cap_ener!$L$14:$L$21,
        Calculate_cap_ener!$AR$14:$AR$21, "Not found", 0),"HPl",_xlfn.XLOOKUP(E18&amp;"|"&amp;B18,
        Calculate_cap_ener!$I$14:$I$21&amp;"|"&amp;Calculate_cap_ener!$L$14:$L$21,
        Calculate_cap_ener!$AU$14:$AU$21, "Not found", 0),"Missing")</f>
        <v>6.2362083890274747</v>
      </c>
      <c r="S18" s="5" cm="1">
        <f t="array" ref="S18">_xlfn.SWITCH(F18,"R",_xlfn.XLOOKUP(E18&amp;"|"&amp;B18,
        Calculate_cap_ener!$I$14:$I$21&amp;"|"&amp;Calculate_cap_ener!$L$14:$L$21,
        Calculate_cap_ener!$AX$14:$AX$21, "Not found", 0),"Rb",_xlfn.XLOOKUP(E18&amp;"|"&amp;B18,
        Calculate_cap_ener!$I$14:$I$21&amp;"|"&amp;Calculate_cap_ener!$L$14:$L$21,
        Calculate_cap_ener!$AZ$14:$AZ$21, "Not found", 0),"Rl",_xlfn.XLOOKUP(E18&amp;"|"&amp;B18,
        Calculate_cap_ener!$I$14:$I$21&amp;"|"&amp;Calculate_cap_ener!$L$14:$L$21,
        Calculate_cap_ener!$BA$14:$BA$21, "Not found", 0),"HP",_xlfn.XLOOKUP(E18&amp;"|"&amp;B18,
        Calculate_cap_ener!$I$14:$I$21&amp;"|"&amp;Calculate_cap_ener!$L$14:$L$21,
        Calculate_cap_ener!$AY$14:$AY$21, "Not found", 0),"HPl",_xlfn.XLOOKUP(E18&amp;"|"&amp;B18,
        Calculate_cap_ener!$I$14:$I$21&amp;"|"&amp;Calculate_cap_ener!$L$14:$L$21,
        Calculate_cap_ener!$BB$14:$BB$21, "Not found", 0),"Missing")</f>
        <v>35.131420959517477</v>
      </c>
      <c r="T18" s="5" cm="1">
        <f t="array" ref="T18">_xlfn.SWITCH(F18,"R",_xlfn.XLOOKUP(E18&amp;"|"&amp;B18,
        Calculate_cap_ener!$I$14:$I$21&amp;"|"&amp;Calculate_cap_ener!$L$14:$L$21,
        Calculate_cap_ener!$BE$14:$BE$21, "Not found", 0),"Rb",_xlfn.XLOOKUP(E18&amp;"|"&amp;B18,
        Calculate_cap_ener!$I$14:$I$21&amp;"|"&amp;Calculate_cap_ener!$L$14:$L$21,
        Calculate_cap_ener!$BG$14:$BG$21, "Not found", 0),"Rl",_xlfn.XLOOKUP(E18&amp;"|"&amp;B18,
        Calculate_cap_ener!$I$14:$I$21&amp;"|"&amp;Calculate_cap_ener!$L$14:$L$21,
        Calculate_cap_ener!$BH$14:$BH$21, "Not found", 0),"HP",_xlfn.XLOOKUP(E18&amp;"|"&amp;B18,
        Calculate_cap_ener!$I$14:$I$21&amp;"|"&amp;Calculate_cap_ener!$L$14:$L$21,
        Calculate_cap_ener!$BF$14:$BF$21, "Not found", 0),"HPl",_xlfn.XLOOKUP(E18&amp;"|"&amp;B18,
        Calculate_cap_ener!$I$14:$I$21&amp;"|"&amp;Calculate_cap_ener!$L$14:$L$21,
        Calculate_cap_ener!$BI$14:$BI$21, "Not found", 0),"Missing")</f>
        <v>0</v>
      </c>
    </row>
    <row r="19" spans="1:20" x14ac:dyDescent="0.25">
      <c r="A19" s="5" t="s">
        <v>2</v>
      </c>
      <c r="B19" s="5" t="str">
        <f t="shared" si="0"/>
        <v>Mass-Nom</v>
      </c>
      <c r="C19" s="5" t="str">
        <f t="shared" si="1"/>
        <v>Mass</v>
      </c>
      <c r="D19" s="5" t="str">
        <f t="shared" si="2"/>
        <v>Nom</v>
      </c>
      <c r="E19" s="5" t="s">
        <v>3</v>
      </c>
      <c r="F19" s="5" t="s">
        <v>15</v>
      </c>
      <c r="G19" s="5"/>
      <c r="H19" s="5"/>
      <c r="I19" s="5" cm="1">
        <f t="array" ref="I19">_xlfn.SWITCH(F19,"R",_xlfn.XLOOKUP(E19&amp;"|"&amp;B19,
        Calculate_cap_ener!$I$14:$I$21&amp;"|"&amp;Calculate_cap_ener!$L$14:$L$21,
        Calculate_cap_ener!$W$14:$W$21, "Not found", 0),"Rb",_xlfn.XLOOKUP(E19&amp;"|"&amp;B19,
        Calculate_cap_ener!$I$14:$I$21&amp;"|"&amp;Calculate_cap_ener!$L$14:$L$21,
        Calculate_cap_ener!$Y$14:$Y$21, "Not found", 0),"Rl",_xlfn.XLOOKUP(E19&amp;"|"&amp;B19,
        Calculate_cap_ener!$I$14:$I$21&amp;"|"&amp;Calculate_cap_ener!$L$14:$L$21,
        Calculate_cap_ener!$Z$14:$Z$21, "Not found", 0),0)</f>
        <v>4</v>
      </c>
      <c r="J19" s="5"/>
      <c r="K19" s="5"/>
      <c r="L19" s="5" cm="1">
        <f t="array" ref="L19">_xlfn.SWITCH(F19,"R",_xlfn.XLOOKUP(E19&amp;"|"&amp;B19,
        Calculate_cap_ener!$I$14:$I$21&amp;"|"&amp;Calculate_cap_ener!$L$14:$L$21,
        Calculate_cap_ener!$AC$14:$AC$21, "Not found", 0),"Rb",_xlfn.XLOOKUP(E19&amp;"|"&amp;B19,
        Calculate_cap_ener!$I$14:$I$21&amp;"|"&amp;Calculate_cap_ener!$L$14:$L$21,
        Calculate_cap_ener!$AE$14:$AE$21, "Not found", 0),"Rl",_xlfn.XLOOKUP(E19&amp;"|"&amp;B19,
        Calculate_cap_ener!$I$14:$I$21&amp;"|"&amp;Calculate_cap_ener!$L$14:$L$21,
        Calculate_cap_ener!$AF$14:$AF$21, "Not found", 0),"HP",_xlfn.XLOOKUP(E19&amp;"|"&amp;B19,
        Calculate_cap_ener!$I$14:$I$21&amp;"|"&amp;Calculate_cap_ener!$L$14:$L$21,
        Calculate_cap_ener!$AD$14:$AD$21, "Not found", 0),"HPl",_xlfn.XLOOKUP(E19&amp;"|"&amp;B19,
        Calculate_cap_ener!$I$14:$I$21&amp;"|"&amp;Calculate_cap_ener!$L$14:$L$21,
        Calculate_cap_ener!$AG$14:$AG$21, "Not found", 0),"Missing")</f>
        <v>8707.5475657174447</v>
      </c>
      <c r="M19" s="5"/>
      <c r="N19" s="5"/>
      <c r="O19" s="5"/>
      <c r="P19" s="5"/>
      <c r="Q19" s="5" cm="1">
        <f t="array" ref="Q19">_xlfn.SWITCH(F19,"R",_xlfn.XLOOKUP(E19&amp;"|"&amp;B19,
        Calculate_cap_ener!$I$14:$I$21&amp;"|"&amp;Calculate_cap_ener!$L$14:$L$21,
        Calculate_cap_ener!$AJ$14:$AJ$21, "Not found", 0),"Rb",_xlfn.XLOOKUP(E19&amp;"|"&amp;B19,
        Calculate_cap_ener!$I$14:$I$21&amp;"|"&amp;Calculate_cap_ener!$L$14:$L$21,
        Calculate_cap_ener!$AL$14:$AL$21, "Not found", 0),"Rl",_xlfn.XLOOKUP(E19&amp;"|"&amp;B19,
        Calculate_cap_ener!$I$14:$I$21&amp;"|"&amp;Calculate_cap_ener!$L$14:$L$21,
        Calculate_cap_ener!$AM$14:$AM$21, "Not found", 0),"HP",_xlfn.XLOOKUP(E19&amp;"|"&amp;B19,
        Calculate_cap_ener!$I$14:$I$21&amp;"|"&amp;Calculate_cap_ener!$L$14:$L$21,
        Calculate_cap_ener!$AK$14:$AK$21, "Not found", 0),"HPl",_xlfn.XLOOKUP(E19&amp;"|"&amp;B19,
        Calculate_cap_ener!$I$14:$I$21&amp;"|"&amp;Calculate_cap_ener!$L$14:$L$21,
        Calculate_cap_ener!$AN$14:$AN$21, "Not found", 0),"Missing")</f>
        <v>348.82453082358001</v>
      </c>
      <c r="R19" s="5" cm="1">
        <f t="array" ref="R19">_xlfn.SWITCH(F19,"R",_xlfn.XLOOKUP(E19&amp;"|"&amp;B19,
        Calculate_cap_ener!$I$14:$I$21&amp;"|"&amp;Calculate_cap_ener!$L$14:$L$21,
        Calculate_cap_ener!$AQ$14:$AQ$21, "Not found", 0),"Rb",_xlfn.XLOOKUP(E19&amp;"|"&amp;B19,
        Calculate_cap_ener!$I$14:$I$21&amp;"|"&amp;Calculate_cap_ener!$L$14:$L$21,
        Calculate_cap_ener!$AS$14:$AS$21, "Not found", 0),"Rl",_xlfn.XLOOKUP(E19&amp;"|"&amp;B19,
        Calculate_cap_ener!$I$14:$I$21&amp;"|"&amp;Calculate_cap_ener!$L$14:$L$21,
        Calculate_cap_ener!$AT$14:$AT$21, "Not found", 0),"HP",_xlfn.XLOOKUP(E19&amp;"|"&amp;B19,
        Calculate_cap_ener!$I$14:$I$21&amp;"|"&amp;Calculate_cap_ener!$L$14:$L$21,
        Calculate_cap_ener!$AR$14:$AR$21, "Not found", 0),"HPl",_xlfn.XLOOKUP(E19&amp;"|"&amp;B19,
        Calculate_cap_ener!$I$14:$I$21&amp;"|"&amp;Calculate_cap_ener!$L$14:$L$21,
        Calculate_cap_ener!$AU$14:$AU$21, "Not found", 0),"Missing")</f>
        <v>6.2362083890274747</v>
      </c>
      <c r="S19" s="5" cm="1">
        <f t="array" ref="S19">_xlfn.SWITCH(F19,"R",_xlfn.XLOOKUP(E19&amp;"|"&amp;B19,
        Calculate_cap_ener!$I$14:$I$21&amp;"|"&amp;Calculate_cap_ener!$L$14:$L$21,
        Calculate_cap_ener!$AX$14:$AX$21, "Not found", 0),"Rb",_xlfn.XLOOKUP(E19&amp;"|"&amp;B19,
        Calculate_cap_ener!$I$14:$I$21&amp;"|"&amp;Calculate_cap_ener!$L$14:$L$21,
        Calculate_cap_ener!$AZ$14:$AZ$21, "Not found", 0),"Rl",_xlfn.XLOOKUP(E19&amp;"|"&amp;B19,
        Calculate_cap_ener!$I$14:$I$21&amp;"|"&amp;Calculate_cap_ener!$L$14:$L$21,
        Calculate_cap_ener!$BA$14:$BA$21, "Not found", 0),"HP",_xlfn.XLOOKUP(E19&amp;"|"&amp;B19,
        Calculate_cap_ener!$I$14:$I$21&amp;"|"&amp;Calculate_cap_ener!$L$14:$L$21,
        Calculate_cap_ener!$AY$14:$AY$21, "Not found", 0),"HPl",_xlfn.XLOOKUP(E19&amp;"|"&amp;B19,
        Calculate_cap_ener!$I$14:$I$21&amp;"|"&amp;Calculate_cap_ener!$L$14:$L$21,
        Calculate_cap_ener!$BB$14:$BB$21, "Not found", 0),"Missing")</f>
        <v>35.131420959517477</v>
      </c>
      <c r="T19" s="5" cm="1">
        <f t="array" ref="T19">_xlfn.SWITCH(F19,"R",_xlfn.XLOOKUP(E19&amp;"|"&amp;B19,
        Calculate_cap_ener!$I$14:$I$21&amp;"|"&amp;Calculate_cap_ener!$L$14:$L$21,
        Calculate_cap_ener!$BE$14:$BE$21, "Not found", 0),"Rb",_xlfn.XLOOKUP(E19&amp;"|"&amp;B19,
        Calculate_cap_ener!$I$14:$I$21&amp;"|"&amp;Calculate_cap_ener!$L$14:$L$21,
        Calculate_cap_ener!$BG$14:$BG$21, "Not found", 0),"Rl",_xlfn.XLOOKUP(E19&amp;"|"&amp;B19,
        Calculate_cap_ener!$I$14:$I$21&amp;"|"&amp;Calculate_cap_ener!$L$14:$L$21,
        Calculate_cap_ener!$BH$14:$BH$21, "Not found", 0),"HP",_xlfn.XLOOKUP(E19&amp;"|"&amp;B19,
        Calculate_cap_ener!$I$14:$I$21&amp;"|"&amp;Calculate_cap_ener!$L$14:$L$21,
        Calculate_cap_ener!$BF$14:$BF$21, "Not found", 0),"HPl",_xlfn.XLOOKUP(E19&amp;"|"&amp;B19,
        Calculate_cap_ener!$I$14:$I$21&amp;"|"&amp;Calculate_cap_ener!$L$14:$L$21,
        Calculate_cap_ener!$BI$14:$BI$21, "Not found", 0),"Missing")</f>
        <v>0</v>
      </c>
    </row>
    <row r="20" spans="1:20" x14ac:dyDescent="0.25">
      <c r="A20" s="5" t="s">
        <v>5</v>
      </c>
      <c r="B20" s="5" t="str">
        <f t="shared" si="0"/>
        <v>Mass-H1</v>
      </c>
      <c r="C20" s="5" t="str">
        <f t="shared" si="1"/>
        <v>Mass</v>
      </c>
      <c r="D20" s="5" t="str">
        <f t="shared" si="2"/>
        <v>H1</v>
      </c>
      <c r="E20" s="5" t="s">
        <v>3</v>
      </c>
      <c r="F20" s="5" t="s">
        <v>15</v>
      </c>
      <c r="G20" s="5"/>
      <c r="H20" s="5"/>
      <c r="I20" s="5" cm="1">
        <f t="array" ref="I20">_xlfn.SWITCH(F20,"R",_xlfn.XLOOKUP(E20&amp;"|"&amp;B20,
        Calculate_cap_ener!$I$14:$I$21&amp;"|"&amp;Calculate_cap_ener!$L$14:$L$21,
        Calculate_cap_ener!$W$14:$W$21, "Not found", 0),"Rb",_xlfn.XLOOKUP(E20&amp;"|"&amp;B20,
        Calculate_cap_ener!$I$14:$I$21&amp;"|"&amp;Calculate_cap_ener!$L$14:$L$21,
        Calculate_cap_ener!$Y$14:$Y$21, "Not found", 0),"Rl",_xlfn.XLOOKUP(E20&amp;"|"&amp;B20,
        Calculate_cap_ener!$I$14:$I$21&amp;"|"&amp;Calculate_cap_ener!$L$14:$L$21,
        Calculate_cap_ener!$Z$14:$Z$21, "Not found", 0),0)</f>
        <v>2</v>
      </c>
      <c r="J20" s="5"/>
      <c r="K20" s="5"/>
      <c r="L20" s="5" cm="1">
        <f t="array" ref="L20">_xlfn.SWITCH(F20,"R",_xlfn.XLOOKUP(E20&amp;"|"&amp;B20,
        Calculate_cap_ener!$I$14:$I$21&amp;"|"&amp;Calculate_cap_ener!$L$14:$L$21,
        Calculate_cap_ener!$AC$14:$AC$21, "Not found", 0),"Rb",_xlfn.XLOOKUP(E20&amp;"|"&amp;B20,
        Calculate_cap_ener!$I$14:$I$21&amp;"|"&amp;Calculate_cap_ener!$L$14:$L$21,
        Calculate_cap_ener!$AE$14:$AE$21, "Not found", 0),"Rl",_xlfn.XLOOKUP(E20&amp;"|"&amp;B20,
        Calculate_cap_ener!$I$14:$I$21&amp;"|"&amp;Calculate_cap_ener!$L$14:$L$21,
        Calculate_cap_ener!$AF$14:$AF$21, "Not found", 0),"HP",_xlfn.XLOOKUP(E20&amp;"|"&amp;B20,
        Calculate_cap_ener!$I$14:$I$21&amp;"|"&amp;Calculate_cap_ener!$L$14:$L$21,
        Calculate_cap_ener!$AD$14:$AD$21, "Not found", 0),"HPl",_xlfn.XLOOKUP(E20&amp;"|"&amp;B20,
        Calculate_cap_ener!$I$14:$I$21&amp;"|"&amp;Calculate_cap_ener!$L$14:$L$21,
        Calculate_cap_ener!$AG$14:$AG$21, "Not found", 0),"Missing")</f>
        <v>6248.7743688918881</v>
      </c>
      <c r="M20" s="5"/>
      <c r="N20" s="5"/>
      <c r="O20" s="5"/>
      <c r="P20" s="5"/>
      <c r="Q20" s="5" cm="1">
        <f t="array" ref="Q20">_xlfn.SWITCH(F20,"R",_xlfn.XLOOKUP(E20&amp;"|"&amp;B20,
        Calculate_cap_ener!$I$14:$I$21&amp;"|"&amp;Calculate_cap_ener!$L$14:$L$21,
        Calculate_cap_ener!$AJ$14:$AJ$21, "Not found", 0),"Rb",_xlfn.XLOOKUP(E20&amp;"|"&amp;B20,
        Calculate_cap_ener!$I$14:$I$21&amp;"|"&amp;Calculate_cap_ener!$L$14:$L$21,
        Calculate_cap_ener!$AL$14:$AL$21, "Not found", 0),"Rl",_xlfn.XLOOKUP(E20&amp;"|"&amp;B20,
        Calculate_cap_ener!$I$14:$I$21&amp;"|"&amp;Calculate_cap_ener!$L$14:$L$21,
        Calculate_cap_ener!$AM$14:$AM$21, "Not found", 0),"HP",_xlfn.XLOOKUP(E20&amp;"|"&amp;B20,
        Calculate_cap_ener!$I$14:$I$21&amp;"|"&amp;Calculate_cap_ener!$L$14:$L$21,
        Calculate_cap_ener!$AK$14:$AK$21, "Not found", 0),"HPl",_xlfn.XLOOKUP(E20&amp;"|"&amp;B20,
        Calculate_cap_ener!$I$14:$I$21&amp;"|"&amp;Calculate_cap_ener!$L$14:$L$21,
        Calculate_cap_ener!$AN$14:$AN$21, "Not found", 0),"Missing")</f>
        <v>221.5911942468</v>
      </c>
      <c r="R20" s="5" cm="1">
        <f t="array" ref="R20">_xlfn.SWITCH(F20,"R",_xlfn.XLOOKUP(E20&amp;"|"&amp;B20,
        Calculate_cap_ener!$I$14:$I$21&amp;"|"&amp;Calculate_cap_ener!$L$14:$L$21,
        Calculate_cap_ener!$AQ$14:$AQ$21, "Not found", 0),"Rb",_xlfn.XLOOKUP(E20&amp;"|"&amp;B20,
        Calculate_cap_ener!$I$14:$I$21&amp;"|"&amp;Calculate_cap_ener!$L$14:$L$21,
        Calculate_cap_ener!$AS$14:$AS$21, "Not found", 0),"Rl",_xlfn.XLOOKUP(E20&amp;"|"&amp;B20,
        Calculate_cap_ener!$I$14:$I$21&amp;"|"&amp;Calculate_cap_ener!$L$14:$L$21,
        Calculate_cap_ener!$AT$14:$AT$21, "Not found", 0),"HP",_xlfn.XLOOKUP(E20&amp;"|"&amp;B20,
        Calculate_cap_ener!$I$14:$I$21&amp;"|"&amp;Calculate_cap_ener!$L$14:$L$21,
        Calculate_cap_ener!$AR$14:$AR$21, "Not found", 0),"HPl",_xlfn.XLOOKUP(E20&amp;"|"&amp;B20,
        Calculate_cap_ener!$I$14:$I$21&amp;"|"&amp;Calculate_cap_ener!$L$14:$L$21,
        Calculate_cap_ener!$AU$14:$AU$21, "Not found", 0),"Missing")</f>
        <v>4.5756503732009577</v>
      </c>
      <c r="S20" s="5" cm="1">
        <f t="array" ref="S20">_xlfn.SWITCH(F20,"R",_xlfn.XLOOKUP(E20&amp;"|"&amp;B20,
        Calculate_cap_ener!$I$14:$I$21&amp;"|"&amp;Calculate_cap_ener!$L$14:$L$21,
        Calculate_cap_ener!$AX$14:$AX$21, "Not found", 0),"Rb",_xlfn.XLOOKUP(E20&amp;"|"&amp;B20,
        Calculate_cap_ener!$I$14:$I$21&amp;"|"&amp;Calculate_cap_ener!$L$14:$L$21,
        Calculate_cap_ener!$AZ$14:$AZ$21, "Not found", 0),"Rl",_xlfn.XLOOKUP(E20&amp;"|"&amp;B20,
        Calculate_cap_ener!$I$14:$I$21&amp;"|"&amp;Calculate_cap_ener!$L$14:$L$21,
        Calculate_cap_ener!$BA$14:$BA$21, "Not found", 0),"HP",_xlfn.XLOOKUP(E20&amp;"|"&amp;B20,
        Calculate_cap_ener!$I$14:$I$21&amp;"|"&amp;Calculate_cap_ener!$L$14:$L$21,
        Calculate_cap_ener!$AY$14:$AY$21, "Not found", 0),"HPl",_xlfn.XLOOKUP(E20&amp;"|"&amp;B20,
        Calculate_cap_ener!$I$14:$I$21&amp;"|"&amp;Calculate_cap_ener!$L$14:$L$21,
        Calculate_cap_ener!$BB$14:$BB$21, "Not found", 0),"Missing")</f>
        <v>27.594706715911837</v>
      </c>
      <c r="T20" s="5" cm="1">
        <f t="array" ref="T20">_xlfn.SWITCH(F20,"R",_xlfn.XLOOKUP(E20&amp;"|"&amp;B20,
        Calculate_cap_ener!$I$14:$I$21&amp;"|"&amp;Calculate_cap_ener!$L$14:$L$21,
        Calculate_cap_ener!$BE$14:$BE$21, "Not found", 0),"Rb",_xlfn.XLOOKUP(E20&amp;"|"&amp;B20,
        Calculate_cap_ener!$I$14:$I$21&amp;"|"&amp;Calculate_cap_ener!$L$14:$L$21,
        Calculate_cap_ener!$BG$14:$BG$21, "Not found", 0),"Rl",_xlfn.XLOOKUP(E20&amp;"|"&amp;B20,
        Calculate_cap_ener!$I$14:$I$21&amp;"|"&amp;Calculate_cap_ener!$L$14:$L$21,
        Calculate_cap_ener!$BH$14:$BH$21, "Not found", 0),"HP",_xlfn.XLOOKUP(E20&amp;"|"&amp;B20,
        Calculate_cap_ener!$I$14:$I$21&amp;"|"&amp;Calculate_cap_ener!$L$14:$L$21,
        Calculate_cap_ener!$BF$14:$BF$21, "Not found", 0),"HPl",_xlfn.XLOOKUP(E20&amp;"|"&amp;B20,
        Calculate_cap_ener!$I$14:$I$21&amp;"|"&amp;Calculate_cap_ener!$L$14:$L$21,
        Calculate_cap_ener!$BI$14:$BI$21, "Not found", 0),"Missing")</f>
        <v>0</v>
      </c>
    </row>
    <row r="21" spans="1:20" x14ac:dyDescent="0.25">
      <c r="A21" s="5" t="s">
        <v>6</v>
      </c>
      <c r="B21" s="5" t="str">
        <f t="shared" si="0"/>
        <v>Mass-H1</v>
      </c>
      <c r="C21" s="5" t="str">
        <f t="shared" si="1"/>
        <v>Mass</v>
      </c>
      <c r="D21" s="5" t="str">
        <f t="shared" si="2"/>
        <v>H1</v>
      </c>
      <c r="E21" s="5" t="s">
        <v>3</v>
      </c>
      <c r="F21" s="5" t="s">
        <v>15</v>
      </c>
      <c r="G21" s="5"/>
      <c r="H21" s="5"/>
      <c r="I21" s="5" cm="1">
        <f t="array" ref="I21">_xlfn.SWITCH(F21,"R",_xlfn.XLOOKUP(E21&amp;"|"&amp;B21,
        Calculate_cap_ener!$I$14:$I$21&amp;"|"&amp;Calculate_cap_ener!$L$14:$L$21,
        Calculate_cap_ener!$W$14:$W$21, "Not found", 0),"Rb",_xlfn.XLOOKUP(E21&amp;"|"&amp;B21,
        Calculate_cap_ener!$I$14:$I$21&amp;"|"&amp;Calculate_cap_ener!$L$14:$L$21,
        Calculate_cap_ener!$Y$14:$Y$21, "Not found", 0),"Rl",_xlfn.XLOOKUP(E21&amp;"|"&amp;B21,
        Calculate_cap_ener!$I$14:$I$21&amp;"|"&amp;Calculate_cap_ener!$L$14:$L$21,
        Calculate_cap_ener!$Z$14:$Z$21, "Not found", 0),0)</f>
        <v>2</v>
      </c>
      <c r="J21" s="5"/>
      <c r="K21" s="5"/>
      <c r="L21" s="5" cm="1">
        <f t="array" ref="L21">_xlfn.SWITCH(F21,"R",_xlfn.XLOOKUP(E21&amp;"|"&amp;B21,
        Calculate_cap_ener!$I$14:$I$21&amp;"|"&amp;Calculate_cap_ener!$L$14:$L$21,
        Calculate_cap_ener!$AC$14:$AC$21, "Not found", 0),"Rb",_xlfn.XLOOKUP(E21&amp;"|"&amp;B21,
        Calculate_cap_ener!$I$14:$I$21&amp;"|"&amp;Calculate_cap_ener!$L$14:$L$21,
        Calculate_cap_ener!$AE$14:$AE$21, "Not found", 0),"Rl",_xlfn.XLOOKUP(E21&amp;"|"&amp;B21,
        Calculate_cap_ener!$I$14:$I$21&amp;"|"&amp;Calculate_cap_ener!$L$14:$L$21,
        Calculate_cap_ener!$AF$14:$AF$21, "Not found", 0),"HP",_xlfn.XLOOKUP(E21&amp;"|"&amp;B21,
        Calculate_cap_ener!$I$14:$I$21&amp;"|"&amp;Calculate_cap_ener!$L$14:$L$21,
        Calculate_cap_ener!$AD$14:$AD$21, "Not found", 0),"HPl",_xlfn.XLOOKUP(E21&amp;"|"&amp;B21,
        Calculate_cap_ener!$I$14:$I$21&amp;"|"&amp;Calculate_cap_ener!$L$14:$L$21,
        Calculate_cap_ener!$AG$14:$AG$21, "Not found", 0),"Missing")</f>
        <v>6248.7743688918881</v>
      </c>
      <c r="M21" s="5"/>
      <c r="N21" s="5"/>
      <c r="O21" s="5"/>
      <c r="P21" s="5"/>
      <c r="Q21" s="5" cm="1">
        <f t="array" ref="Q21">_xlfn.SWITCH(F21,"R",_xlfn.XLOOKUP(E21&amp;"|"&amp;B21,
        Calculate_cap_ener!$I$14:$I$21&amp;"|"&amp;Calculate_cap_ener!$L$14:$L$21,
        Calculate_cap_ener!$AJ$14:$AJ$21, "Not found", 0),"Rb",_xlfn.XLOOKUP(E21&amp;"|"&amp;B21,
        Calculate_cap_ener!$I$14:$I$21&amp;"|"&amp;Calculate_cap_ener!$L$14:$L$21,
        Calculate_cap_ener!$AL$14:$AL$21, "Not found", 0),"Rl",_xlfn.XLOOKUP(E21&amp;"|"&amp;B21,
        Calculate_cap_ener!$I$14:$I$21&amp;"|"&amp;Calculate_cap_ener!$L$14:$L$21,
        Calculate_cap_ener!$AM$14:$AM$21, "Not found", 0),"HP",_xlfn.XLOOKUP(E21&amp;"|"&amp;B21,
        Calculate_cap_ener!$I$14:$I$21&amp;"|"&amp;Calculate_cap_ener!$L$14:$L$21,
        Calculate_cap_ener!$AK$14:$AK$21, "Not found", 0),"HPl",_xlfn.XLOOKUP(E21&amp;"|"&amp;B21,
        Calculate_cap_ener!$I$14:$I$21&amp;"|"&amp;Calculate_cap_ener!$L$14:$L$21,
        Calculate_cap_ener!$AN$14:$AN$21, "Not found", 0),"Missing")</f>
        <v>221.5911942468</v>
      </c>
      <c r="R21" s="5" cm="1">
        <f t="array" ref="R21">_xlfn.SWITCH(F21,"R",_xlfn.XLOOKUP(E21&amp;"|"&amp;B21,
        Calculate_cap_ener!$I$14:$I$21&amp;"|"&amp;Calculate_cap_ener!$L$14:$L$21,
        Calculate_cap_ener!$AQ$14:$AQ$21, "Not found", 0),"Rb",_xlfn.XLOOKUP(E21&amp;"|"&amp;B21,
        Calculate_cap_ener!$I$14:$I$21&amp;"|"&amp;Calculate_cap_ener!$L$14:$L$21,
        Calculate_cap_ener!$AS$14:$AS$21, "Not found", 0),"Rl",_xlfn.XLOOKUP(E21&amp;"|"&amp;B21,
        Calculate_cap_ener!$I$14:$I$21&amp;"|"&amp;Calculate_cap_ener!$L$14:$L$21,
        Calculate_cap_ener!$AT$14:$AT$21, "Not found", 0),"HP",_xlfn.XLOOKUP(E21&amp;"|"&amp;B21,
        Calculate_cap_ener!$I$14:$I$21&amp;"|"&amp;Calculate_cap_ener!$L$14:$L$21,
        Calculate_cap_ener!$AR$14:$AR$21, "Not found", 0),"HPl",_xlfn.XLOOKUP(E21&amp;"|"&amp;B21,
        Calculate_cap_ener!$I$14:$I$21&amp;"|"&amp;Calculate_cap_ener!$L$14:$L$21,
        Calculate_cap_ener!$AU$14:$AU$21, "Not found", 0),"Missing")</f>
        <v>4.5756503732009577</v>
      </c>
      <c r="S21" s="5" cm="1">
        <f t="array" ref="S21">_xlfn.SWITCH(F21,"R",_xlfn.XLOOKUP(E21&amp;"|"&amp;B21,
        Calculate_cap_ener!$I$14:$I$21&amp;"|"&amp;Calculate_cap_ener!$L$14:$L$21,
        Calculate_cap_ener!$AX$14:$AX$21, "Not found", 0),"Rb",_xlfn.XLOOKUP(E21&amp;"|"&amp;B21,
        Calculate_cap_ener!$I$14:$I$21&amp;"|"&amp;Calculate_cap_ener!$L$14:$L$21,
        Calculate_cap_ener!$AZ$14:$AZ$21, "Not found", 0),"Rl",_xlfn.XLOOKUP(E21&amp;"|"&amp;B21,
        Calculate_cap_ener!$I$14:$I$21&amp;"|"&amp;Calculate_cap_ener!$L$14:$L$21,
        Calculate_cap_ener!$BA$14:$BA$21, "Not found", 0),"HP",_xlfn.XLOOKUP(E21&amp;"|"&amp;B21,
        Calculate_cap_ener!$I$14:$I$21&amp;"|"&amp;Calculate_cap_ener!$L$14:$L$21,
        Calculate_cap_ener!$AY$14:$AY$21, "Not found", 0),"HPl",_xlfn.XLOOKUP(E21&amp;"|"&amp;B21,
        Calculate_cap_ener!$I$14:$I$21&amp;"|"&amp;Calculate_cap_ener!$L$14:$L$21,
        Calculate_cap_ener!$BB$14:$BB$21, "Not found", 0),"Missing")</f>
        <v>27.594706715911837</v>
      </c>
      <c r="T21" s="5" cm="1">
        <f t="array" ref="T21">_xlfn.SWITCH(F21,"R",_xlfn.XLOOKUP(E21&amp;"|"&amp;B21,
        Calculate_cap_ener!$I$14:$I$21&amp;"|"&amp;Calculate_cap_ener!$L$14:$L$21,
        Calculate_cap_ener!$BE$14:$BE$21, "Not found", 0),"Rb",_xlfn.XLOOKUP(E21&amp;"|"&amp;B21,
        Calculate_cap_ener!$I$14:$I$21&amp;"|"&amp;Calculate_cap_ener!$L$14:$L$21,
        Calculate_cap_ener!$BG$14:$BG$21, "Not found", 0),"Rl",_xlfn.XLOOKUP(E21&amp;"|"&amp;B21,
        Calculate_cap_ener!$I$14:$I$21&amp;"|"&amp;Calculate_cap_ener!$L$14:$L$21,
        Calculate_cap_ener!$BH$14:$BH$21, "Not found", 0),"HP",_xlfn.XLOOKUP(E21&amp;"|"&amp;B21,
        Calculate_cap_ener!$I$14:$I$21&amp;"|"&amp;Calculate_cap_ener!$L$14:$L$21,
        Calculate_cap_ener!$BF$14:$BF$21, "Not found", 0),"HPl",_xlfn.XLOOKUP(E21&amp;"|"&amp;B21,
        Calculate_cap_ener!$I$14:$I$21&amp;"|"&amp;Calculate_cap_ener!$L$14:$L$21,
        Calculate_cap_ener!$BI$14:$BI$21, "Not found", 0),"Missing")</f>
        <v>0</v>
      </c>
    </row>
    <row r="22" spans="1:20" x14ac:dyDescent="0.25">
      <c r="A22" s="5" t="s">
        <v>7</v>
      </c>
      <c r="B22" s="5" t="str">
        <f t="shared" si="0"/>
        <v>Mod-Nom</v>
      </c>
      <c r="C22" s="5" t="str">
        <f t="shared" si="1"/>
        <v>Mod</v>
      </c>
      <c r="D22" s="5" t="str">
        <f t="shared" si="2"/>
        <v>Nom</v>
      </c>
      <c r="E22" s="5" t="s">
        <v>3</v>
      </c>
      <c r="F22" s="5" t="s">
        <v>15</v>
      </c>
      <c r="G22" s="5"/>
      <c r="H22" s="5"/>
      <c r="I22" s="5" cm="1">
        <f t="array" ref="I22">_xlfn.SWITCH(F22,"R",_xlfn.XLOOKUP(E22&amp;"|"&amp;B22,
        Calculate_cap_ener!$I$14:$I$21&amp;"|"&amp;Calculate_cap_ener!$L$14:$L$21,
        Calculate_cap_ener!$W$14:$W$21, "Not found", 0),"Rb",_xlfn.XLOOKUP(E22&amp;"|"&amp;B22,
        Calculate_cap_ener!$I$14:$I$21&amp;"|"&amp;Calculate_cap_ener!$L$14:$L$21,
        Calculate_cap_ener!$Y$14:$Y$21, "Not found", 0),"Rl",_xlfn.XLOOKUP(E22&amp;"|"&amp;B22,
        Calculate_cap_ener!$I$14:$I$21&amp;"|"&amp;Calculate_cap_ener!$L$14:$L$21,
        Calculate_cap_ener!$Z$14:$Z$21, "Not found", 0),0)</f>
        <v>4</v>
      </c>
      <c r="J22" s="5"/>
      <c r="K22" s="5"/>
      <c r="L22" s="5" cm="1">
        <f t="array" ref="L22">_xlfn.SWITCH(F22,"R",_xlfn.XLOOKUP(E22&amp;"|"&amp;B22,
        Calculate_cap_ener!$I$14:$I$21&amp;"|"&amp;Calculate_cap_ener!$L$14:$L$21,
        Calculate_cap_ener!$AC$14:$AC$21, "Not found", 0),"Rb",_xlfn.XLOOKUP(E22&amp;"|"&amp;B22,
        Calculate_cap_ener!$I$14:$I$21&amp;"|"&amp;Calculate_cap_ener!$L$14:$L$21,
        Calculate_cap_ener!$AE$14:$AE$21, "Not found", 0),"Rl",_xlfn.XLOOKUP(E22&amp;"|"&amp;B22,
        Calculate_cap_ener!$I$14:$I$21&amp;"|"&amp;Calculate_cap_ener!$L$14:$L$21,
        Calculate_cap_ener!$AF$14:$AF$21, "Not found", 0),"HP",_xlfn.XLOOKUP(E22&amp;"|"&amp;B22,
        Calculate_cap_ener!$I$14:$I$21&amp;"|"&amp;Calculate_cap_ener!$L$14:$L$21,
        Calculate_cap_ener!$AD$14:$AD$21, "Not found", 0),"HPl",_xlfn.XLOOKUP(E22&amp;"|"&amp;B22,
        Calculate_cap_ener!$I$14:$I$21&amp;"|"&amp;Calculate_cap_ener!$L$14:$L$21,
        Calculate_cap_ener!$AG$14:$AG$21, "Not found", 0),"Missing")</f>
        <v>12497.548737783776</v>
      </c>
      <c r="M22" s="5"/>
      <c r="N22" s="5"/>
      <c r="O22" s="5"/>
      <c r="P22" s="5"/>
      <c r="Q22" s="5" cm="1">
        <f t="array" ref="Q22">_xlfn.SWITCH(F22,"R",_xlfn.XLOOKUP(E22&amp;"|"&amp;B22,
        Calculate_cap_ener!$I$14:$I$21&amp;"|"&amp;Calculate_cap_ener!$L$14:$L$21,
        Calculate_cap_ener!$AJ$14:$AJ$21, "Not found", 0),"Rb",_xlfn.XLOOKUP(E22&amp;"|"&amp;B22,
        Calculate_cap_ener!$I$14:$I$21&amp;"|"&amp;Calculate_cap_ener!$L$14:$L$21,
        Calculate_cap_ener!$AL$14:$AL$21, "Not found", 0),"Rl",_xlfn.XLOOKUP(E22&amp;"|"&amp;B22,
        Calculate_cap_ener!$I$14:$I$21&amp;"|"&amp;Calculate_cap_ener!$L$14:$L$21,
        Calculate_cap_ener!$AM$14:$AM$21, "Not found", 0),"HP",_xlfn.XLOOKUP(E22&amp;"|"&amp;B22,
        Calculate_cap_ener!$I$14:$I$21&amp;"|"&amp;Calculate_cap_ener!$L$14:$L$21,
        Calculate_cap_ener!$AK$14:$AK$21, "Not found", 0),"HPl",_xlfn.XLOOKUP(E22&amp;"|"&amp;B22,
        Calculate_cap_ener!$I$14:$I$21&amp;"|"&amp;Calculate_cap_ener!$L$14:$L$21,
        Calculate_cap_ener!$AN$14:$AN$21, "Not found", 0),"Missing")</f>
        <v>443.1823884936</v>
      </c>
      <c r="R22" s="5" cm="1">
        <f t="array" ref="R22">_xlfn.SWITCH(F22,"R",_xlfn.XLOOKUP(E22&amp;"|"&amp;B22,
        Calculate_cap_ener!$I$14:$I$21&amp;"|"&amp;Calculate_cap_ener!$L$14:$L$21,
        Calculate_cap_ener!$AQ$14:$AQ$21, "Not found", 0),"Rb",_xlfn.XLOOKUP(E22&amp;"|"&amp;B22,
        Calculate_cap_ener!$I$14:$I$21&amp;"|"&amp;Calculate_cap_ener!$L$14:$L$21,
        Calculate_cap_ener!$AS$14:$AS$21, "Not found", 0),"Rl",_xlfn.XLOOKUP(E22&amp;"|"&amp;B22,
        Calculate_cap_ener!$I$14:$I$21&amp;"|"&amp;Calculate_cap_ener!$L$14:$L$21,
        Calculate_cap_ener!$AT$14:$AT$21, "Not found", 0),"HP",_xlfn.XLOOKUP(E22&amp;"|"&amp;B22,
        Calculate_cap_ener!$I$14:$I$21&amp;"|"&amp;Calculate_cap_ener!$L$14:$L$21,
        Calculate_cap_ener!$AR$14:$AR$21, "Not found", 0),"HPl",_xlfn.XLOOKUP(E22&amp;"|"&amp;B22,
        Calculate_cap_ener!$I$14:$I$21&amp;"|"&amp;Calculate_cap_ener!$L$14:$L$21,
        Calculate_cap_ener!$AU$14:$AU$21, "Not found", 0),"Missing")</f>
        <v>9.1513007464019154</v>
      </c>
      <c r="S22" s="5" cm="1">
        <f t="array" ref="S22">_xlfn.SWITCH(F22,"R",_xlfn.XLOOKUP(E22&amp;"|"&amp;B22,
        Calculate_cap_ener!$I$14:$I$21&amp;"|"&amp;Calculate_cap_ener!$L$14:$L$21,
        Calculate_cap_ener!$AX$14:$AX$21, "Not found", 0),"Rb",_xlfn.XLOOKUP(E22&amp;"|"&amp;B22,
        Calculate_cap_ener!$I$14:$I$21&amp;"|"&amp;Calculate_cap_ener!$L$14:$L$21,
        Calculate_cap_ener!$AZ$14:$AZ$21, "Not found", 0),"Rl",_xlfn.XLOOKUP(E22&amp;"|"&amp;B22,
        Calculate_cap_ener!$I$14:$I$21&amp;"|"&amp;Calculate_cap_ener!$L$14:$L$21,
        Calculate_cap_ener!$BA$14:$BA$21, "Not found", 0),"HP",_xlfn.XLOOKUP(E22&amp;"|"&amp;B22,
        Calculate_cap_ener!$I$14:$I$21&amp;"|"&amp;Calculate_cap_ener!$L$14:$L$21,
        Calculate_cap_ener!$AY$14:$AY$21, "Not found", 0),"HPl",_xlfn.XLOOKUP(E22&amp;"|"&amp;B22,
        Calculate_cap_ener!$I$14:$I$21&amp;"|"&amp;Calculate_cap_ener!$L$14:$L$21,
        Calculate_cap_ener!$BB$14:$BB$21, "Not found", 0),"Missing")</f>
        <v>55.189413431823674</v>
      </c>
      <c r="T22" s="5" cm="1">
        <f t="array" ref="T22">_xlfn.SWITCH(F22,"R",_xlfn.XLOOKUP(E22&amp;"|"&amp;B22,
        Calculate_cap_ener!$I$14:$I$21&amp;"|"&amp;Calculate_cap_ener!$L$14:$L$21,
        Calculate_cap_ener!$BE$14:$BE$21, "Not found", 0),"Rb",_xlfn.XLOOKUP(E22&amp;"|"&amp;B22,
        Calculate_cap_ener!$I$14:$I$21&amp;"|"&amp;Calculate_cap_ener!$L$14:$L$21,
        Calculate_cap_ener!$BG$14:$BG$21, "Not found", 0),"Rl",_xlfn.XLOOKUP(E22&amp;"|"&amp;B22,
        Calculate_cap_ener!$I$14:$I$21&amp;"|"&amp;Calculate_cap_ener!$L$14:$L$21,
        Calculate_cap_ener!$BH$14:$BH$21, "Not found", 0),"HP",_xlfn.XLOOKUP(E22&amp;"|"&amp;B22,
        Calculate_cap_ener!$I$14:$I$21&amp;"|"&amp;Calculate_cap_ener!$L$14:$L$21,
        Calculate_cap_ener!$BF$14:$BF$21, "Not found", 0),"HPl",_xlfn.XLOOKUP(E22&amp;"|"&amp;B22,
        Calculate_cap_ener!$I$14:$I$21&amp;"|"&amp;Calculate_cap_ener!$L$14:$L$21,
        Calculate_cap_ener!$BI$14:$BI$21, "Not found", 0),"Missing")</f>
        <v>0</v>
      </c>
    </row>
    <row r="23" spans="1:20" x14ac:dyDescent="0.25">
      <c r="A23" s="5" t="s">
        <v>8</v>
      </c>
      <c r="B23" s="5" t="str">
        <f t="shared" si="0"/>
        <v>Mod-Nom</v>
      </c>
      <c r="C23" s="5" t="str">
        <f t="shared" si="1"/>
        <v>Mod</v>
      </c>
      <c r="D23" s="5" t="str">
        <f t="shared" si="2"/>
        <v>Nom</v>
      </c>
      <c r="E23" s="5" t="s">
        <v>3</v>
      </c>
      <c r="F23" s="5" t="s">
        <v>15</v>
      </c>
      <c r="G23" s="5"/>
      <c r="H23" s="5"/>
      <c r="I23" s="5" cm="1">
        <f t="array" ref="I23">_xlfn.SWITCH(F23,"R",_xlfn.XLOOKUP(E23&amp;"|"&amp;B23,
        Calculate_cap_ener!$I$14:$I$21&amp;"|"&amp;Calculate_cap_ener!$L$14:$L$21,
        Calculate_cap_ener!$W$14:$W$21, "Not found", 0),"Rb",_xlfn.XLOOKUP(E23&amp;"|"&amp;B23,
        Calculate_cap_ener!$I$14:$I$21&amp;"|"&amp;Calculate_cap_ener!$L$14:$L$21,
        Calculate_cap_ener!$Y$14:$Y$21, "Not found", 0),"Rl",_xlfn.XLOOKUP(E23&amp;"|"&amp;B23,
        Calculate_cap_ener!$I$14:$I$21&amp;"|"&amp;Calculate_cap_ener!$L$14:$L$21,
        Calculate_cap_ener!$Z$14:$Z$21, "Not found", 0),0)</f>
        <v>4</v>
      </c>
      <c r="J23" s="5"/>
      <c r="K23" s="5"/>
      <c r="L23" s="5" cm="1">
        <f t="array" ref="L23">_xlfn.SWITCH(F23,"R",_xlfn.XLOOKUP(E23&amp;"|"&amp;B23,
        Calculate_cap_ener!$I$14:$I$21&amp;"|"&amp;Calculate_cap_ener!$L$14:$L$21,
        Calculate_cap_ener!$AC$14:$AC$21, "Not found", 0),"Rb",_xlfn.XLOOKUP(E23&amp;"|"&amp;B23,
        Calculate_cap_ener!$I$14:$I$21&amp;"|"&amp;Calculate_cap_ener!$L$14:$L$21,
        Calculate_cap_ener!$AE$14:$AE$21, "Not found", 0),"Rl",_xlfn.XLOOKUP(E23&amp;"|"&amp;B23,
        Calculate_cap_ener!$I$14:$I$21&amp;"|"&amp;Calculate_cap_ener!$L$14:$L$21,
        Calculate_cap_ener!$AF$14:$AF$21, "Not found", 0),"HP",_xlfn.XLOOKUP(E23&amp;"|"&amp;B23,
        Calculate_cap_ener!$I$14:$I$21&amp;"|"&amp;Calculate_cap_ener!$L$14:$L$21,
        Calculate_cap_ener!$AD$14:$AD$21, "Not found", 0),"HPl",_xlfn.XLOOKUP(E23&amp;"|"&amp;B23,
        Calculate_cap_ener!$I$14:$I$21&amp;"|"&amp;Calculate_cap_ener!$L$14:$L$21,
        Calculate_cap_ener!$AG$14:$AG$21, "Not found", 0),"Missing")</f>
        <v>12497.548737783776</v>
      </c>
      <c r="M23" s="5"/>
      <c r="N23" s="5"/>
      <c r="O23" s="5"/>
      <c r="P23" s="5"/>
      <c r="Q23" s="5" cm="1">
        <f t="array" ref="Q23">_xlfn.SWITCH(F23,"R",_xlfn.XLOOKUP(E23&amp;"|"&amp;B23,
        Calculate_cap_ener!$I$14:$I$21&amp;"|"&amp;Calculate_cap_ener!$L$14:$L$21,
        Calculate_cap_ener!$AJ$14:$AJ$21, "Not found", 0),"Rb",_xlfn.XLOOKUP(E23&amp;"|"&amp;B23,
        Calculate_cap_ener!$I$14:$I$21&amp;"|"&amp;Calculate_cap_ener!$L$14:$L$21,
        Calculate_cap_ener!$AL$14:$AL$21, "Not found", 0),"Rl",_xlfn.XLOOKUP(E23&amp;"|"&amp;B23,
        Calculate_cap_ener!$I$14:$I$21&amp;"|"&amp;Calculate_cap_ener!$L$14:$L$21,
        Calculate_cap_ener!$AM$14:$AM$21, "Not found", 0),"HP",_xlfn.XLOOKUP(E23&amp;"|"&amp;B23,
        Calculate_cap_ener!$I$14:$I$21&amp;"|"&amp;Calculate_cap_ener!$L$14:$L$21,
        Calculate_cap_ener!$AK$14:$AK$21, "Not found", 0),"HPl",_xlfn.XLOOKUP(E23&amp;"|"&amp;B23,
        Calculate_cap_ener!$I$14:$I$21&amp;"|"&amp;Calculate_cap_ener!$L$14:$L$21,
        Calculate_cap_ener!$AN$14:$AN$21, "Not found", 0),"Missing")</f>
        <v>443.1823884936</v>
      </c>
      <c r="R23" s="5" cm="1">
        <f t="array" ref="R23">_xlfn.SWITCH(F23,"R",_xlfn.XLOOKUP(E23&amp;"|"&amp;B23,
        Calculate_cap_ener!$I$14:$I$21&amp;"|"&amp;Calculate_cap_ener!$L$14:$L$21,
        Calculate_cap_ener!$AQ$14:$AQ$21, "Not found", 0),"Rb",_xlfn.XLOOKUP(E23&amp;"|"&amp;B23,
        Calculate_cap_ener!$I$14:$I$21&amp;"|"&amp;Calculate_cap_ener!$L$14:$L$21,
        Calculate_cap_ener!$AS$14:$AS$21, "Not found", 0),"Rl",_xlfn.XLOOKUP(E23&amp;"|"&amp;B23,
        Calculate_cap_ener!$I$14:$I$21&amp;"|"&amp;Calculate_cap_ener!$L$14:$L$21,
        Calculate_cap_ener!$AT$14:$AT$21, "Not found", 0),"HP",_xlfn.XLOOKUP(E23&amp;"|"&amp;B23,
        Calculate_cap_ener!$I$14:$I$21&amp;"|"&amp;Calculate_cap_ener!$L$14:$L$21,
        Calculate_cap_ener!$AR$14:$AR$21, "Not found", 0),"HPl",_xlfn.XLOOKUP(E23&amp;"|"&amp;B23,
        Calculate_cap_ener!$I$14:$I$21&amp;"|"&amp;Calculate_cap_ener!$L$14:$L$21,
        Calculate_cap_ener!$AU$14:$AU$21, "Not found", 0),"Missing")</f>
        <v>9.1513007464019154</v>
      </c>
      <c r="S23" s="5" cm="1">
        <f t="array" ref="S23">_xlfn.SWITCH(F23,"R",_xlfn.XLOOKUP(E23&amp;"|"&amp;B23,
        Calculate_cap_ener!$I$14:$I$21&amp;"|"&amp;Calculate_cap_ener!$L$14:$L$21,
        Calculate_cap_ener!$AX$14:$AX$21, "Not found", 0),"Rb",_xlfn.XLOOKUP(E23&amp;"|"&amp;B23,
        Calculate_cap_ener!$I$14:$I$21&amp;"|"&amp;Calculate_cap_ener!$L$14:$L$21,
        Calculate_cap_ener!$AZ$14:$AZ$21, "Not found", 0),"Rl",_xlfn.XLOOKUP(E23&amp;"|"&amp;B23,
        Calculate_cap_ener!$I$14:$I$21&amp;"|"&amp;Calculate_cap_ener!$L$14:$L$21,
        Calculate_cap_ener!$BA$14:$BA$21, "Not found", 0),"HP",_xlfn.XLOOKUP(E23&amp;"|"&amp;B23,
        Calculate_cap_ener!$I$14:$I$21&amp;"|"&amp;Calculate_cap_ener!$L$14:$L$21,
        Calculate_cap_ener!$AY$14:$AY$21, "Not found", 0),"HPl",_xlfn.XLOOKUP(E23&amp;"|"&amp;B23,
        Calculate_cap_ener!$I$14:$I$21&amp;"|"&amp;Calculate_cap_ener!$L$14:$L$21,
        Calculate_cap_ener!$BB$14:$BB$21, "Not found", 0),"Missing")</f>
        <v>55.189413431823674</v>
      </c>
      <c r="T23" s="5" cm="1">
        <f t="array" ref="T23">_xlfn.SWITCH(F23,"R",_xlfn.XLOOKUP(E23&amp;"|"&amp;B23,
        Calculate_cap_ener!$I$14:$I$21&amp;"|"&amp;Calculate_cap_ener!$L$14:$L$21,
        Calculate_cap_ener!$BE$14:$BE$21, "Not found", 0),"Rb",_xlfn.XLOOKUP(E23&amp;"|"&amp;B23,
        Calculate_cap_ener!$I$14:$I$21&amp;"|"&amp;Calculate_cap_ener!$L$14:$L$21,
        Calculate_cap_ener!$BG$14:$BG$21, "Not found", 0),"Rl",_xlfn.XLOOKUP(E23&amp;"|"&amp;B23,
        Calculate_cap_ener!$I$14:$I$21&amp;"|"&amp;Calculate_cap_ener!$L$14:$L$21,
        Calculate_cap_ener!$BH$14:$BH$21, "Not found", 0),"HP",_xlfn.XLOOKUP(E23&amp;"|"&amp;B23,
        Calculate_cap_ener!$I$14:$I$21&amp;"|"&amp;Calculate_cap_ener!$L$14:$L$21,
        Calculate_cap_ener!$BF$14:$BF$21, "Not found", 0),"HPl",_xlfn.XLOOKUP(E23&amp;"|"&amp;B23,
        Calculate_cap_ener!$I$14:$I$21&amp;"|"&amp;Calculate_cap_ener!$L$14:$L$21,
        Calculate_cap_ener!$BI$14:$BI$21, "Not found", 0),"Missing")</f>
        <v>0</v>
      </c>
    </row>
    <row r="24" spans="1:20" x14ac:dyDescent="0.25">
      <c r="A24" s="5" t="s">
        <v>9</v>
      </c>
      <c r="B24" s="5" t="str">
        <f t="shared" si="0"/>
        <v>Mod-H1</v>
      </c>
      <c r="C24" s="5" t="str">
        <f t="shared" si="1"/>
        <v>Mod</v>
      </c>
      <c r="D24" s="5" t="str">
        <f t="shared" si="2"/>
        <v>H1</v>
      </c>
      <c r="E24" s="5" t="s">
        <v>3</v>
      </c>
      <c r="F24" s="5" t="s">
        <v>15</v>
      </c>
      <c r="G24" s="5"/>
      <c r="H24" s="5"/>
      <c r="I24" s="5" cm="1">
        <f t="array" ref="I24">_xlfn.SWITCH(F24,"R",_xlfn.XLOOKUP(E24&amp;"|"&amp;B24,
        Calculate_cap_ener!$I$14:$I$21&amp;"|"&amp;Calculate_cap_ener!$L$14:$L$21,
        Calculate_cap_ener!$W$14:$W$21, "Not found", 0),"Rb",_xlfn.XLOOKUP(E24&amp;"|"&amp;B24,
        Calculate_cap_ener!$I$14:$I$21&amp;"|"&amp;Calculate_cap_ener!$L$14:$L$21,
        Calculate_cap_ener!$Y$14:$Y$21, "Not found", 0),"Rl",_xlfn.XLOOKUP(E24&amp;"|"&amp;B24,
        Calculate_cap_ener!$I$14:$I$21&amp;"|"&amp;Calculate_cap_ener!$L$14:$L$21,
        Calculate_cap_ener!$Z$14:$Z$21, "Not found", 0),0)</f>
        <v>4</v>
      </c>
      <c r="J24" s="5"/>
      <c r="K24" s="5"/>
      <c r="L24" s="5" cm="1">
        <f t="array" ref="L24">_xlfn.SWITCH(F24,"R",_xlfn.XLOOKUP(E24&amp;"|"&amp;B24,
        Calculate_cap_ener!$I$14:$I$21&amp;"|"&amp;Calculate_cap_ener!$L$14:$L$21,
        Calculate_cap_ener!$AC$14:$AC$21, "Not found", 0),"Rb",_xlfn.XLOOKUP(E24&amp;"|"&amp;B24,
        Calculate_cap_ener!$I$14:$I$21&amp;"|"&amp;Calculate_cap_ener!$L$14:$L$21,
        Calculate_cap_ener!$AE$14:$AE$21, "Not found", 0),"Rl",_xlfn.XLOOKUP(E24&amp;"|"&amp;B24,
        Calculate_cap_ener!$I$14:$I$21&amp;"|"&amp;Calculate_cap_ener!$L$14:$L$21,
        Calculate_cap_ener!$AF$14:$AF$21, "Not found", 0),"HP",_xlfn.XLOOKUP(E24&amp;"|"&amp;B24,
        Calculate_cap_ener!$I$14:$I$21&amp;"|"&amp;Calculate_cap_ener!$L$14:$L$21,
        Calculate_cap_ener!$AD$14:$AD$21, "Not found", 0),"HPl",_xlfn.XLOOKUP(E24&amp;"|"&amp;B24,
        Calculate_cap_ener!$I$14:$I$21&amp;"|"&amp;Calculate_cap_ener!$L$14:$L$21,
        Calculate_cap_ener!$AG$14:$AG$21, "Not found", 0),"Missing")</f>
        <v>12497.548737783776</v>
      </c>
      <c r="M24" s="5"/>
      <c r="N24" s="5"/>
      <c r="O24" s="5"/>
      <c r="P24" s="5"/>
      <c r="Q24" s="5" cm="1">
        <f t="array" ref="Q24">_xlfn.SWITCH(F24,"R",_xlfn.XLOOKUP(E24&amp;"|"&amp;B24,
        Calculate_cap_ener!$I$14:$I$21&amp;"|"&amp;Calculate_cap_ener!$L$14:$L$21,
        Calculate_cap_ener!$AJ$14:$AJ$21, "Not found", 0),"Rb",_xlfn.XLOOKUP(E24&amp;"|"&amp;B24,
        Calculate_cap_ener!$I$14:$I$21&amp;"|"&amp;Calculate_cap_ener!$L$14:$L$21,
        Calculate_cap_ener!$AL$14:$AL$21, "Not found", 0),"Rl",_xlfn.XLOOKUP(E24&amp;"|"&amp;B24,
        Calculate_cap_ener!$I$14:$I$21&amp;"|"&amp;Calculate_cap_ener!$L$14:$L$21,
        Calculate_cap_ener!$AM$14:$AM$21, "Not found", 0),"HP",_xlfn.XLOOKUP(E24&amp;"|"&amp;B24,
        Calculate_cap_ener!$I$14:$I$21&amp;"|"&amp;Calculate_cap_ener!$L$14:$L$21,
        Calculate_cap_ener!$AK$14:$AK$21, "Not found", 0),"HPl",_xlfn.XLOOKUP(E24&amp;"|"&amp;B24,
        Calculate_cap_ener!$I$14:$I$21&amp;"|"&amp;Calculate_cap_ener!$L$14:$L$21,
        Calculate_cap_ener!$AN$14:$AN$21, "Not found", 0),"Missing")</f>
        <v>443.1823884936</v>
      </c>
      <c r="R24" s="5" cm="1">
        <f t="array" ref="R24">_xlfn.SWITCH(F24,"R",_xlfn.XLOOKUP(E24&amp;"|"&amp;B24,
        Calculate_cap_ener!$I$14:$I$21&amp;"|"&amp;Calculate_cap_ener!$L$14:$L$21,
        Calculate_cap_ener!$AQ$14:$AQ$21, "Not found", 0),"Rb",_xlfn.XLOOKUP(E24&amp;"|"&amp;B24,
        Calculate_cap_ener!$I$14:$I$21&amp;"|"&amp;Calculate_cap_ener!$L$14:$L$21,
        Calculate_cap_ener!$AS$14:$AS$21, "Not found", 0),"Rl",_xlfn.XLOOKUP(E24&amp;"|"&amp;B24,
        Calculate_cap_ener!$I$14:$I$21&amp;"|"&amp;Calculate_cap_ener!$L$14:$L$21,
        Calculate_cap_ener!$AT$14:$AT$21, "Not found", 0),"HP",_xlfn.XLOOKUP(E24&amp;"|"&amp;B24,
        Calculate_cap_ener!$I$14:$I$21&amp;"|"&amp;Calculate_cap_ener!$L$14:$L$21,
        Calculate_cap_ener!$AR$14:$AR$21, "Not found", 0),"HPl",_xlfn.XLOOKUP(E24&amp;"|"&amp;B24,
        Calculate_cap_ener!$I$14:$I$21&amp;"|"&amp;Calculate_cap_ener!$L$14:$L$21,
        Calculate_cap_ener!$AU$14:$AU$21, "Not found", 0),"Missing")</f>
        <v>9.1513007464019154</v>
      </c>
      <c r="S24" s="5" cm="1">
        <f t="array" ref="S24">_xlfn.SWITCH(F24,"R",_xlfn.XLOOKUP(E24&amp;"|"&amp;B24,
        Calculate_cap_ener!$I$14:$I$21&amp;"|"&amp;Calculate_cap_ener!$L$14:$L$21,
        Calculate_cap_ener!$AX$14:$AX$21, "Not found", 0),"Rb",_xlfn.XLOOKUP(E24&amp;"|"&amp;B24,
        Calculate_cap_ener!$I$14:$I$21&amp;"|"&amp;Calculate_cap_ener!$L$14:$L$21,
        Calculate_cap_ener!$AZ$14:$AZ$21, "Not found", 0),"Rl",_xlfn.XLOOKUP(E24&amp;"|"&amp;B24,
        Calculate_cap_ener!$I$14:$I$21&amp;"|"&amp;Calculate_cap_ener!$L$14:$L$21,
        Calculate_cap_ener!$BA$14:$BA$21, "Not found", 0),"HP",_xlfn.XLOOKUP(E24&amp;"|"&amp;B24,
        Calculate_cap_ener!$I$14:$I$21&amp;"|"&amp;Calculate_cap_ener!$L$14:$L$21,
        Calculate_cap_ener!$AY$14:$AY$21, "Not found", 0),"HPl",_xlfn.XLOOKUP(E24&amp;"|"&amp;B24,
        Calculate_cap_ener!$I$14:$I$21&amp;"|"&amp;Calculate_cap_ener!$L$14:$L$21,
        Calculate_cap_ener!$BB$14:$BB$21, "Not found", 0),"Missing")</f>
        <v>55.189413431823674</v>
      </c>
      <c r="T24" s="5" cm="1">
        <f t="array" ref="T24">_xlfn.SWITCH(F24,"R",_xlfn.XLOOKUP(E24&amp;"|"&amp;B24,
        Calculate_cap_ener!$I$14:$I$21&amp;"|"&amp;Calculate_cap_ener!$L$14:$L$21,
        Calculate_cap_ener!$BE$14:$BE$21, "Not found", 0),"Rb",_xlfn.XLOOKUP(E24&amp;"|"&amp;B24,
        Calculate_cap_ener!$I$14:$I$21&amp;"|"&amp;Calculate_cap_ener!$L$14:$L$21,
        Calculate_cap_ener!$BG$14:$BG$21, "Not found", 0),"Rl",_xlfn.XLOOKUP(E24&amp;"|"&amp;B24,
        Calculate_cap_ener!$I$14:$I$21&amp;"|"&amp;Calculate_cap_ener!$L$14:$L$21,
        Calculate_cap_ener!$BH$14:$BH$21, "Not found", 0),"HP",_xlfn.XLOOKUP(E24&amp;"|"&amp;B24,
        Calculate_cap_ener!$I$14:$I$21&amp;"|"&amp;Calculate_cap_ener!$L$14:$L$21,
        Calculate_cap_ener!$BF$14:$BF$21, "Not found", 0),"HPl",_xlfn.XLOOKUP(E24&amp;"|"&amp;B24,
        Calculate_cap_ener!$I$14:$I$21&amp;"|"&amp;Calculate_cap_ener!$L$14:$L$21,
        Calculate_cap_ener!$BI$14:$BI$21, "Not found", 0),"Missing")</f>
        <v>0</v>
      </c>
    </row>
    <row r="25" spans="1:20" x14ac:dyDescent="0.25">
      <c r="A25" s="5" t="s">
        <v>10</v>
      </c>
      <c r="B25" s="5" t="str">
        <f t="shared" si="0"/>
        <v>Mod-H1</v>
      </c>
      <c r="C25" s="5" t="str">
        <f t="shared" si="1"/>
        <v>Mod</v>
      </c>
      <c r="D25" s="5" t="str">
        <f t="shared" si="2"/>
        <v>H1</v>
      </c>
      <c r="E25" s="5" t="s">
        <v>3</v>
      </c>
      <c r="F25" s="5" t="s">
        <v>15</v>
      </c>
      <c r="G25" s="5"/>
      <c r="H25" s="5"/>
      <c r="I25" s="5" cm="1">
        <f t="array" ref="I25">_xlfn.SWITCH(F25,"R",_xlfn.XLOOKUP(E25&amp;"|"&amp;B25,
        Calculate_cap_ener!$I$14:$I$21&amp;"|"&amp;Calculate_cap_ener!$L$14:$L$21,
        Calculate_cap_ener!$W$14:$W$21, "Not found", 0),"Rb",_xlfn.XLOOKUP(E25&amp;"|"&amp;B25,
        Calculate_cap_ener!$I$14:$I$21&amp;"|"&amp;Calculate_cap_ener!$L$14:$L$21,
        Calculate_cap_ener!$Y$14:$Y$21, "Not found", 0),"Rl",_xlfn.XLOOKUP(E25&amp;"|"&amp;B25,
        Calculate_cap_ener!$I$14:$I$21&amp;"|"&amp;Calculate_cap_ener!$L$14:$L$21,
        Calculate_cap_ener!$Z$14:$Z$21, "Not found", 0),0)</f>
        <v>4</v>
      </c>
      <c r="J25" s="5"/>
      <c r="K25" s="5"/>
      <c r="L25" s="5" cm="1">
        <f t="array" ref="L25">_xlfn.SWITCH(F25,"R",_xlfn.XLOOKUP(E25&amp;"|"&amp;B25,
        Calculate_cap_ener!$I$14:$I$21&amp;"|"&amp;Calculate_cap_ener!$L$14:$L$21,
        Calculate_cap_ener!$AC$14:$AC$21, "Not found", 0),"Rb",_xlfn.XLOOKUP(E25&amp;"|"&amp;B25,
        Calculate_cap_ener!$I$14:$I$21&amp;"|"&amp;Calculate_cap_ener!$L$14:$L$21,
        Calculate_cap_ener!$AE$14:$AE$21, "Not found", 0),"Rl",_xlfn.XLOOKUP(E25&amp;"|"&amp;B25,
        Calculate_cap_ener!$I$14:$I$21&amp;"|"&amp;Calculate_cap_ener!$L$14:$L$21,
        Calculate_cap_ener!$AF$14:$AF$21, "Not found", 0),"HP",_xlfn.XLOOKUP(E25&amp;"|"&amp;B25,
        Calculate_cap_ener!$I$14:$I$21&amp;"|"&amp;Calculate_cap_ener!$L$14:$L$21,
        Calculate_cap_ener!$AD$14:$AD$21, "Not found", 0),"HPl",_xlfn.XLOOKUP(E25&amp;"|"&amp;B25,
        Calculate_cap_ener!$I$14:$I$21&amp;"|"&amp;Calculate_cap_ener!$L$14:$L$21,
        Calculate_cap_ener!$AG$14:$AG$21, "Not found", 0),"Missing")</f>
        <v>12497.548737783776</v>
      </c>
      <c r="M25" s="5"/>
      <c r="N25" s="5"/>
      <c r="O25" s="5"/>
      <c r="P25" s="5"/>
      <c r="Q25" s="5" cm="1">
        <f t="array" ref="Q25">_xlfn.SWITCH(F25,"R",_xlfn.XLOOKUP(E25&amp;"|"&amp;B25,
        Calculate_cap_ener!$I$14:$I$21&amp;"|"&amp;Calculate_cap_ener!$L$14:$L$21,
        Calculate_cap_ener!$AJ$14:$AJ$21, "Not found", 0),"Rb",_xlfn.XLOOKUP(E25&amp;"|"&amp;B25,
        Calculate_cap_ener!$I$14:$I$21&amp;"|"&amp;Calculate_cap_ener!$L$14:$L$21,
        Calculate_cap_ener!$AL$14:$AL$21, "Not found", 0),"Rl",_xlfn.XLOOKUP(E25&amp;"|"&amp;B25,
        Calculate_cap_ener!$I$14:$I$21&amp;"|"&amp;Calculate_cap_ener!$L$14:$L$21,
        Calculate_cap_ener!$AM$14:$AM$21, "Not found", 0),"HP",_xlfn.XLOOKUP(E25&amp;"|"&amp;B25,
        Calculate_cap_ener!$I$14:$I$21&amp;"|"&amp;Calculate_cap_ener!$L$14:$L$21,
        Calculate_cap_ener!$AK$14:$AK$21, "Not found", 0),"HPl",_xlfn.XLOOKUP(E25&amp;"|"&amp;B25,
        Calculate_cap_ener!$I$14:$I$21&amp;"|"&amp;Calculate_cap_ener!$L$14:$L$21,
        Calculate_cap_ener!$AN$14:$AN$21, "Not found", 0),"Missing")</f>
        <v>443.1823884936</v>
      </c>
      <c r="R25" s="5" cm="1">
        <f t="array" ref="R25">_xlfn.SWITCH(F25,"R",_xlfn.XLOOKUP(E25&amp;"|"&amp;B25,
        Calculate_cap_ener!$I$14:$I$21&amp;"|"&amp;Calculate_cap_ener!$L$14:$L$21,
        Calculate_cap_ener!$AQ$14:$AQ$21, "Not found", 0),"Rb",_xlfn.XLOOKUP(E25&amp;"|"&amp;B25,
        Calculate_cap_ener!$I$14:$I$21&amp;"|"&amp;Calculate_cap_ener!$L$14:$L$21,
        Calculate_cap_ener!$AS$14:$AS$21, "Not found", 0),"Rl",_xlfn.XLOOKUP(E25&amp;"|"&amp;B25,
        Calculate_cap_ener!$I$14:$I$21&amp;"|"&amp;Calculate_cap_ener!$L$14:$L$21,
        Calculate_cap_ener!$AT$14:$AT$21, "Not found", 0),"HP",_xlfn.XLOOKUP(E25&amp;"|"&amp;B25,
        Calculate_cap_ener!$I$14:$I$21&amp;"|"&amp;Calculate_cap_ener!$L$14:$L$21,
        Calculate_cap_ener!$AR$14:$AR$21, "Not found", 0),"HPl",_xlfn.XLOOKUP(E25&amp;"|"&amp;B25,
        Calculate_cap_ener!$I$14:$I$21&amp;"|"&amp;Calculate_cap_ener!$L$14:$L$21,
        Calculate_cap_ener!$AU$14:$AU$21, "Not found", 0),"Missing")</f>
        <v>9.1513007464019154</v>
      </c>
      <c r="S25" s="5" cm="1">
        <f t="array" ref="S25">_xlfn.SWITCH(F25,"R",_xlfn.XLOOKUP(E25&amp;"|"&amp;B25,
        Calculate_cap_ener!$I$14:$I$21&amp;"|"&amp;Calculate_cap_ener!$L$14:$L$21,
        Calculate_cap_ener!$AX$14:$AX$21, "Not found", 0),"Rb",_xlfn.XLOOKUP(E25&amp;"|"&amp;B25,
        Calculate_cap_ener!$I$14:$I$21&amp;"|"&amp;Calculate_cap_ener!$L$14:$L$21,
        Calculate_cap_ener!$AZ$14:$AZ$21, "Not found", 0),"Rl",_xlfn.XLOOKUP(E25&amp;"|"&amp;B25,
        Calculate_cap_ener!$I$14:$I$21&amp;"|"&amp;Calculate_cap_ener!$L$14:$L$21,
        Calculate_cap_ener!$BA$14:$BA$21, "Not found", 0),"HP",_xlfn.XLOOKUP(E25&amp;"|"&amp;B25,
        Calculate_cap_ener!$I$14:$I$21&amp;"|"&amp;Calculate_cap_ener!$L$14:$L$21,
        Calculate_cap_ener!$AY$14:$AY$21, "Not found", 0),"HPl",_xlfn.XLOOKUP(E25&amp;"|"&amp;B25,
        Calculate_cap_ener!$I$14:$I$21&amp;"|"&amp;Calculate_cap_ener!$L$14:$L$21,
        Calculate_cap_ener!$BB$14:$BB$21, "Not found", 0),"Missing")</f>
        <v>55.189413431823674</v>
      </c>
      <c r="T25" s="5" cm="1">
        <f t="array" ref="T25">_xlfn.SWITCH(F25,"R",_xlfn.XLOOKUP(E25&amp;"|"&amp;B25,
        Calculate_cap_ener!$I$14:$I$21&amp;"|"&amp;Calculate_cap_ener!$L$14:$L$21,
        Calculate_cap_ener!$BE$14:$BE$21, "Not found", 0),"Rb",_xlfn.XLOOKUP(E25&amp;"|"&amp;B25,
        Calculate_cap_ener!$I$14:$I$21&amp;"|"&amp;Calculate_cap_ener!$L$14:$L$21,
        Calculate_cap_ener!$BG$14:$BG$21, "Not found", 0),"Rl",_xlfn.XLOOKUP(E25&amp;"|"&amp;B25,
        Calculate_cap_ener!$I$14:$I$21&amp;"|"&amp;Calculate_cap_ener!$L$14:$L$21,
        Calculate_cap_ener!$BH$14:$BH$21, "Not found", 0),"HP",_xlfn.XLOOKUP(E25&amp;"|"&amp;B25,
        Calculate_cap_ener!$I$14:$I$21&amp;"|"&amp;Calculate_cap_ener!$L$14:$L$21,
        Calculate_cap_ener!$BF$14:$BF$21, "Not found", 0),"HPl",_xlfn.XLOOKUP(E25&amp;"|"&amp;B25,
        Calculate_cap_ener!$I$14:$I$21&amp;"|"&amp;Calculate_cap_ener!$L$14:$L$21,
        Calculate_cap_ener!$BI$14:$BI$21, "Not found", 0),"Missing")</f>
        <v>0</v>
      </c>
    </row>
    <row r="26" spans="1:20" x14ac:dyDescent="0.25">
      <c r="A26" s="5" t="s">
        <v>4</v>
      </c>
      <c r="B26" s="5" t="str">
        <f t="shared" si="0"/>
        <v>Mass-Nom</v>
      </c>
      <c r="C26" s="5" t="str">
        <f t="shared" si="1"/>
        <v>Mass</v>
      </c>
      <c r="D26" s="5" t="str">
        <f t="shared" si="2"/>
        <v>Nom</v>
      </c>
      <c r="E26" s="5" t="s">
        <v>11</v>
      </c>
      <c r="F26" s="5" t="s">
        <v>15</v>
      </c>
      <c r="G26" s="5"/>
      <c r="H26" s="5"/>
      <c r="I26" s="5" cm="1">
        <f t="array" ref="I26">_xlfn.SWITCH(F26,"R",_xlfn.XLOOKUP(E26&amp;"|"&amp;B26,
        Calculate_cap_ener!$I$14:$I$21&amp;"|"&amp;Calculate_cap_ener!$L$14:$L$21,
        Calculate_cap_ener!$W$14:$W$21, "Not found", 0),"Rb",_xlfn.XLOOKUP(E26&amp;"|"&amp;B26,
        Calculate_cap_ener!$I$14:$I$21&amp;"|"&amp;Calculate_cap_ener!$L$14:$L$21,
        Calculate_cap_ener!$Y$14:$Y$21, "Not found", 0),"Rl",_xlfn.XLOOKUP(E26&amp;"|"&amp;B26,
        Calculate_cap_ener!$I$14:$I$21&amp;"|"&amp;Calculate_cap_ener!$L$14:$L$21,
        Calculate_cap_ener!$Z$14:$Z$21, "Not found", 0),0)</f>
        <v>7</v>
      </c>
      <c r="J26" s="5"/>
      <c r="K26" s="5"/>
      <c r="L26" s="5" cm="1">
        <f t="array" ref="L26">_xlfn.SWITCH(F26,"R",_xlfn.XLOOKUP(E26&amp;"|"&amp;B26,
        Calculate_cap_ener!$I$14:$I$21&amp;"|"&amp;Calculate_cap_ener!$L$14:$L$21,
        Calculate_cap_ener!$AC$14:$AC$21, "Not found", 0),"Rb",_xlfn.XLOOKUP(E26&amp;"|"&amp;B26,
        Calculate_cap_ener!$I$14:$I$21&amp;"|"&amp;Calculate_cap_ener!$L$14:$L$21,
        Calculate_cap_ener!$AE$14:$AE$21, "Not found", 0),"Rl",_xlfn.XLOOKUP(E26&amp;"|"&amp;B26,
        Calculate_cap_ener!$I$14:$I$21&amp;"|"&amp;Calculate_cap_ener!$L$14:$L$21,
        Calculate_cap_ener!$AF$14:$AF$21, "Not found", 0),"HP",_xlfn.XLOOKUP(E26&amp;"|"&amp;B26,
        Calculate_cap_ener!$I$14:$I$21&amp;"|"&amp;Calculate_cap_ener!$L$14:$L$21,
        Calculate_cap_ener!$AD$14:$AD$21, "Not found", 0),"HPl",_xlfn.XLOOKUP(E26&amp;"|"&amp;B26,
        Calculate_cap_ener!$I$14:$I$21&amp;"|"&amp;Calculate_cap_ener!$L$14:$L$21,
        Calculate_cap_ener!$AG$14:$AG$21, "Not found", 0),"Missing")</f>
        <v>16185.708533022098</v>
      </c>
      <c r="M26" s="5"/>
      <c r="N26" s="5"/>
      <c r="O26" s="5"/>
      <c r="P26" s="5"/>
      <c r="Q26" s="5" cm="1">
        <f t="array" ref="Q26">_xlfn.SWITCH(F26,"R",_xlfn.XLOOKUP(E26&amp;"|"&amp;B26,
        Calculate_cap_ener!$I$14:$I$21&amp;"|"&amp;Calculate_cap_ener!$L$14:$L$21,
        Calculate_cap_ener!$AJ$14:$AJ$21, "Not found", 0),"Rb",_xlfn.XLOOKUP(E26&amp;"|"&amp;B26,
        Calculate_cap_ener!$I$14:$I$21&amp;"|"&amp;Calculate_cap_ener!$L$14:$L$21,
        Calculate_cap_ener!$AL$14:$AL$21, "Not found", 0),"Rl",_xlfn.XLOOKUP(E26&amp;"|"&amp;B26,
        Calculate_cap_ener!$I$14:$I$21&amp;"|"&amp;Calculate_cap_ener!$L$14:$L$21,
        Calculate_cap_ener!$AM$14:$AM$21, "Not found", 0),"HP",_xlfn.XLOOKUP(E26&amp;"|"&amp;B26,
        Calculate_cap_ener!$I$14:$I$21&amp;"|"&amp;Calculate_cap_ener!$L$14:$L$21,
        Calculate_cap_ener!$AK$14:$AK$21, "Not found", 0),"HPl",_xlfn.XLOOKUP(E26&amp;"|"&amp;B26,
        Calculate_cap_ener!$I$14:$I$21&amp;"|"&amp;Calculate_cap_ener!$L$14:$L$21,
        Calculate_cap_ener!$AN$14:$AN$21, "Not found", 0),"Missing")</f>
        <v>634.03239335877004</v>
      </c>
      <c r="R26" s="5" cm="1">
        <f t="array" ref="R26">_xlfn.SWITCH(F26,"R",_xlfn.XLOOKUP(E26&amp;"|"&amp;B26,
        Calculate_cap_ener!$I$14:$I$21&amp;"|"&amp;Calculate_cap_ener!$L$14:$L$21,
        Calculate_cap_ener!$AQ$14:$AQ$21, "Not found", 0),"Rb",_xlfn.XLOOKUP(E26&amp;"|"&amp;B26,
        Calculate_cap_ener!$I$14:$I$21&amp;"|"&amp;Calculate_cap_ener!$L$14:$L$21,
        Calculate_cap_ener!$AS$14:$AS$21, "Not found", 0),"Rl",_xlfn.XLOOKUP(E26&amp;"|"&amp;B26,
        Calculate_cap_ener!$I$14:$I$21&amp;"|"&amp;Calculate_cap_ener!$L$14:$L$21,
        Calculate_cap_ener!$AT$14:$AT$21, "Not found", 0),"HP",_xlfn.XLOOKUP(E26&amp;"|"&amp;B26,
        Calculate_cap_ener!$I$14:$I$21&amp;"|"&amp;Calculate_cap_ener!$L$14:$L$21,
        Calculate_cap_ener!$AR$14:$AR$21, "Not found", 0),"HPl",_xlfn.XLOOKUP(E26&amp;"|"&amp;B26,
        Calculate_cap_ener!$I$14:$I$21&amp;"|"&amp;Calculate_cap_ener!$L$14:$L$21,
        Calculate_cap_ener!$AU$14:$AU$21, "Not found", 0),"Missing")</f>
        <v>11.642137770141677</v>
      </c>
      <c r="S26" s="5" cm="1">
        <f t="array" ref="S26">_xlfn.SWITCH(F26,"R",_xlfn.XLOOKUP(E26&amp;"|"&amp;B26,
        Calculate_cap_ener!$I$14:$I$21&amp;"|"&amp;Calculate_cap_ener!$L$14:$L$21,
        Calculate_cap_ener!$AX$14:$AX$21, "Not found", 0),"Rb",_xlfn.XLOOKUP(E26&amp;"|"&amp;B26,
        Calculate_cap_ener!$I$14:$I$21&amp;"|"&amp;Calculate_cap_ener!$L$14:$L$21,
        Calculate_cap_ener!$AZ$14:$AZ$21, "Not found", 0),"Rl",_xlfn.XLOOKUP(E26&amp;"|"&amp;B26,
        Calculate_cap_ener!$I$14:$I$21&amp;"|"&amp;Calculate_cap_ener!$L$14:$L$21,
        Calculate_cap_ener!$BA$14:$BA$21, "Not found", 0),"HP",_xlfn.XLOOKUP(E26&amp;"|"&amp;B26,
        Calculate_cap_ener!$I$14:$I$21&amp;"|"&amp;Calculate_cap_ener!$L$14:$L$21,
        Calculate_cap_ener!$AY$14:$AY$21, "Not found", 0),"HPl",_xlfn.XLOOKUP(E26&amp;"|"&amp;B26,
        Calculate_cap_ener!$I$14:$I$21&amp;"|"&amp;Calculate_cap_ener!$L$14:$L$21,
        Calculate_cap_ener!$BB$14:$BB$21, "Not found", 0),"Missing")</f>
        <v>66.494484797232133</v>
      </c>
      <c r="T26" s="5" cm="1">
        <f t="array" ref="T26">_xlfn.SWITCH(F26,"R",_xlfn.XLOOKUP(E26&amp;"|"&amp;B26,
        Calculate_cap_ener!$I$14:$I$21&amp;"|"&amp;Calculate_cap_ener!$L$14:$L$21,
        Calculate_cap_ener!$BE$14:$BE$21, "Not found", 0),"Rb",_xlfn.XLOOKUP(E26&amp;"|"&amp;B26,
        Calculate_cap_ener!$I$14:$I$21&amp;"|"&amp;Calculate_cap_ener!$L$14:$L$21,
        Calculate_cap_ener!$BG$14:$BG$21, "Not found", 0),"Rl",_xlfn.XLOOKUP(E26&amp;"|"&amp;B26,
        Calculate_cap_ener!$I$14:$I$21&amp;"|"&amp;Calculate_cap_ener!$L$14:$L$21,
        Calculate_cap_ener!$BH$14:$BH$21, "Not found", 0),"HP",_xlfn.XLOOKUP(E26&amp;"|"&amp;B26,
        Calculate_cap_ener!$I$14:$I$21&amp;"|"&amp;Calculate_cap_ener!$L$14:$L$21,
        Calculate_cap_ener!$BF$14:$BF$21, "Not found", 0),"HPl",_xlfn.XLOOKUP(E26&amp;"|"&amp;B26,
        Calculate_cap_ener!$I$14:$I$21&amp;"|"&amp;Calculate_cap_ener!$L$14:$L$21,
        Calculate_cap_ener!$BI$14:$BI$21, "Not found", 0),"Missing")</f>
        <v>0</v>
      </c>
    </row>
    <row r="27" spans="1:20" x14ac:dyDescent="0.25">
      <c r="A27" s="5" t="s">
        <v>2</v>
      </c>
      <c r="B27" s="5" t="str">
        <f t="shared" si="0"/>
        <v>Mass-Nom</v>
      </c>
      <c r="C27" s="5" t="str">
        <f t="shared" si="1"/>
        <v>Mass</v>
      </c>
      <c r="D27" s="5" t="str">
        <f t="shared" si="2"/>
        <v>Nom</v>
      </c>
      <c r="E27" s="5" t="s">
        <v>11</v>
      </c>
      <c r="F27" s="5" t="s">
        <v>15</v>
      </c>
      <c r="G27" s="5"/>
      <c r="H27" s="5"/>
      <c r="I27" s="5" cm="1">
        <f t="array" ref="I27">_xlfn.SWITCH(F27,"R",_xlfn.XLOOKUP(E27&amp;"|"&amp;B27,
        Calculate_cap_ener!$I$14:$I$21&amp;"|"&amp;Calculate_cap_ener!$L$14:$L$21,
        Calculate_cap_ener!$W$14:$W$21, "Not found", 0),"Rb",_xlfn.XLOOKUP(E27&amp;"|"&amp;B27,
        Calculate_cap_ener!$I$14:$I$21&amp;"|"&amp;Calculate_cap_ener!$L$14:$L$21,
        Calculate_cap_ener!$Y$14:$Y$21, "Not found", 0),"Rl",_xlfn.XLOOKUP(E27&amp;"|"&amp;B27,
        Calculate_cap_ener!$I$14:$I$21&amp;"|"&amp;Calculate_cap_ener!$L$14:$L$21,
        Calculate_cap_ener!$Z$14:$Z$21, "Not found", 0),0)</f>
        <v>7</v>
      </c>
      <c r="J27" s="5"/>
      <c r="K27" s="5"/>
      <c r="L27" s="5" cm="1">
        <f t="array" ref="L27">_xlfn.SWITCH(F27,"R",_xlfn.XLOOKUP(E27&amp;"|"&amp;B27,
        Calculate_cap_ener!$I$14:$I$21&amp;"|"&amp;Calculate_cap_ener!$L$14:$L$21,
        Calculate_cap_ener!$AC$14:$AC$21, "Not found", 0),"Rb",_xlfn.XLOOKUP(E27&amp;"|"&amp;B27,
        Calculate_cap_ener!$I$14:$I$21&amp;"|"&amp;Calculate_cap_ener!$L$14:$L$21,
        Calculate_cap_ener!$AE$14:$AE$21, "Not found", 0),"Rl",_xlfn.XLOOKUP(E27&amp;"|"&amp;B27,
        Calculate_cap_ener!$I$14:$I$21&amp;"|"&amp;Calculate_cap_ener!$L$14:$L$21,
        Calculate_cap_ener!$AF$14:$AF$21, "Not found", 0),"HP",_xlfn.XLOOKUP(E27&amp;"|"&amp;B27,
        Calculate_cap_ener!$I$14:$I$21&amp;"|"&amp;Calculate_cap_ener!$L$14:$L$21,
        Calculate_cap_ener!$AD$14:$AD$21, "Not found", 0),"HPl",_xlfn.XLOOKUP(E27&amp;"|"&amp;B27,
        Calculate_cap_ener!$I$14:$I$21&amp;"|"&amp;Calculate_cap_ener!$L$14:$L$21,
        Calculate_cap_ener!$AG$14:$AG$21, "Not found", 0),"Missing")</f>
        <v>16185.708533022098</v>
      </c>
      <c r="M27" s="5"/>
      <c r="N27" s="5"/>
      <c r="O27" s="5"/>
      <c r="P27" s="5"/>
      <c r="Q27" s="5" cm="1">
        <f t="array" ref="Q27">_xlfn.SWITCH(F27,"R",_xlfn.XLOOKUP(E27&amp;"|"&amp;B27,
        Calculate_cap_ener!$I$14:$I$21&amp;"|"&amp;Calculate_cap_ener!$L$14:$L$21,
        Calculate_cap_ener!$AJ$14:$AJ$21, "Not found", 0),"Rb",_xlfn.XLOOKUP(E27&amp;"|"&amp;B27,
        Calculate_cap_ener!$I$14:$I$21&amp;"|"&amp;Calculate_cap_ener!$L$14:$L$21,
        Calculate_cap_ener!$AL$14:$AL$21, "Not found", 0),"Rl",_xlfn.XLOOKUP(E27&amp;"|"&amp;B27,
        Calculate_cap_ener!$I$14:$I$21&amp;"|"&amp;Calculate_cap_ener!$L$14:$L$21,
        Calculate_cap_ener!$AM$14:$AM$21, "Not found", 0),"HP",_xlfn.XLOOKUP(E27&amp;"|"&amp;B27,
        Calculate_cap_ener!$I$14:$I$21&amp;"|"&amp;Calculate_cap_ener!$L$14:$L$21,
        Calculate_cap_ener!$AK$14:$AK$21, "Not found", 0),"HPl",_xlfn.XLOOKUP(E27&amp;"|"&amp;B27,
        Calculate_cap_ener!$I$14:$I$21&amp;"|"&amp;Calculate_cap_ener!$L$14:$L$21,
        Calculate_cap_ener!$AN$14:$AN$21, "Not found", 0),"Missing")</f>
        <v>634.03239335877004</v>
      </c>
      <c r="R27" s="5" cm="1">
        <f t="array" ref="R27">_xlfn.SWITCH(F27,"R",_xlfn.XLOOKUP(E27&amp;"|"&amp;B27,
        Calculate_cap_ener!$I$14:$I$21&amp;"|"&amp;Calculate_cap_ener!$L$14:$L$21,
        Calculate_cap_ener!$AQ$14:$AQ$21, "Not found", 0),"Rb",_xlfn.XLOOKUP(E27&amp;"|"&amp;B27,
        Calculate_cap_ener!$I$14:$I$21&amp;"|"&amp;Calculate_cap_ener!$L$14:$L$21,
        Calculate_cap_ener!$AS$14:$AS$21, "Not found", 0),"Rl",_xlfn.XLOOKUP(E27&amp;"|"&amp;B27,
        Calculate_cap_ener!$I$14:$I$21&amp;"|"&amp;Calculate_cap_ener!$L$14:$L$21,
        Calculate_cap_ener!$AT$14:$AT$21, "Not found", 0),"HP",_xlfn.XLOOKUP(E27&amp;"|"&amp;B27,
        Calculate_cap_ener!$I$14:$I$21&amp;"|"&amp;Calculate_cap_ener!$L$14:$L$21,
        Calculate_cap_ener!$AR$14:$AR$21, "Not found", 0),"HPl",_xlfn.XLOOKUP(E27&amp;"|"&amp;B27,
        Calculate_cap_ener!$I$14:$I$21&amp;"|"&amp;Calculate_cap_ener!$L$14:$L$21,
        Calculate_cap_ener!$AU$14:$AU$21, "Not found", 0),"Missing")</f>
        <v>11.642137770141677</v>
      </c>
      <c r="S27" s="5" cm="1">
        <f t="array" ref="S27">_xlfn.SWITCH(F27,"R",_xlfn.XLOOKUP(E27&amp;"|"&amp;B27,
        Calculate_cap_ener!$I$14:$I$21&amp;"|"&amp;Calculate_cap_ener!$L$14:$L$21,
        Calculate_cap_ener!$AX$14:$AX$21, "Not found", 0),"Rb",_xlfn.XLOOKUP(E27&amp;"|"&amp;B27,
        Calculate_cap_ener!$I$14:$I$21&amp;"|"&amp;Calculate_cap_ener!$L$14:$L$21,
        Calculate_cap_ener!$AZ$14:$AZ$21, "Not found", 0),"Rl",_xlfn.XLOOKUP(E27&amp;"|"&amp;B27,
        Calculate_cap_ener!$I$14:$I$21&amp;"|"&amp;Calculate_cap_ener!$L$14:$L$21,
        Calculate_cap_ener!$BA$14:$BA$21, "Not found", 0),"HP",_xlfn.XLOOKUP(E27&amp;"|"&amp;B27,
        Calculate_cap_ener!$I$14:$I$21&amp;"|"&amp;Calculate_cap_ener!$L$14:$L$21,
        Calculate_cap_ener!$AY$14:$AY$21, "Not found", 0),"HPl",_xlfn.XLOOKUP(E27&amp;"|"&amp;B27,
        Calculate_cap_ener!$I$14:$I$21&amp;"|"&amp;Calculate_cap_ener!$L$14:$L$21,
        Calculate_cap_ener!$BB$14:$BB$21, "Not found", 0),"Missing")</f>
        <v>66.494484797232133</v>
      </c>
      <c r="T27" s="5" cm="1">
        <f t="array" ref="T27">_xlfn.SWITCH(F27,"R",_xlfn.XLOOKUP(E27&amp;"|"&amp;B27,
        Calculate_cap_ener!$I$14:$I$21&amp;"|"&amp;Calculate_cap_ener!$L$14:$L$21,
        Calculate_cap_ener!$BE$14:$BE$21, "Not found", 0),"Rb",_xlfn.XLOOKUP(E27&amp;"|"&amp;B27,
        Calculate_cap_ener!$I$14:$I$21&amp;"|"&amp;Calculate_cap_ener!$L$14:$L$21,
        Calculate_cap_ener!$BG$14:$BG$21, "Not found", 0),"Rl",_xlfn.XLOOKUP(E27&amp;"|"&amp;B27,
        Calculate_cap_ener!$I$14:$I$21&amp;"|"&amp;Calculate_cap_ener!$L$14:$L$21,
        Calculate_cap_ener!$BH$14:$BH$21, "Not found", 0),"HP",_xlfn.XLOOKUP(E27&amp;"|"&amp;B27,
        Calculate_cap_ener!$I$14:$I$21&amp;"|"&amp;Calculate_cap_ener!$L$14:$L$21,
        Calculate_cap_ener!$BF$14:$BF$21, "Not found", 0),"HPl",_xlfn.XLOOKUP(E27&amp;"|"&amp;B27,
        Calculate_cap_ener!$I$14:$I$21&amp;"|"&amp;Calculate_cap_ener!$L$14:$L$21,
        Calculate_cap_ener!$BI$14:$BI$21, "Not found", 0),"Missing")</f>
        <v>0</v>
      </c>
    </row>
    <row r="28" spans="1:20" x14ac:dyDescent="0.25">
      <c r="A28" s="5" t="s">
        <v>5</v>
      </c>
      <c r="B28" s="5" t="str">
        <f t="shared" si="0"/>
        <v>Mass-H1</v>
      </c>
      <c r="C28" s="5" t="str">
        <f t="shared" si="1"/>
        <v>Mass</v>
      </c>
      <c r="D28" s="5" t="str">
        <f t="shared" si="2"/>
        <v>H1</v>
      </c>
      <c r="E28" s="5" t="s">
        <v>11</v>
      </c>
      <c r="F28" s="5" t="s">
        <v>15</v>
      </c>
      <c r="G28" s="5"/>
      <c r="H28" s="5"/>
      <c r="I28" s="5" cm="1">
        <f t="array" ref="I28">_xlfn.SWITCH(F28,"R",_xlfn.XLOOKUP(E28&amp;"|"&amp;B28,
        Calculate_cap_ener!$I$14:$I$21&amp;"|"&amp;Calculate_cap_ener!$L$14:$L$21,
        Calculate_cap_ener!$W$14:$W$21, "Not found", 0),"Rb",_xlfn.XLOOKUP(E28&amp;"|"&amp;B28,
        Calculate_cap_ener!$I$14:$I$21&amp;"|"&amp;Calculate_cap_ener!$L$14:$L$21,
        Calculate_cap_ener!$Y$14:$Y$21, "Not found", 0),"Rl",_xlfn.XLOOKUP(E28&amp;"|"&amp;B28,
        Calculate_cap_ener!$I$14:$I$21&amp;"|"&amp;Calculate_cap_ener!$L$14:$L$21,
        Calculate_cap_ener!$Z$14:$Z$21, "Not found", 0),0)</f>
        <v>3.5</v>
      </c>
      <c r="J28" s="5"/>
      <c r="K28" s="5"/>
      <c r="L28" s="5" cm="1">
        <f t="array" ref="L28">_xlfn.SWITCH(F28,"R",_xlfn.XLOOKUP(E28&amp;"|"&amp;B28,
        Calculate_cap_ener!$I$14:$I$21&amp;"|"&amp;Calculate_cap_ener!$L$14:$L$21,
        Calculate_cap_ener!$AC$14:$AC$21, "Not found", 0),"Rb",_xlfn.XLOOKUP(E28&amp;"|"&amp;B28,
        Calculate_cap_ener!$I$14:$I$21&amp;"|"&amp;Calculate_cap_ener!$L$14:$L$21,
        Calculate_cap_ener!$AE$14:$AE$21, "Not found", 0),"Rl",_xlfn.XLOOKUP(E28&amp;"|"&amp;B28,
        Calculate_cap_ener!$I$14:$I$21&amp;"|"&amp;Calculate_cap_ener!$L$14:$L$21,
        Calculate_cap_ener!$AF$14:$AF$21, "Not found", 0),"HP",_xlfn.XLOOKUP(E28&amp;"|"&amp;B28,
        Calculate_cap_ener!$I$14:$I$21&amp;"|"&amp;Calculate_cap_ener!$L$14:$L$21,
        Calculate_cap_ener!$AD$14:$AD$21, "Not found", 0),"HPl",_xlfn.XLOOKUP(E28&amp;"|"&amp;B28,
        Calculate_cap_ener!$I$14:$I$21&amp;"|"&amp;Calculate_cap_ener!$L$14:$L$21,
        Calculate_cap_ener!$AG$14:$AG$21, "Not found", 0),"Missing")</f>
        <v>8092.8542665110499</v>
      </c>
      <c r="M28" s="5"/>
      <c r="N28" s="5"/>
      <c r="O28" s="5"/>
      <c r="P28" s="5"/>
      <c r="Q28" s="5" cm="1">
        <f t="array" ref="Q28">_xlfn.SWITCH(F28,"R",_xlfn.XLOOKUP(E28&amp;"|"&amp;B28,
        Calculate_cap_ener!$I$14:$I$21&amp;"|"&amp;Calculate_cap_ener!$L$14:$L$21,
        Calculate_cap_ener!$AJ$14:$AJ$21, "Not found", 0),"Rb",_xlfn.XLOOKUP(E28&amp;"|"&amp;B28,
        Calculate_cap_ener!$I$14:$I$21&amp;"|"&amp;Calculate_cap_ener!$L$14:$L$21,
        Calculate_cap_ener!$AL$14:$AL$21, "Not found", 0),"Rl",_xlfn.XLOOKUP(E28&amp;"|"&amp;B28,
        Calculate_cap_ener!$I$14:$I$21&amp;"|"&amp;Calculate_cap_ener!$L$14:$L$21,
        Calculate_cap_ener!$AM$14:$AM$21, "Not found", 0),"HP",_xlfn.XLOOKUP(E28&amp;"|"&amp;B28,
        Calculate_cap_ener!$I$14:$I$21&amp;"|"&amp;Calculate_cap_ener!$L$14:$L$21,
        Calculate_cap_ener!$AK$14:$AK$21, "Not found", 0),"HPl",_xlfn.XLOOKUP(E28&amp;"|"&amp;B28,
        Calculate_cap_ener!$I$14:$I$21&amp;"|"&amp;Calculate_cap_ener!$L$14:$L$21,
        Calculate_cap_ener!$AN$14:$AN$21, "Not found", 0),"Missing")</f>
        <v>317.01619667938502</v>
      </c>
      <c r="R28" s="5" cm="1">
        <f t="array" ref="R28">_xlfn.SWITCH(F28,"R",_xlfn.XLOOKUP(E28&amp;"|"&amp;B28,
        Calculate_cap_ener!$I$14:$I$21&amp;"|"&amp;Calculate_cap_ener!$L$14:$L$21,
        Calculate_cap_ener!$AQ$14:$AQ$21, "Not found", 0),"Rb",_xlfn.XLOOKUP(E28&amp;"|"&amp;B28,
        Calculate_cap_ener!$I$14:$I$21&amp;"|"&amp;Calculate_cap_ener!$L$14:$L$21,
        Calculate_cap_ener!$AS$14:$AS$21, "Not found", 0),"Rl",_xlfn.XLOOKUP(E28&amp;"|"&amp;B28,
        Calculate_cap_ener!$I$14:$I$21&amp;"|"&amp;Calculate_cap_ener!$L$14:$L$21,
        Calculate_cap_ener!$AT$14:$AT$21, "Not found", 0),"HP",_xlfn.XLOOKUP(E28&amp;"|"&amp;B28,
        Calculate_cap_ener!$I$14:$I$21&amp;"|"&amp;Calculate_cap_ener!$L$14:$L$21,
        Calculate_cap_ener!$AR$14:$AR$21, "Not found", 0),"HPl",_xlfn.XLOOKUP(E28&amp;"|"&amp;B28,
        Calculate_cap_ener!$I$14:$I$21&amp;"|"&amp;Calculate_cap_ener!$L$14:$L$21,
        Calculate_cap_ener!$AU$14:$AU$21, "Not found", 0),"Missing")</f>
        <v>5.8210688850708392</v>
      </c>
      <c r="S28" s="5" cm="1">
        <f t="array" ref="S28">_xlfn.SWITCH(F28,"R",_xlfn.XLOOKUP(E28&amp;"|"&amp;B28,
        Calculate_cap_ener!$I$14:$I$21&amp;"|"&amp;Calculate_cap_ener!$L$14:$L$21,
        Calculate_cap_ener!$AX$14:$AX$21, "Not found", 0),"Rb",_xlfn.XLOOKUP(E28&amp;"|"&amp;B28,
        Calculate_cap_ener!$I$14:$I$21&amp;"|"&amp;Calculate_cap_ener!$L$14:$L$21,
        Calculate_cap_ener!$AZ$14:$AZ$21, "Not found", 0),"Rl",_xlfn.XLOOKUP(E28&amp;"|"&amp;B28,
        Calculate_cap_ener!$I$14:$I$21&amp;"|"&amp;Calculate_cap_ener!$L$14:$L$21,
        Calculate_cap_ener!$BA$14:$BA$21, "Not found", 0),"HP",_xlfn.XLOOKUP(E28&amp;"|"&amp;B28,
        Calculate_cap_ener!$I$14:$I$21&amp;"|"&amp;Calculate_cap_ener!$L$14:$L$21,
        Calculate_cap_ener!$AY$14:$AY$21, "Not found", 0),"HPl",_xlfn.XLOOKUP(E28&amp;"|"&amp;B28,
        Calculate_cap_ener!$I$14:$I$21&amp;"|"&amp;Calculate_cap_ener!$L$14:$L$21,
        Calculate_cap_ener!$BB$14:$BB$21, "Not found", 0),"Missing")</f>
        <v>33.247242398616066</v>
      </c>
      <c r="T28" s="5" cm="1">
        <f t="array" ref="T28">_xlfn.SWITCH(F28,"R",_xlfn.XLOOKUP(E28&amp;"|"&amp;B28,
        Calculate_cap_ener!$I$14:$I$21&amp;"|"&amp;Calculate_cap_ener!$L$14:$L$21,
        Calculate_cap_ener!$BE$14:$BE$21, "Not found", 0),"Rb",_xlfn.XLOOKUP(E28&amp;"|"&amp;B28,
        Calculate_cap_ener!$I$14:$I$21&amp;"|"&amp;Calculate_cap_ener!$L$14:$L$21,
        Calculate_cap_ener!$BG$14:$BG$21, "Not found", 0),"Rl",_xlfn.XLOOKUP(E28&amp;"|"&amp;B28,
        Calculate_cap_ener!$I$14:$I$21&amp;"|"&amp;Calculate_cap_ener!$L$14:$L$21,
        Calculate_cap_ener!$BH$14:$BH$21, "Not found", 0),"HP",_xlfn.XLOOKUP(E28&amp;"|"&amp;B28,
        Calculate_cap_ener!$I$14:$I$21&amp;"|"&amp;Calculate_cap_ener!$L$14:$L$21,
        Calculate_cap_ener!$BF$14:$BF$21, "Not found", 0),"HPl",_xlfn.XLOOKUP(E28&amp;"|"&amp;B28,
        Calculate_cap_ener!$I$14:$I$21&amp;"|"&amp;Calculate_cap_ener!$L$14:$L$21,
        Calculate_cap_ener!$BI$14:$BI$21, "Not found", 0),"Missing")</f>
        <v>0</v>
      </c>
    </row>
    <row r="29" spans="1:20" x14ac:dyDescent="0.25">
      <c r="A29" s="5" t="s">
        <v>6</v>
      </c>
      <c r="B29" s="5" t="str">
        <f t="shared" si="0"/>
        <v>Mass-H1</v>
      </c>
      <c r="C29" s="5" t="str">
        <f t="shared" si="1"/>
        <v>Mass</v>
      </c>
      <c r="D29" s="5" t="str">
        <f t="shared" si="2"/>
        <v>H1</v>
      </c>
      <c r="E29" s="5" t="s">
        <v>11</v>
      </c>
      <c r="F29" s="5" t="s">
        <v>15</v>
      </c>
      <c r="G29" s="5"/>
      <c r="H29" s="5"/>
      <c r="I29" s="5" cm="1">
        <f t="array" ref="I29">_xlfn.SWITCH(F29,"R",_xlfn.XLOOKUP(E29&amp;"|"&amp;B29,
        Calculate_cap_ener!$I$14:$I$21&amp;"|"&amp;Calculate_cap_ener!$L$14:$L$21,
        Calculate_cap_ener!$W$14:$W$21, "Not found", 0),"Rb",_xlfn.XLOOKUP(E29&amp;"|"&amp;B29,
        Calculate_cap_ener!$I$14:$I$21&amp;"|"&amp;Calculate_cap_ener!$L$14:$L$21,
        Calculate_cap_ener!$Y$14:$Y$21, "Not found", 0),"Rl",_xlfn.XLOOKUP(E29&amp;"|"&amp;B29,
        Calculate_cap_ener!$I$14:$I$21&amp;"|"&amp;Calculate_cap_ener!$L$14:$L$21,
        Calculate_cap_ener!$Z$14:$Z$21, "Not found", 0),0)</f>
        <v>3.5</v>
      </c>
      <c r="J29" s="5"/>
      <c r="K29" s="5"/>
      <c r="L29" s="5" cm="1">
        <f t="array" ref="L29">_xlfn.SWITCH(F29,"R",_xlfn.XLOOKUP(E29&amp;"|"&amp;B29,
        Calculate_cap_ener!$I$14:$I$21&amp;"|"&amp;Calculate_cap_ener!$L$14:$L$21,
        Calculate_cap_ener!$AC$14:$AC$21, "Not found", 0),"Rb",_xlfn.XLOOKUP(E29&amp;"|"&amp;B29,
        Calculate_cap_ener!$I$14:$I$21&amp;"|"&amp;Calculate_cap_ener!$L$14:$L$21,
        Calculate_cap_ener!$AE$14:$AE$21, "Not found", 0),"Rl",_xlfn.XLOOKUP(E29&amp;"|"&amp;B29,
        Calculate_cap_ener!$I$14:$I$21&amp;"|"&amp;Calculate_cap_ener!$L$14:$L$21,
        Calculate_cap_ener!$AF$14:$AF$21, "Not found", 0),"HP",_xlfn.XLOOKUP(E29&amp;"|"&amp;B29,
        Calculate_cap_ener!$I$14:$I$21&amp;"|"&amp;Calculate_cap_ener!$L$14:$L$21,
        Calculate_cap_ener!$AD$14:$AD$21, "Not found", 0),"HPl",_xlfn.XLOOKUP(E29&amp;"|"&amp;B29,
        Calculate_cap_ener!$I$14:$I$21&amp;"|"&amp;Calculate_cap_ener!$L$14:$L$21,
        Calculate_cap_ener!$AG$14:$AG$21, "Not found", 0),"Missing")</f>
        <v>8092.8542665110499</v>
      </c>
      <c r="M29" s="5"/>
      <c r="N29" s="5"/>
      <c r="O29" s="5"/>
      <c r="P29" s="5"/>
      <c r="Q29" s="5" cm="1">
        <f t="array" ref="Q29">_xlfn.SWITCH(F29,"R",_xlfn.XLOOKUP(E29&amp;"|"&amp;B29,
        Calculate_cap_ener!$I$14:$I$21&amp;"|"&amp;Calculate_cap_ener!$L$14:$L$21,
        Calculate_cap_ener!$AJ$14:$AJ$21, "Not found", 0),"Rb",_xlfn.XLOOKUP(E29&amp;"|"&amp;B29,
        Calculate_cap_ener!$I$14:$I$21&amp;"|"&amp;Calculate_cap_ener!$L$14:$L$21,
        Calculate_cap_ener!$AL$14:$AL$21, "Not found", 0),"Rl",_xlfn.XLOOKUP(E29&amp;"|"&amp;B29,
        Calculate_cap_ener!$I$14:$I$21&amp;"|"&amp;Calculate_cap_ener!$L$14:$L$21,
        Calculate_cap_ener!$AM$14:$AM$21, "Not found", 0),"HP",_xlfn.XLOOKUP(E29&amp;"|"&amp;B29,
        Calculate_cap_ener!$I$14:$I$21&amp;"|"&amp;Calculate_cap_ener!$L$14:$L$21,
        Calculate_cap_ener!$AK$14:$AK$21, "Not found", 0),"HPl",_xlfn.XLOOKUP(E29&amp;"|"&amp;B29,
        Calculate_cap_ener!$I$14:$I$21&amp;"|"&amp;Calculate_cap_ener!$L$14:$L$21,
        Calculate_cap_ener!$AN$14:$AN$21, "Not found", 0),"Missing")</f>
        <v>317.01619667938502</v>
      </c>
      <c r="R29" s="5" cm="1">
        <f t="array" ref="R29">_xlfn.SWITCH(F29,"R",_xlfn.XLOOKUP(E29&amp;"|"&amp;B29,
        Calculate_cap_ener!$I$14:$I$21&amp;"|"&amp;Calculate_cap_ener!$L$14:$L$21,
        Calculate_cap_ener!$AQ$14:$AQ$21, "Not found", 0),"Rb",_xlfn.XLOOKUP(E29&amp;"|"&amp;B29,
        Calculate_cap_ener!$I$14:$I$21&amp;"|"&amp;Calculate_cap_ener!$L$14:$L$21,
        Calculate_cap_ener!$AS$14:$AS$21, "Not found", 0),"Rl",_xlfn.XLOOKUP(E29&amp;"|"&amp;B29,
        Calculate_cap_ener!$I$14:$I$21&amp;"|"&amp;Calculate_cap_ener!$L$14:$L$21,
        Calculate_cap_ener!$AT$14:$AT$21, "Not found", 0),"HP",_xlfn.XLOOKUP(E29&amp;"|"&amp;B29,
        Calculate_cap_ener!$I$14:$I$21&amp;"|"&amp;Calculate_cap_ener!$L$14:$L$21,
        Calculate_cap_ener!$AR$14:$AR$21, "Not found", 0),"HPl",_xlfn.XLOOKUP(E29&amp;"|"&amp;B29,
        Calculate_cap_ener!$I$14:$I$21&amp;"|"&amp;Calculate_cap_ener!$L$14:$L$21,
        Calculate_cap_ener!$AU$14:$AU$21, "Not found", 0),"Missing")</f>
        <v>5.8210688850708392</v>
      </c>
      <c r="S29" s="5" cm="1">
        <f t="array" ref="S29">_xlfn.SWITCH(F29,"R",_xlfn.XLOOKUP(E29&amp;"|"&amp;B29,
        Calculate_cap_ener!$I$14:$I$21&amp;"|"&amp;Calculate_cap_ener!$L$14:$L$21,
        Calculate_cap_ener!$AX$14:$AX$21, "Not found", 0),"Rb",_xlfn.XLOOKUP(E29&amp;"|"&amp;B29,
        Calculate_cap_ener!$I$14:$I$21&amp;"|"&amp;Calculate_cap_ener!$L$14:$L$21,
        Calculate_cap_ener!$AZ$14:$AZ$21, "Not found", 0),"Rl",_xlfn.XLOOKUP(E29&amp;"|"&amp;B29,
        Calculate_cap_ener!$I$14:$I$21&amp;"|"&amp;Calculate_cap_ener!$L$14:$L$21,
        Calculate_cap_ener!$BA$14:$BA$21, "Not found", 0),"HP",_xlfn.XLOOKUP(E29&amp;"|"&amp;B29,
        Calculate_cap_ener!$I$14:$I$21&amp;"|"&amp;Calculate_cap_ener!$L$14:$L$21,
        Calculate_cap_ener!$AY$14:$AY$21, "Not found", 0),"HPl",_xlfn.XLOOKUP(E29&amp;"|"&amp;B29,
        Calculate_cap_ener!$I$14:$I$21&amp;"|"&amp;Calculate_cap_ener!$L$14:$L$21,
        Calculate_cap_ener!$BB$14:$BB$21, "Not found", 0),"Missing")</f>
        <v>33.247242398616066</v>
      </c>
      <c r="T29" s="5" cm="1">
        <f t="array" ref="T29">_xlfn.SWITCH(F29,"R",_xlfn.XLOOKUP(E29&amp;"|"&amp;B29,
        Calculate_cap_ener!$I$14:$I$21&amp;"|"&amp;Calculate_cap_ener!$L$14:$L$21,
        Calculate_cap_ener!$BE$14:$BE$21, "Not found", 0),"Rb",_xlfn.XLOOKUP(E29&amp;"|"&amp;B29,
        Calculate_cap_ener!$I$14:$I$21&amp;"|"&amp;Calculate_cap_ener!$L$14:$L$21,
        Calculate_cap_ener!$BG$14:$BG$21, "Not found", 0),"Rl",_xlfn.XLOOKUP(E29&amp;"|"&amp;B29,
        Calculate_cap_ener!$I$14:$I$21&amp;"|"&amp;Calculate_cap_ener!$L$14:$L$21,
        Calculate_cap_ener!$BH$14:$BH$21, "Not found", 0),"HP",_xlfn.XLOOKUP(E29&amp;"|"&amp;B29,
        Calculate_cap_ener!$I$14:$I$21&amp;"|"&amp;Calculate_cap_ener!$L$14:$L$21,
        Calculate_cap_ener!$BF$14:$BF$21, "Not found", 0),"HPl",_xlfn.XLOOKUP(E29&amp;"|"&amp;B29,
        Calculate_cap_ener!$I$14:$I$21&amp;"|"&amp;Calculate_cap_ener!$L$14:$L$21,
        Calculate_cap_ener!$BI$14:$BI$21, "Not found", 0),"Missing")</f>
        <v>0</v>
      </c>
    </row>
    <row r="30" spans="1:20" x14ac:dyDescent="0.25">
      <c r="A30" s="5" t="s">
        <v>7</v>
      </c>
      <c r="B30" s="5" t="str">
        <f t="shared" si="0"/>
        <v>Mod-Nom</v>
      </c>
      <c r="C30" s="5" t="str">
        <f t="shared" si="1"/>
        <v>Mod</v>
      </c>
      <c r="D30" s="5" t="str">
        <f t="shared" si="2"/>
        <v>Nom</v>
      </c>
      <c r="E30" s="5" t="s">
        <v>11</v>
      </c>
      <c r="F30" s="5" t="s">
        <v>15</v>
      </c>
      <c r="G30" s="5"/>
      <c r="H30" s="5"/>
      <c r="I30" s="5" cm="1">
        <f t="array" ref="I30">_xlfn.SWITCH(F30,"R",_xlfn.XLOOKUP(E30&amp;"|"&amp;B30,
        Calculate_cap_ener!$I$14:$I$21&amp;"|"&amp;Calculate_cap_ener!$L$14:$L$21,
        Calculate_cap_ener!$W$14:$W$21, "Not found", 0),"Rb",_xlfn.XLOOKUP(E30&amp;"|"&amp;B30,
        Calculate_cap_ener!$I$14:$I$21&amp;"|"&amp;Calculate_cap_ener!$L$14:$L$21,
        Calculate_cap_ener!$Y$14:$Y$21, "Not found", 0),"Rl",_xlfn.XLOOKUP(E30&amp;"|"&amp;B30,
        Calculate_cap_ener!$I$14:$I$21&amp;"|"&amp;Calculate_cap_ener!$L$14:$L$21,
        Calculate_cap_ener!$Z$14:$Z$21, "Not found", 0),0)</f>
        <v>6.5</v>
      </c>
      <c r="J30" s="5"/>
      <c r="K30" s="5"/>
      <c r="L30" s="5" cm="1">
        <f t="array" ref="L30">_xlfn.SWITCH(F30,"R",_xlfn.XLOOKUP(E30&amp;"|"&amp;B30,
        Calculate_cap_ener!$I$14:$I$21&amp;"|"&amp;Calculate_cap_ener!$L$14:$L$21,
        Calculate_cap_ener!$AC$14:$AC$21, "Not found", 0),"Rb",_xlfn.XLOOKUP(E30&amp;"|"&amp;B30,
        Calculate_cap_ener!$I$14:$I$21&amp;"|"&amp;Calculate_cap_ener!$L$14:$L$21,
        Calculate_cap_ener!$AE$14:$AE$21, "Not found", 0),"Rl",_xlfn.XLOOKUP(E30&amp;"|"&amp;B30,
        Calculate_cap_ener!$I$14:$I$21&amp;"|"&amp;Calculate_cap_ener!$L$14:$L$21,
        Calculate_cap_ener!$AF$14:$AF$21, "Not found", 0),"HP",_xlfn.XLOOKUP(E30&amp;"|"&amp;B30,
        Calculate_cap_ener!$I$14:$I$21&amp;"|"&amp;Calculate_cap_ener!$L$14:$L$21,
        Calculate_cap_ener!$AD$14:$AD$21, "Not found", 0),"HPl",_xlfn.XLOOKUP(E30&amp;"|"&amp;B30,
        Calculate_cap_ener!$I$14:$I$21&amp;"|"&amp;Calculate_cap_ener!$L$14:$L$21,
        Calculate_cap_ener!$AG$14:$AG$21, "Not found", 0),"Missing")</f>
        <v>15571.015233815706</v>
      </c>
      <c r="M30" s="5"/>
      <c r="N30" s="5"/>
      <c r="O30" s="5"/>
      <c r="P30" s="5"/>
      <c r="Q30" s="5" cm="1">
        <f t="array" ref="Q30">_xlfn.SWITCH(F30,"R",_xlfn.XLOOKUP(E30&amp;"|"&amp;B30,
        Calculate_cap_ener!$I$14:$I$21&amp;"|"&amp;Calculate_cap_ener!$L$14:$L$21,
        Calculate_cap_ener!$AJ$14:$AJ$21, "Not found", 0),"Rb",_xlfn.XLOOKUP(E30&amp;"|"&amp;B30,
        Calculate_cap_ener!$I$14:$I$21&amp;"|"&amp;Calculate_cap_ener!$L$14:$L$21,
        Calculate_cap_ener!$AL$14:$AL$21, "Not found", 0),"Rl",_xlfn.XLOOKUP(E30&amp;"|"&amp;B30,
        Calculate_cap_ener!$I$14:$I$21&amp;"|"&amp;Calculate_cap_ener!$L$14:$L$21,
        Calculate_cap_ener!$AM$14:$AM$21, "Not found", 0),"HP",_xlfn.XLOOKUP(E30&amp;"|"&amp;B30,
        Calculate_cap_ener!$I$14:$I$21&amp;"|"&amp;Calculate_cap_ener!$L$14:$L$21,
        Calculate_cap_ener!$AK$14:$AK$21, "Not found", 0),"HPl",_xlfn.XLOOKUP(E30&amp;"|"&amp;B30,
        Calculate_cap_ener!$I$14:$I$21&amp;"|"&amp;Calculate_cap_ener!$L$14:$L$21,
        Calculate_cap_ener!$AN$14:$AN$21, "Not found", 0),"Missing")</f>
        <v>602.22405921457505</v>
      </c>
      <c r="R30" s="5" cm="1">
        <f t="array" ref="R30">_xlfn.SWITCH(F30,"R",_xlfn.XLOOKUP(E30&amp;"|"&amp;B30,
        Calculate_cap_ener!$I$14:$I$21&amp;"|"&amp;Calculate_cap_ener!$L$14:$L$21,
        Calculate_cap_ener!$AQ$14:$AQ$21, "Not found", 0),"Rb",_xlfn.XLOOKUP(E30&amp;"|"&amp;B30,
        Calculate_cap_ener!$I$14:$I$21&amp;"|"&amp;Calculate_cap_ener!$L$14:$L$21,
        Calculate_cap_ener!$AS$14:$AS$21, "Not found", 0),"Rl",_xlfn.XLOOKUP(E30&amp;"|"&amp;B30,
        Calculate_cap_ener!$I$14:$I$21&amp;"|"&amp;Calculate_cap_ener!$L$14:$L$21,
        Calculate_cap_ener!$AT$14:$AT$21, "Not found", 0),"HP",_xlfn.XLOOKUP(E30&amp;"|"&amp;B30,
        Calculate_cap_ener!$I$14:$I$21&amp;"|"&amp;Calculate_cap_ener!$L$14:$L$21,
        Calculate_cap_ener!$AR$14:$AR$21, "Not found", 0),"HPl",_xlfn.XLOOKUP(E30&amp;"|"&amp;B30,
        Calculate_cap_ener!$I$14:$I$21&amp;"|"&amp;Calculate_cap_ener!$L$14:$L$21,
        Calculate_cap_ener!$AU$14:$AU$21, "Not found", 0),"Missing")</f>
        <v>11.226998266185042</v>
      </c>
      <c r="S30" s="5" cm="1">
        <f t="array" ref="S30">_xlfn.SWITCH(F30,"R",_xlfn.XLOOKUP(E30&amp;"|"&amp;B30,
        Calculate_cap_ener!$I$14:$I$21&amp;"|"&amp;Calculate_cap_ener!$L$14:$L$21,
        Calculate_cap_ener!$AX$14:$AX$21, "Not found", 0),"Rb",_xlfn.XLOOKUP(E30&amp;"|"&amp;B30,
        Calculate_cap_ener!$I$14:$I$21&amp;"|"&amp;Calculate_cap_ener!$L$14:$L$21,
        Calculate_cap_ener!$AZ$14:$AZ$21, "Not found", 0),"Rl",_xlfn.XLOOKUP(E30&amp;"|"&amp;B30,
        Calculate_cap_ener!$I$14:$I$21&amp;"|"&amp;Calculate_cap_ener!$L$14:$L$21,
        Calculate_cap_ener!$BA$14:$BA$21, "Not found", 0),"HP",_xlfn.XLOOKUP(E30&amp;"|"&amp;B30,
        Calculate_cap_ener!$I$14:$I$21&amp;"|"&amp;Calculate_cap_ener!$L$14:$L$21,
        Calculate_cap_ener!$AY$14:$AY$21, "Not found", 0),"HPl",_xlfn.XLOOKUP(E30&amp;"|"&amp;B30,
        Calculate_cap_ener!$I$14:$I$21&amp;"|"&amp;Calculate_cap_ener!$L$14:$L$21,
        Calculate_cap_ener!$BB$14:$BB$21, "Not found", 0),"Missing")</f>
        <v>64.610306236330729</v>
      </c>
      <c r="T30" s="5" cm="1">
        <f t="array" ref="T30">_xlfn.SWITCH(F30,"R",_xlfn.XLOOKUP(E30&amp;"|"&amp;B30,
        Calculate_cap_ener!$I$14:$I$21&amp;"|"&amp;Calculate_cap_ener!$L$14:$L$21,
        Calculate_cap_ener!$BE$14:$BE$21, "Not found", 0),"Rb",_xlfn.XLOOKUP(E30&amp;"|"&amp;B30,
        Calculate_cap_ener!$I$14:$I$21&amp;"|"&amp;Calculate_cap_ener!$L$14:$L$21,
        Calculate_cap_ener!$BG$14:$BG$21, "Not found", 0),"Rl",_xlfn.XLOOKUP(E30&amp;"|"&amp;B30,
        Calculate_cap_ener!$I$14:$I$21&amp;"|"&amp;Calculate_cap_ener!$L$14:$L$21,
        Calculate_cap_ener!$BH$14:$BH$21, "Not found", 0),"HP",_xlfn.XLOOKUP(E30&amp;"|"&amp;B30,
        Calculate_cap_ener!$I$14:$I$21&amp;"|"&amp;Calculate_cap_ener!$L$14:$L$21,
        Calculate_cap_ener!$BF$14:$BF$21, "Not found", 0),"HPl",_xlfn.XLOOKUP(E30&amp;"|"&amp;B30,
        Calculate_cap_ener!$I$14:$I$21&amp;"|"&amp;Calculate_cap_ener!$L$14:$L$21,
        Calculate_cap_ener!$BI$14:$BI$21, "Not found", 0),"Missing")</f>
        <v>0</v>
      </c>
    </row>
    <row r="31" spans="1:20" x14ac:dyDescent="0.25">
      <c r="A31" s="5" t="s">
        <v>8</v>
      </c>
      <c r="B31" s="5" t="str">
        <f t="shared" si="0"/>
        <v>Mod-Nom</v>
      </c>
      <c r="C31" s="5" t="str">
        <f t="shared" si="1"/>
        <v>Mod</v>
      </c>
      <c r="D31" s="5" t="str">
        <f t="shared" si="2"/>
        <v>Nom</v>
      </c>
      <c r="E31" s="5" t="s">
        <v>11</v>
      </c>
      <c r="F31" s="5" t="s">
        <v>15</v>
      </c>
      <c r="G31" s="5"/>
      <c r="H31" s="5"/>
      <c r="I31" s="5" cm="1">
        <f t="array" ref="I31">_xlfn.SWITCH(F31,"R",_xlfn.XLOOKUP(E31&amp;"|"&amp;B31,
        Calculate_cap_ener!$I$14:$I$21&amp;"|"&amp;Calculate_cap_ener!$L$14:$L$21,
        Calculate_cap_ener!$W$14:$W$21, "Not found", 0),"Rb",_xlfn.XLOOKUP(E31&amp;"|"&amp;B31,
        Calculate_cap_ener!$I$14:$I$21&amp;"|"&amp;Calculate_cap_ener!$L$14:$L$21,
        Calculate_cap_ener!$Y$14:$Y$21, "Not found", 0),"Rl",_xlfn.XLOOKUP(E31&amp;"|"&amp;B31,
        Calculate_cap_ener!$I$14:$I$21&amp;"|"&amp;Calculate_cap_ener!$L$14:$L$21,
        Calculate_cap_ener!$Z$14:$Z$21, "Not found", 0),0)</f>
        <v>6.5</v>
      </c>
      <c r="J31" s="5"/>
      <c r="K31" s="5"/>
      <c r="L31" s="5" cm="1">
        <f t="array" ref="L31">_xlfn.SWITCH(F31,"R",_xlfn.XLOOKUP(E31&amp;"|"&amp;B31,
        Calculate_cap_ener!$I$14:$I$21&amp;"|"&amp;Calculate_cap_ener!$L$14:$L$21,
        Calculate_cap_ener!$AC$14:$AC$21, "Not found", 0),"Rb",_xlfn.XLOOKUP(E31&amp;"|"&amp;B31,
        Calculate_cap_ener!$I$14:$I$21&amp;"|"&amp;Calculate_cap_ener!$L$14:$L$21,
        Calculate_cap_ener!$AE$14:$AE$21, "Not found", 0),"Rl",_xlfn.XLOOKUP(E31&amp;"|"&amp;B31,
        Calculate_cap_ener!$I$14:$I$21&amp;"|"&amp;Calculate_cap_ener!$L$14:$L$21,
        Calculate_cap_ener!$AF$14:$AF$21, "Not found", 0),"HP",_xlfn.XLOOKUP(E31&amp;"|"&amp;B31,
        Calculate_cap_ener!$I$14:$I$21&amp;"|"&amp;Calculate_cap_ener!$L$14:$L$21,
        Calculate_cap_ener!$AD$14:$AD$21, "Not found", 0),"HPl",_xlfn.XLOOKUP(E31&amp;"|"&amp;B31,
        Calculate_cap_ener!$I$14:$I$21&amp;"|"&amp;Calculate_cap_ener!$L$14:$L$21,
        Calculate_cap_ener!$AG$14:$AG$21, "Not found", 0),"Missing")</f>
        <v>15571.015233815706</v>
      </c>
      <c r="M31" s="5"/>
      <c r="N31" s="5"/>
      <c r="O31" s="5"/>
      <c r="P31" s="5"/>
      <c r="Q31" s="5" cm="1">
        <f t="array" ref="Q31">_xlfn.SWITCH(F31,"R",_xlfn.XLOOKUP(E31&amp;"|"&amp;B31,
        Calculate_cap_ener!$I$14:$I$21&amp;"|"&amp;Calculate_cap_ener!$L$14:$L$21,
        Calculate_cap_ener!$AJ$14:$AJ$21, "Not found", 0),"Rb",_xlfn.XLOOKUP(E31&amp;"|"&amp;B31,
        Calculate_cap_ener!$I$14:$I$21&amp;"|"&amp;Calculate_cap_ener!$L$14:$L$21,
        Calculate_cap_ener!$AL$14:$AL$21, "Not found", 0),"Rl",_xlfn.XLOOKUP(E31&amp;"|"&amp;B31,
        Calculate_cap_ener!$I$14:$I$21&amp;"|"&amp;Calculate_cap_ener!$L$14:$L$21,
        Calculate_cap_ener!$AM$14:$AM$21, "Not found", 0),"HP",_xlfn.XLOOKUP(E31&amp;"|"&amp;B31,
        Calculate_cap_ener!$I$14:$I$21&amp;"|"&amp;Calculate_cap_ener!$L$14:$L$21,
        Calculate_cap_ener!$AK$14:$AK$21, "Not found", 0),"HPl",_xlfn.XLOOKUP(E31&amp;"|"&amp;B31,
        Calculate_cap_ener!$I$14:$I$21&amp;"|"&amp;Calculate_cap_ener!$L$14:$L$21,
        Calculate_cap_ener!$AN$14:$AN$21, "Not found", 0),"Missing")</f>
        <v>602.22405921457505</v>
      </c>
      <c r="R31" s="5" cm="1">
        <f t="array" ref="R31">_xlfn.SWITCH(F31,"R",_xlfn.XLOOKUP(E31&amp;"|"&amp;B31,
        Calculate_cap_ener!$I$14:$I$21&amp;"|"&amp;Calculate_cap_ener!$L$14:$L$21,
        Calculate_cap_ener!$AQ$14:$AQ$21, "Not found", 0),"Rb",_xlfn.XLOOKUP(E31&amp;"|"&amp;B31,
        Calculate_cap_ener!$I$14:$I$21&amp;"|"&amp;Calculate_cap_ener!$L$14:$L$21,
        Calculate_cap_ener!$AS$14:$AS$21, "Not found", 0),"Rl",_xlfn.XLOOKUP(E31&amp;"|"&amp;B31,
        Calculate_cap_ener!$I$14:$I$21&amp;"|"&amp;Calculate_cap_ener!$L$14:$L$21,
        Calculate_cap_ener!$AT$14:$AT$21, "Not found", 0),"HP",_xlfn.XLOOKUP(E31&amp;"|"&amp;B31,
        Calculate_cap_ener!$I$14:$I$21&amp;"|"&amp;Calculate_cap_ener!$L$14:$L$21,
        Calculate_cap_ener!$AR$14:$AR$21, "Not found", 0),"HPl",_xlfn.XLOOKUP(E31&amp;"|"&amp;B31,
        Calculate_cap_ener!$I$14:$I$21&amp;"|"&amp;Calculate_cap_ener!$L$14:$L$21,
        Calculate_cap_ener!$AU$14:$AU$21, "Not found", 0),"Missing")</f>
        <v>11.226998266185042</v>
      </c>
      <c r="S31" s="5" cm="1">
        <f t="array" ref="S31">_xlfn.SWITCH(F31,"R",_xlfn.XLOOKUP(E31&amp;"|"&amp;B31,
        Calculate_cap_ener!$I$14:$I$21&amp;"|"&amp;Calculate_cap_ener!$L$14:$L$21,
        Calculate_cap_ener!$AX$14:$AX$21, "Not found", 0),"Rb",_xlfn.XLOOKUP(E31&amp;"|"&amp;B31,
        Calculate_cap_ener!$I$14:$I$21&amp;"|"&amp;Calculate_cap_ener!$L$14:$L$21,
        Calculate_cap_ener!$AZ$14:$AZ$21, "Not found", 0),"Rl",_xlfn.XLOOKUP(E31&amp;"|"&amp;B31,
        Calculate_cap_ener!$I$14:$I$21&amp;"|"&amp;Calculate_cap_ener!$L$14:$L$21,
        Calculate_cap_ener!$BA$14:$BA$21, "Not found", 0),"HP",_xlfn.XLOOKUP(E31&amp;"|"&amp;B31,
        Calculate_cap_ener!$I$14:$I$21&amp;"|"&amp;Calculate_cap_ener!$L$14:$L$21,
        Calculate_cap_ener!$AY$14:$AY$21, "Not found", 0),"HPl",_xlfn.XLOOKUP(E31&amp;"|"&amp;B31,
        Calculate_cap_ener!$I$14:$I$21&amp;"|"&amp;Calculate_cap_ener!$L$14:$L$21,
        Calculate_cap_ener!$BB$14:$BB$21, "Not found", 0),"Missing")</f>
        <v>64.610306236330729</v>
      </c>
      <c r="T31" s="5" cm="1">
        <f t="array" ref="T31">_xlfn.SWITCH(F31,"R",_xlfn.XLOOKUP(E31&amp;"|"&amp;B31,
        Calculate_cap_ener!$I$14:$I$21&amp;"|"&amp;Calculate_cap_ener!$L$14:$L$21,
        Calculate_cap_ener!$BE$14:$BE$21, "Not found", 0),"Rb",_xlfn.XLOOKUP(E31&amp;"|"&amp;B31,
        Calculate_cap_ener!$I$14:$I$21&amp;"|"&amp;Calculate_cap_ener!$L$14:$L$21,
        Calculate_cap_ener!$BG$14:$BG$21, "Not found", 0),"Rl",_xlfn.XLOOKUP(E31&amp;"|"&amp;B31,
        Calculate_cap_ener!$I$14:$I$21&amp;"|"&amp;Calculate_cap_ener!$L$14:$L$21,
        Calculate_cap_ener!$BH$14:$BH$21, "Not found", 0),"HP",_xlfn.XLOOKUP(E31&amp;"|"&amp;B31,
        Calculate_cap_ener!$I$14:$I$21&amp;"|"&amp;Calculate_cap_ener!$L$14:$L$21,
        Calculate_cap_ener!$BF$14:$BF$21, "Not found", 0),"HPl",_xlfn.XLOOKUP(E31&amp;"|"&amp;B31,
        Calculate_cap_ener!$I$14:$I$21&amp;"|"&amp;Calculate_cap_ener!$L$14:$L$21,
        Calculate_cap_ener!$BI$14:$BI$21, "Not found", 0),"Missing")</f>
        <v>0</v>
      </c>
    </row>
    <row r="32" spans="1:20" x14ac:dyDescent="0.25">
      <c r="A32" s="5" t="s">
        <v>9</v>
      </c>
      <c r="B32" s="5" t="str">
        <f t="shared" si="0"/>
        <v>Mod-H1</v>
      </c>
      <c r="C32" s="5" t="str">
        <f t="shared" si="1"/>
        <v>Mod</v>
      </c>
      <c r="D32" s="5" t="str">
        <f t="shared" si="2"/>
        <v>H1</v>
      </c>
      <c r="E32" s="5" t="s">
        <v>11</v>
      </c>
      <c r="F32" s="5" t="s">
        <v>15</v>
      </c>
      <c r="G32" s="5"/>
      <c r="H32" s="5"/>
      <c r="I32" s="5" cm="1">
        <f t="array" ref="I32">_xlfn.SWITCH(F32,"R",_xlfn.XLOOKUP(E32&amp;"|"&amp;B32,
        Calculate_cap_ener!$I$14:$I$21&amp;"|"&amp;Calculate_cap_ener!$L$14:$L$21,
        Calculate_cap_ener!$W$14:$W$21, "Not found", 0),"Rb",_xlfn.XLOOKUP(E32&amp;"|"&amp;B32,
        Calculate_cap_ener!$I$14:$I$21&amp;"|"&amp;Calculate_cap_ener!$L$14:$L$21,
        Calculate_cap_ener!$Y$14:$Y$21, "Not found", 0),"Rl",_xlfn.XLOOKUP(E32&amp;"|"&amp;B32,
        Calculate_cap_ener!$I$14:$I$21&amp;"|"&amp;Calculate_cap_ener!$L$14:$L$21,
        Calculate_cap_ener!$Z$14:$Z$21, "Not found", 0),0)</f>
        <v>4.5</v>
      </c>
      <c r="J32" s="5"/>
      <c r="K32" s="5"/>
      <c r="L32" s="5" cm="1">
        <f t="array" ref="L32">_xlfn.SWITCH(F32,"R",_xlfn.XLOOKUP(E32&amp;"|"&amp;B32,
        Calculate_cap_ener!$I$14:$I$21&amp;"|"&amp;Calculate_cap_ener!$L$14:$L$21,
        Calculate_cap_ener!$AC$14:$AC$21, "Not found", 0),"Rb",_xlfn.XLOOKUP(E32&amp;"|"&amp;B32,
        Calculate_cap_ener!$I$14:$I$21&amp;"|"&amp;Calculate_cap_ener!$L$14:$L$21,
        Calculate_cap_ener!$AE$14:$AE$21, "Not found", 0),"Rl",_xlfn.XLOOKUP(E32&amp;"|"&amp;B32,
        Calculate_cap_ener!$I$14:$I$21&amp;"|"&amp;Calculate_cap_ener!$L$14:$L$21,
        Calculate_cap_ener!$AF$14:$AF$21, "Not found", 0),"HP",_xlfn.XLOOKUP(E32&amp;"|"&amp;B32,
        Calculate_cap_ener!$I$14:$I$21&amp;"|"&amp;Calculate_cap_ener!$L$14:$L$21,
        Calculate_cap_ener!$AD$14:$AD$21, "Not found", 0),"HPl",_xlfn.XLOOKUP(E32&amp;"|"&amp;B32,
        Calculate_cap_ener!$I$14:$I$21&amp;"|"&amp;Calculate_cap_ener!$L$14:$L$21,
        Calculate_cap_ener!$AG$14:$AG$21, "Not found", 0),"Missing")</f>
        <v>13112.242036990161</v>
      </c>
      <c r="M32" s="5"/>
      <c r="N32" s="5"/>
      <c r="O32" s="5"/>
      <c r="P32" s="5"/>
      <c r="Q32" s="5" cm="1">
        <f t="array" ref="Q32">_xlfn.SWITCH(F32,"R",_xlfn.XLOOKUP(E32&amp;"|"&amp;B32,
        Calculate_cap_ener!$I$14:$I$21&amp;"|"&amp;Calculate_cap_ener!$L$14:$L$21,
        Calculate_cap_ener!$AJ$14:$AJ$21, "Not found", 0),"Rb",_xlfn.XLOOKUP(E32&amp;"|"&amp;B32,
        Calculate_cap_ener!$I$14:$I$21&amp;"|"&amp;Calculate_cap_ener!$L$14:$L$21,
        Calculate_cap_ener!$AL$14:$AL$21, "Not found", 0),"Rl",_xlfn.XLOOKUP(E32&amp;"|"&amp;B32,
        Calculate_cap_ener!$I$14:$I$21&amp;"|"&amp;Calculate_cap_ener!$L$14:$L$21,
        Calculate_cap_ener!$AM$14:$AM$21, "Not found", 0),"HP",_xlfn.XLOOKUP(E32&amp;"|"&amp;B32,
        Calculate_cap_ener!$I$14:$I$21&amp;"|"&amp;Calculate_cap_ener!$L$14:$L$21,
        Calculate_cap_ener!$AK$14:$AK$21, "Not found", 0),"HPl",_xlfn.XLOOKUP(E32&amp;"|"&amp;B32,
        Calculate_cap_ener!$I$14:$I$21&amp;"|"&amp;Calculate_cap_ener!$L$14:$L$21,
        Calculate_cap_ener!$AN$14:$AN$21, "Not found", 0),"Missing")</f>
        <v>474.99072263779505</v>
      </c>
      <c r="R32" s="5" cm="1">
        <f t="array" ref="R32">_xlfn.SWITCH(F32,"R",_xlfn.XLOOKUP(E32&amp;"|"&amp;B32,
        Calculate_cap_ener!$I$14:$I$21&amp;"|"&amp;Calculate_cap_ener!$L$14:$L$21,
        Calculate_cap_ener!$AQ$14:$AQ$21, "Not found", 0),"Rb",_xlfn.XLOOKUP(E32&amp;"|"&amp;B32,
        Calculate_cap_ener!$I$14:$I$21&amp;"|"&amp;Calculate_cap_ener!$L$14:$L$21,
        Calculate_cap_ener!$AS$14:$AS$21, "Not found", 0),"Rl",_xlfn.XLOOKUP(E32&amp;"|"&amp;B32,
        Calculate_cap_ener!$I$14:$I$21&amp;"|"&amp;Calculate_cap_ener!$L$14:$L$21,
        Calculate_cap_ener!$AT$14:$AT$21, "Not found", 0),"HP",_xlfn.XLOOKUP(E32&amp;"|"&amp;B32,
        Calculate_cap_ener!$I$14:$I$21&amp;"|"&amp;Calculate_cap_ener!$L$14:$L$21,
        Calculate_cap_ener!$AR$14:$AR$21, "Not found", 0),"HPl",_xlfn.XLOOKUP(E32&amp;"|"&amp;B32,
        Calculate_cap_ener!$I$14:$I$21&amp;"|"&amp;Calculate_cap_ener!$L$14:$L$21,
        Calculate_cap_ener!$AU$14:$AU$21, "Not found", 0),"Missing")</f>
        <v>9.5664402503585393</v>
      </c>
      <c r="S32" s="5" cm="1">
        <f t="array" ref="S32">_xlfn.SWITCH(F32,"R",_xlfn.XLOOKUP(E32&amp;"|"&amp;B32,
        Calculate_cap_ener!$I$14:$I$21&amp;"|"&amp;Calculate_cap_ener!$L$14:$L$21,
        Calculate_cap_ener!$AX$14:$AX$21, "Not found", 0),"Rb",_xlfn.XLOOKUP(E32&amp;"|"&amp;B32,
        Calculate_cap_ener!$I$14:$I$21&amp;"|"&amp;Calculate_cap_ener!$L$14:$L$21,
        Calculate_cap_ener!$AZ$14:$AZ$21, "Not found", 0),"Rl",_xlfn.XLOOKUP(E32&amp;"|"&amp;B32,
        Calculate_cap_ener!$I$14:$I$21&amp;"|"&amp;Calculate_cap_ener!$L$14:$L$21,
        Calculate_cap_ener!$BA$14:$BA$21, "Not found", 0),"HP",_xlfn.XLOOKUP(E32&amp;"|"&amp;B32,
        Calculate_cap_ener!$I$14:$I$21&amp;"|"&amp;Calculate_cap_ener!$L$14:$L$21,
        Calculate_cap_ener!$AY$14:$AY$21, "Not found", 0),"HPl",_xlfn.XLOOKUP(E32&amp;"|"&amp;B32,
        Calculate_cap_ener!$I$14:$I$21&amp;"|"&amp;Calculate_cap_ener!$L$14:$L$21,
        Calculate_cap_ener!$BB$14:$BB$21, "Not found", 0),"Missing")</f>
        <v>57.073591992725085</v>
      </c>
      <c r="T32" s="5" cm="1">
        <f t="array" ref="T32">_xlfn.SWITCH(F32,"R",_xlfn.XLOOKUP(E32&amp;"|"&amp;B32,
        Calculate_cap_ener!$I$14:$I$21&amp;"|"&amp;Calculate_cap_ener!$L$14:$L$21,
        Calculate_cap_ener!$BE$14:$BE$21, "Not found", 0),"Rb",_xlfn.XLOOKUP(E32&amp;"|"&amp;B32,
        Calculate_cap_ener!$I$14:$I$21&amp;"|"&amp;Calculate_cap_ener!$L$14:$L$21,
        Calculate_cap_ener!$BG$14:$BG$21, "Not found", 0),"Rl",_xlfn.XLOOKUP(E32&amp;"|"&amp;B32,
        Calculate_cap_ener!$I$14:$I$21&amp;"|"&amp;Calculate_cap_ener!$L$14:$L$21,
        Calculate_cap_ener!$BH$14:$BH$21, "Not found", 0),"HP",_xlfn.XLOOKUP(E32&amp;"|"&amp;B32,
        Calculate_cap_ener!$I$14:$I$21&amp;"|"&amp;Calculate_cap_ener!$L$14:$L$21,
        Calculate_cap_ener!$BF$14:$BF$21, "Not found", 0),"HPl",_xlfn.XLOOKUP(E32&amp;"|"&amp;B32,
        Calculate_cap_ener!$I$14:$I$21&amp;"|"&amp;Calculate_cap_ener!$L$14:$L$21,
        Calculate_cap_ener!$BI$14:$BI$21, "Not found", 0),"Missing")</f>
        <v>0</v>
      </c>
    </row>
    <row r="33" spans="1:20" x14ac:dyDescent="0.25">
      <c r="A33" s="5" t="s">
        <v>10</v>
      </c>
      <c r="B33" s="5" t="str">
        <f t="shared" si="0"/>
        <v>Mod-H1</v>
      </c>
      <c r="C33" s="5" t="str">
        <f t="shared" si="1"/>
        <v>Mod</v>
      </c>
      <c r="D33" s="5" t="str">
        <f t="shared" si="2"/>
        <v>H1</v>
      </c>
      <c r="E33" s="5" t="s">
        <v>11</v>
      </c>
      <c r="F33" s="5" t="s">
        <v>15</v>
      </c>
      <c r="G33" s="5"/>
      <c r="H33" s="5"/>
      <c r="I33" s="5" cm="1">
        <f t="array" ref="I33">_xlfn.SWITCH(F33,"R",_xlfn.XLOOKUP(E33&amp;"|"&amp;B33,
        Calculate_cap_ener!$I$14:$I$21&amp;"|"&amp;Calculate_cap_ener!$L$14:$L$21,
        Calculate_cap_ener!$W$14:$W$21, "Not found", 0),"Rb",_xlfn.XLOOKUP(E33&amp;"|"&amp;B33,
        Calculate_cap_ener!$I$14:$I$21&amp;"|"&amp;Calculate_cap_ener!$L$14:$L$21,
        Calculate_cap_ener!$Y$14:$Y$21, "Not found", 0),"Rl",_xlfn.XLOOKUP(E33&amp;"|"&amp;B33,
        Calculate_cap_ener!$I$14:$I$21&amp;"|"&amp;Calculate_cap_ener!$L$14:$L$21,
        Calculate_cap_ener!$Z$14:$Z$21, "Not found", 0),0)</f>
        <v>4.5</v>
      </c>
      <c r="J33" s="5"/>
      <c r="K33" s="5"/>
      <c r="L33" s="5" cm="1">
        <f t="array" ref="L33">_xlfn.SWITCH(F33,"R",_xlfn.XLOOKUP(E33&amp;"|"&amp;B33,
        Calculate_cap_ener!$I$14:$I$21&amp;"|"&amp;Calculate_cap_ener!$L$14:$L$21,
        Calculate_cap_ener!$AC$14:$AC$21, "Not found", 0),"Rb",_xlfn.XLOOKUP(E33&amp;"|"&amp;B33,
        Calculate_cap_ener!$I$14:$I$21&amp;"|"&amp;Calculate_cap_ener!$L$14:$L$21,
        Calculate_cap_ener!$AE$14:$AE$21, "Not found", 0),"Rl",_xlfn.XLOOKUP(E33&amp;"|"&amp;B33,
        Calculate_cap_ener!$I$14:$I$21&amp;"|"&amp;Calculate_cap_ener!$L$14:$L$21,
        Calculate_cap_ener!$AF$14:$AF$21, "Not found", 0),"HP",_xlfn.XLOOKUP(E33&amp;"|"&amp;B33,
        Calculate_cap_ener!$I$14:$I$21&amp;"|"&amp;Calculate_cap_ener!$L$14:$L$21,
        Calculate_cap_ener!$AD$14:$AD$21, "Not found", 0),"HPl",_xlfn.XLOOKUP(E33&amp;"|"&amp;B33,
        Calculate_cap_ener!$I$14:$I$21&amp;"|"&amp;Calculate_cap_ener!$L$14:$L$21,
        Calculate_cap_ener!$AG$14:$AG$21, "Not found", 0),"Missing")</f>
        <v>13112.242036990161</v>
      </c>
      <c r="M33" s="5"/>
      <c r="N33" s="5"/>
      <c r="O33" s="5"/>
      <c r="P33" s="5"/>
      <c r="Q33" s="5" cm="1">
        <f t="array" ref="Q33">_xlfn.SWITCH(F33,"R",_xlfn.XLOOKUP(E33&amp;"|"&amp;B33,
        Calculate_cap_ener!$I$14:$I$21&amp;"|"&amp;Calculate_cap_ener!$L$14:$L$21,
        Calculate_cap_ener!$AJ$14:$AJ$21, "Not found", 0),"Rb",_xlfn.XLOOKUP(E33&amp;"|"&amp;B33,
        Calculate_cap_ener!$I$14:$I$21&amp;"|"&amp;Calculate_cap_ener!$L$14:$L$21,
        Calculate_cap_ener!$AL$14:$AL$21, "Not found", 0),"Rl",_xlfn.XLOOKUP(E33&amp;"|"&amp;B33,
        Calculate_cap_ener!$I$14:$I$21&amp;"|"&amp;Calculate_cap_ener!$L$14:$L$21,
        Calculate_cap_ener!$AM$14:$AM$21, "Not found", 0),"HP",_xlfn.XLOOKUP(E33&amp;"|"&amp;B33,
        Calculate_cap_ener!$I$14:$I$21&amp;"|"&amp;Calculate_cap_ener!$L$14:$L$21,
        Calculate_cap_ener!$AK$14:$AK$21, "Not found", 0),"HPl",_xlfn.XLOOKUP(E33&amp;"|"&amp;B33,
        Calculate_cap_ener!$I$14:$I$21&amp;"|"&amp;Calculate_cap_ener!$L$14:$L$21,
        Calculate_cap_ener!$AN$14:$AN$21, "Not found", 0),"Missing")</f>
        <v>474.99072263779505</v>
      </c>
      <c r="R33" s="5" cm="1">
        <f t="array" ref="R33">_xlfn.SWITCH(F33,"R",_xlfn.XLOOKUP(E33&amp;"|"&amp;B33,
        Calculate_cap_ener!$I$14:$I$21&amp;"|"&amp;Calculate_cap_ener!$L$14:$L$21,
        Calculate_cap_ener!$AQ$14:$AQ$21, "Not found", 0),"Rb",_xlfn.XLOOKUP(E33&amp;"|"&amp;B33,
        Calculate_cap_ener!$I$14:$I$21&amp;"|"&amp;Calculate_cap_ener!$L$14:$L$21,
        Calculate_cap_ener!$AS$14:$AS$21, "Not found", 0),"Rl",_xlfn.XLOOKUP(E33&amp;"|"&amp;B33,
        Calculate_cap_ener!$I$14:$I$21&amp;"|"&amp;Calculate_cap_ener!$L$14:$L$21,
        Calculate_cap_ener!$AT$14:$AT$21, "Not found", 0),"HP",_xlfn.XLOOKUP(E33&amp;"|"&amp;B33,
        Calculate_cap_ener!$I$14:$I$21&amp;"|"&amp;Calculate_cap_ener!$L$14:$L$21,
        Calculate_cap_ener!$AR$14:$AR$21, "Not found", 0),"HPl",_xlfn.XLOOKUP(E33&amp;"|"&amp;B33,
        Calculate_cap_ener!$I$14:$I$21&amp;"|"&amp;Calculate_cap_ener!$L$14:$L$21,
        Calculate_cap_ener!$AU$14:$AU$21, "Not found", 0),"Missing")</f>
        <v>9.5664402503585393</v>
      </c>
      <c r="S33" s="5" cm="1">
        <f t="array" ref="S33">_xlfn.SWITCH(F33,"R",_xlfn.XLOOKUP(E33&amp;"|"&amp;B33,
        Calculate_cap_ener!$I$14:$I$21&amp;"|"&amp;Calculate_cap_ener!$L$14:$L$21,
        Calculate_cap_ener!$AX$14:$AX$21, "Not found", 0),"Rb",_xlfn.XLOOKUP(E33&amp;"|"&amp;B33,
        Calculate_cap_ener!$I$14:$I$21&amp;"|"&amp;Calculate_cap_ener!$L$14:$L$21,
        Calculate_cap_ener!$AZ$14:$AZ$21, "Not found", 0),"Rl",_xlfn.XLOOKUP(E33&amp;"|"&amp;B33,
        Calculate_cap_ener!$I$14:$I$21&amp;"|"&amp;Calculate_cap_ener!$L$14:$L$21,
        Calculate_cap_ener!$BA$14:$BA$21, "Not found", 0),"HP",_xlfn.XLOOKUP(E33&amp;"|"&amp;B33,
        Calculate_cap_ener!$I$14:$I$21&amp;"|"&amp;Calculate_cap_ener!$L$14:$L$21,
        Calculate_cap_ener!$AY$14:$AY$21, "Not found", 0),"HPl",_xlfn.XLOOKUP(E33&amp;"|"&amp;B33,
        Calculate_cap_ener!$I$14:$I$21&amp;"|"&amp;Calculate_cap_ener!$L$14:$L$21,
        Calculate_cap_ener!$BB$14:$BB$21, "Not found", 0),"Missing")</f>
        <v>57.073591992725085</v>
      </c>
      <c r="T33" s="5" cm="1">
        <f t="array" ref="T33">_xlfn.SWITCH(F33,"R",_xlfn.XLOOKUP(E33&amp;"|"&amp;B33,
        Calculate_cap_ener!$I$14:$I$21&amp;"|"&amp;Calculate_cap_ener!$L$14:$L$21,
        Calculate_cap_ener!$BE$14:$BE$21, "Not found", 0),"Rb",_xlfn.XLOOKUP(E33&amp;"|"&amp;B33,
        Calculate_cap_ener!$I$14:$I$21&amp;"|"&amp;Calculate_cap_ener!$L$14:$L$21,
        Calculate_cap_ener!$BG$14:$BG$21, "Not found", 0),"Rl",_xlfn.XLOOKUP(E33&amp;"|"&amp;B33,
        Calculate_cap_ener!$I$14:$I$21&amp;"|"&amp;Calculate_cap_ener!$L$14:$L$21,
        Calculate_cap_ener!$BH$14:$BH$21, "Not found", 0),"HP",_xlfn.XLOOKUP(E33&amp;"|"&amp;B33,
        Calculate_cap_ener!$I$14:$I$21&amp;"|"&amp;Calculate_cap_ener!$L$14:$L$21,
        Calculate_cap_ener!$BF$14:$BF$21, "Not found", 0),"HPl",_xlfn.XLOOKUP(E33&amp;"|"&amp;B33,
        Calculate_cap_ener!$I$14:$I$21&amp;"|"&amp;Calculate_cap_ener!$L$14:$L$21,
        Calculate_cap_ener!$BI$14:$BI$21, "Not found", 0),"Missing")</f>
        <v>0</v>
      </c>
    </row>
    <row r="34" spans="1:20" x14ac:dyDescent="0.25">
      <c r="A34" s="5" t="s">
        <v>4</v>
      </c>
      <c r="B34" s="5" t="str">
        <f t="shared" si="0"/>
        <v>Mass-Nom</v>
      </c>
      <c r="C34" s="5" t="str">
        <f t="shared" si="1"/>
        <v>Mass</v>
      </c>
      <c r="D34" s="5" t="str">
        <f t="shared" si="2"/>
        <v>Nom</v>
      </c>
      <c r="E34" s="5" t="s">
        <v>3</v>
      </c>
      <c r="F34" s="5" t="s">
        <v>14</v>
      </c>
      <c r="G34" s="5"/>
      <c r="H34" s="5"/>
      <c r="I34" s="5" cm="1">
        <f t="array" ref="I34">_xlfn.SWITCH(F34,"R",_xlfn.XLOOKUP(E34&amp;"|"&amp;B34,
        Calculate_cap_ener!$I$14:$I$21&amp;"|"&amp;Calculate_cap_ener!$L$14:$L$21,
        Calculate_cap_ener!$W$14:$W$21, "Not found", 0),"Rb",_xlfn.XLOOKUP(E34&amp;"|"&amp;B34,
        Calculate_cap_ener!$I$14:$I$21&amp;"|"&amp;Calculate_cap_ener!$L$14:$L$21,
        Calculate_cap_ener!$Y$14:$Y$21, "Not found", 0),"Rl",_xlfn.XLOOKUP(E34&amp;"|"&amp;B34,
        Calculate_cap_ener!$I$14:$I$21&amp;"|"&amp;Calculate_cap_ener!$L$14:$L$21,
        Calculate_cap_ener!$Z$14:$Z$21, "Not found", 0),0)</f>
        <v>7</v>
      </c>
      <c r="J34" s="5"/>
      <c r="K34" s="5"/>
      <c r="L34" s="5" cm="1">
        <f t="array" ref="L34">_xlfn.SWITCH(F34,"R",_xlfn.XLOOKUP(E34&amp;"|"&amp;B34,
        Calculate_cap_ener!$I$14:$I$21&amp;"|"&amp;Calculate_cap_ener!$L$14:$L$21,
        Calculate_cap_ener!$AC$14:$AC$21, "Not found", 0),"Rb",_xlfn.XLOOKUP(E34&amp;"|"&amp;B34,
        Calculate_cap_ener!$I$14:$I$21&amp;"|"&amp;Calculate_cap_ener!$L$14:$L$21,
        Calculate_cap_ener!$AE$14:$AE$21, "Not found", 0),"Rl",_xlfn.XLOOKUP(E34&amp;"|"&amp;B34,
        Calculate_cap_ener!$I$14:$I$21&amp;"|"&amp;Calculate_cap_ener!$L$14:$L$21,
        Calculate_cap_ener!$AF$14:$AF$21, "Not found", 0),"HP",_xlfn.XLOOKUP(E34&amp;"|"&amp;B34,
        Calculate_cap_ener!$I$14:$I$21&amp;"|"&amp;Calculate_cap_ener!$L$14:$L$21,
        Calculate_cap_ener!$AD$14:$AD$21, "Not found", 0),"HPl",_xlfn.XLOOKUP(E34&amp;"|"&amp;B34,
        Calculate_cap_ener!$I$14:$I$21&amp;"|"&amp;Calculate_cap_ener!$L$14:$L$21,
        Calculate_cap_ener!$AG$14:$AG$21, "Not found", 0),"Missing")</f>
        <v>16185.708533022098</v>
      </c>
      <c r="M34" s="5"/>
      <c r="N34" s="5"/>
      <c r="O34" s="5"/>
      <c r="P34" s="5"/>
      <c r="Q34" s="5" cm="1">
        <f t="array" ref="Q34">_xlfn.SWITCH(F34,"R",_xlfn.XLOOKUP(E34&amp;"|"&amp;B34,
        Calculate_cap_ener!$I$14:$I$21&amp;"|"&amp;Calculate_cap_ener!$L$14:$L$21,
        Calculate_cap_ener!$AJ$14:$AJ$21, "Not found", 0),"Rb",_xlfn.XLOOKUP(E34&amp;"|"&amp;B34,
        Calculate_cap_ener!$I$14:$I$21&amp;"|"&amp;Calculate_cap_ener!$L$14:$L$21,
        Calculate_cap_ener!$AL$14:$AL$21, "Not found", 0),"Rl",_xlfn.XLOOKUP(E34&amp;"|"&amp;B34,
        Calculate_cap_ener!$I$14:$I$21&amp;"|"&amp;Calculate_cap_ener!$L$14:$L$21,
        Calculate_cap_ener!$AM$14:$AM$21, "Not found", 0),"HP",_xlfn.XLOOKUP(E34&amp;"|"&amp;B34,
        Calculate_cap_ener!$I$14:$I$21&amp;"|"&amp;Calculate_cap_ener!$L$14:$L$21,
        Calculate_cap_ener!$AK$14:$AK$21, "Not found", 0),"HPl",_xlfn.XLOOKUP(E34&amp;"|"&amp;B34,
        Calculate_cap_ener!$I$14:$I$21&amp;"|"&amp;Calculate_cap_ener!$L$14:$L$21,
        Calculate_cap_ener!$AN$14:$AN$21, "Not found", 0),"Missing")</f>
        <v>634.03239335877004</v>
      </c>
      <c r="R34" s="5" cm="1">
        <f t="array" ref="R34">_xlfn.SWITCH(F34,"R",_xlfn.XLOOKUP(E34&amp;"|"&amp;B34,
        Calculate_cap_ener!$I$14:$I$21&amp;"|"&amp;Calculate_cap_ener!$L$14:$L$21,
        Calculate_cap_ener!$AQ$14:$AQ$21, "Not found", 0),"Rb",_xlfn.XLOOKUP(E34&amp;"|"&amp;B34,
        Calculate_cap_ener!$I$14:$I$21&amp;"|"&amp;Calculate_cap_ener!$L$14:$L$21,
        Calculate_cap_ener!$AS$14:$AS$21, "Not found", 0),"Rl",_xlfn.XLOOKUP(E34&amp;"|"&amp;B34,
        Calculate_cap_ener!$I$14:$I$21&amp;"|"&amp;Calculate_cap_ener!$L$14:$L$21,
        Calculate_cap_ener!$AT$14:$AT$21, "Not found", 0),"HP",_xlfn.XLOOKUP(E34&amp;"|"&amp;B34,
        Calculate_cap_ener!$I$14:$I$21&amp;"|"&amp;Calculate_cap_ener!$L$14:$L$21,
        Calculate_cap_ener!$AR$14:$AR$21, "Not found", 0),"HPl",_xlfn.XLOOKUP(E34&amp;"|"&amp;B34,
        Calculate_cap_ener!$I$14:$I$21&amp;"|"&amp;Calculate_cap_ener!$L$14:$L$21,
        Calculate_cap_ener!$AU$14:$AU$21, "Not found", 0),"Missing")</f>
        <v>11.642137770141677</v>
      </c>
      <c r="S34" s="5" cm="1">
        <f t="array" ref="S34">_xlfn.SWITCH(F34,"R",_xlfn.XLOOKUP(E34&amp;"|"&amp;B34,
        Calculate_cap_ener!$I$14:$I$21&amp;"|"&amp;Calculate_cap_ener!$L$14:$L$21,
        Calculate_cap_ener!$AX$14:$AX$21, "Not found", 0),"Rb",_xlfn.XLOOKUP(E34&amp;"|"&amp;B34,
        Calculate_cap_ener!$I$14:$I$21&amp;"|"&amp;Calculate_cap_ener!$L$14:$L$21,
        Calculate_cap_ener!$AZ$14:$AZ$21, "Not found", 0),"Rl",_xlfn.XLOOKUP(E34&amp;"|"&amp;B34,
        Calculate_cap_ener!$I$14:$I$21&amp;"|"&amp;Calculate_cap_ener!$L$14:$L$21,
        Calculate_cap_ener!$BA$14:$BA$21, "Not found", 0),"HP",_xlfn.XLOOKUP(E34&amp;"|"&amp;B34,
        Calculate_cap_ener!$I$14:$I$21&amp;"|"&amp;Calculate_cap_ener!$L$14:$L$21,
        Calculate_cap_ener!$AY$14:$AY$21, "Not found", 0),"HPl",_xlfn.XLOOKUP(E34&amp;"|"&amp;B34,
        Calculate_cap_ener!$I$14:$I$21&amp;"|"&amp;Calculate_cap_ener!$L$14:$L$21,
        Calculate_cap_ener!$BB$14:$BB$21, "Not found", 0),"Missing")</f>
        <v>66.494484797232133</v>
      </c>
      <c r="T34" s="5" cm="1">
        <f t="array" ref="T34">_xlfn.SWITCH(F34,"R",_xlfn.XLOOKUP(E34&amp;"|"&amp;B34,
        Calculate_cap_ener!$I$14:$I$21&amp;"|"&amp;Calculate_cap_ener!$L$14:$L$21,
        Calculate_cap_ener!$BE$14:$BE$21, "Not found", 0),"Rb",_xlfn.XLOOKUP(E34&amp;"|"&amp;B34,
        Calculate_cap_ener!$I$14:$I$21&amp;"|"&amp;Calculate_cap_ener!$L$14:$L$21,
        Calculate_cap_ener!$BG$14:$BG$21, "Not found", 0),"Rl",_xlfn.XLOOKUP(E34&amp;"|"&amp;B34,
        Calculate_cap_ener!$I$14:$I$21&amp;"|"&amp;Calculate_cap_ener!$L$14:$L$21,
        Calculate_cap_ener!$BH$14:$BH$21, "Not found", 0),"HP",_xlfn.XLOOKUP(E34&amp;"|"&amp;B34,
        Calculate_cap_ener!$I$14:$I$21&amp;"|"&amp;Calculate_cap_ener!$L$14:$L$21,
        Calculate_cap_ener!$BF$14:$BF$21, "Not found", 0),"HPl",_xlfn.XLOOKUP(E34&amp;"|"&amp;B34,
        Calculate_cap_ener!$I$14:$I$21&amp;"|"&amp;Calculate_cap_ener!$L$14:$L$21,
        Calculate_cap_ener!$BI$14:$BI$21, "Not found", 0),"Missing")</f>
        <v>0</v>
      </c>
    </row>
    <row r="35" spans="1:20" x14ac:dyDescent="0.25">
      <c r="A35" s="5" t="s">
        <v>2</v>
      </c>
      <c r="B35" s="5" t="str">
        <f t="shared" si="0"/>
        <v>Mass-Nom</v>
      </c>
      <c r="C35" s="5" t="str">
        <f t="shared" si="1"/>
        <v>Mass</v>
      </c>
      <c r="D35" s="5" t="str">
        <f t="shared" si="2"/>
        <v>Nom</v>
      </c>
      <c r="E35" s="5" t="s">
        <v>3</v>
      </c>
      <c r="F35" s="5" t="s">
        <v>14</v>
      </c>
      <c r="G35" s="5"/>
      <c r="H35" s="5"/>
      <c r="I35" s="5" cm="1">
        <f t="array" ref="I35">_xlfn.SWITCH(F35,"R",_xlfn.XLOOKUP(E35&amp;"|"&amp;B35,
        Calculate_cap_ener!$I$14:$I$21&amp;"|"&amp;Calculate_cap_ener!$L$14:$L$21,
        Calculate_cap_ener!$W$14:$W$21, "Not found", 0),"Rb",_xlfn.XLOOKUP(E35&amp;"|"&amp;B35,
        Calculate_cap_ener!$I$14:$I$21&amp;"|"&amp;Calculate_cap_ener!$L$14:$L$21,
        Calculate_cap_ener!$Y$14:$Y$21, "Not found", 0),"Rl",_xlfn.XLOOKUP(E35&amp;"|"&amp;B35,
        Calculate_cap_ener!$I$14:$I$21&amp;"|"&amp;Calculate_cap_ener!$L$14:$L$21,
        Calculate_cap_ener!$Z$14:$Z$21, "Not found", 0),0)</f>
        <v>7</v>
      </c>
      <c r="J35" s="5"/>
      <c r="K35" s="5"/>
      <c r="L35" s="5" cm="1">
        <f t="array" ref="L35">_xlfn.SWITCH(F35,"R",_xlfn.XLOOKUP(E35&amp;"|"&amp;B35,
        Calculate_cap_ener!$I$14:$I$21&amp;"|"&amp;Calculate_cap_ener!$L$14:$L$21,
        Calculate_cap_ener!$AC$14:$AC$21, "Not found", 0),"Rb",_xlfn.XLOOKUP(E35&amp;"|"&amp;B35,
        Calculate_cap_ener!$I$14:$I$21&amp;"|"&amp;Calculate_cap_ener!$L$14:$L$21,
        Calculate_cap_ener!$AE$14:$AE$21, "Not found", 0),"Rl",_xlfn.XLOOKUP(E35&amp;"|"&amp;B35,
        Calculate_cap_ener!$I$14:$I$21&amp;"|"&amp;Calculate_cap_ener!$L$14:$L$21,
        Calculate_cap_ener!$AF$14:$AF$21, "Not found", 0),"HP",_xlfn.XLOOKUP(E35&amp;"|"&amp;B35,
        Calculate_cap_ener!$I$14:$I$21&amp;"|"&amp;Calculate_cap_ener!$L$14:$L$21,
        Calculate_cap_ener!$AD$14:$AD$21, "Not found", 0),"HPl",_xlfn.XLOOKUP(E35&amp;"|"&amp;B35,
        Calculate_cap_ener!$I$14:$I$21&amp;"|"&amp;Calculate_cap_ener!$L$14:$L$21,
        Calculate_cap_ener!$AG$14:$AG$21, "Not found", 0),"Missing")</f>
        <v>16185.708533022098</v>
      </c>
      <c r="M35" s="5"/>
      <c r="N35" s="5"/>
      <c r="O35" s="5"/>
      <c r="P35" s="5"/>
      <c r="Q35" s="5" cm="1">
        <f t="array" ref="Q35">_xlfn.SWITCH(F35,"R",_xlfn.XLOOKUP(E35&amp;"|"&amp;B35,
        Calculate_cap_ener!$I$14:$I$21&amp;"|"&amp;Calculate_cap_ener!$L$14:$L$21,
        Calculate_cap_ener!$AJ$14:$AJ$21, "Not found", 0),"Rb",_xlfn.XLOOKUP(E35&amp;"|"&amp;B35,
        Calculate_cap_ener!$I$14:$I$21&amp;"|"&amp;Calculate_cap_ener!$L$14:$L$21,
        Calculate_cap_ener!$AL$14:$AL$21, "Not found", 0),"Rl",_xlfn.XLOOKUP(E35&amp;"|"&amp;B35,
        Calculate_cap_ener!$I$14:$I$21&amp;"|"&amp;Calculate_cap_ener!$L$14:$L$21,
        Calculate_cap_ener!$AM$14:$AM$21, "Not found", 0),"HP",_xlfn.XLOOKUP(E35&amp;"|"&amp;B35,
        Calculate_cap_ener!$I$14:$I$21&amp;"|"&amp;Calculate_cap_ener!$L$14:$L$21,
        Calculate_cap_ener!$AK$14:$AK$21, "Not found", 0),"HPl",_xlfn.XLOOKUP(E35&amp;"|"&amp;B35,
        Calculate_cap_ener!$I$14:$I$21&amp;"|"&amp;Calculate_cap_ener!$L$14:$L$21,
        Calculate_cap_ener!$AN$14:$AN$21, "Not found", 0),"Missing")</f>
        <v>634.03239335877004</v>
      </c>
      <c r="R35" s="5" cm="1">
        <f t="array" ref="R35">_xlfn.SWITCH(F35,"R",_xlfn.XLOOKUP(E35&amp;"|"&amp;B35,
        Calculate_cap_ener!$I$14:$I$21&amp;"|"&amp;Calculate_cap_ener!$L$14:$L$21,
        Calculate_cap_ener!$AQ$14:$AQ$21, "Not found", 0),"Rb",_xlfn.XLOOKUP(E35&amp;"|"&amp;B35,
        Calculate_cap_ener!$I$14:$I$21&amp;"|"&amp;Calculate_cap_ener!$L$14:$L$21,
        Calculate_cap_ener!$AS$14:$AS$21, "Not found", 0),"Rl",_xlfn.XLOOKUP(E35&amp;"|"&amp;B35,
        Calculate_cap_ener!$I$14:$I$21&amp;"|"&amp;Calculate_cap_ener!$L$14:$L$21,
        Calculate_cap_ener!$AT$14:$AT$21, "Not found", 0),"HP",_xlfn.XLOOKUP(E35&amp;"|"&amp;B35,
        Calculate_cap_ener!$I$14:$I$21&amp;"|"&amp;Calculate_cap_ener!$L$14:$L$21,
        Calculate_cap_ener!$AR$14:$AR$21, "Not found", 0),"HPl",_xlfn.XLOOKUP(E35&amp;"|"&amp;B35,
        Calculate_cap_ener!$I$14:$I$21&amp;"|"&amp;Calculate_cap_ener!$L$14:$L$21,
        Calculate_cap_ener!$AU$14:$AU$21, "Not found", 0),"Missing")</f>
        <v>11.642137770141677</v>
      </c>
      <c r="S35" s="5" cm="1">
        <f t="array" ref="S35">_xlfn.SWITCH(F35,"R",_xlfn.XLOOKUP(E35&amp;"|"&amp;B35,
        Calculate_cap_ener!$I$14:$I$21&amp;"|"&amp;Calculate_cap_ener!$L$14:$L$21,
        Calculate_cap_ener!$AX$14:$AX$21, "Not found", 0),"Rb",_xlfn.XLOOKUP(E35&amp;"|"&amp;B35,
        Calculate_cap_ener!$I$14:$I$21&amp;"|"&amp;Calculate_cap_ener!$L$14:$L$21,
        Calculate_cap_ener!$AZ$14:$AZ$21, "Not found", 0),"Rl",_xlfn.XLOOKUP(E35&amp;"|"&amp;B35,
        Calculate_cap_ener!$I$14:$I$21&amp;"|"&amp;Calculate_cap_ener!$L$14:$L$21,
        Calculate_cap_ener!$BA$14:$BA$21, "Not found", 0),"HP",_xlfn.XLOOKUP(E35&amp;"|"&amp;B35,
        Calculate_cap_ener!$I$14:$I$21&amp;"|"&amp;Calculate_cap_ener!$L$14:$L$21,
        Calculate_cap_ener!$AY$14:$AY$21, "Not found", 0),"HPl",_xlfn.XLOOKUP(E35&amp;"|"&amp;B35,
        Calculate_cap_ener!$I$14:$I$21&amp;"|"&amp;Calculate_cap_ener!$L$14:$L$21,
        Calculate_cap_ener!$BB$14:$BB$21, "Not found", 0),"Missing")</f>
        <v>66.494484797232133</v>
      </c>
      <c r="T35" s="5" cm="1">
        <f t="array" ref="T35">_xlfn.SWITCH(F35,"R",_xlfn.XLOOKUP(E35&amp;"|"&amp;B35,
        Calculate_cap_ener!$I$14:$I$21&amp;"|"&amp;Calculate_cap_ener!$L$14:$L$21,
        Calculate_cap_ener!$BE$14:$BE$21, "Not found", 0),"Rb",_xlfn.XLOOKUP(E35&amp;"|"&amp;B35,
        Calculate_cap_ener!$I$14:$I$21&amp;"|"&amp;Calculate_cap_ener!$L$14:$L$21,
        Calculate_cap_ener!$BG$14:$BG$21, "Not found", 0),"Rl",_xlfn.XLOOKUP(E35&amp;"|"&amp;B35,
        Calculate_cap_ener!$I$14:$I$21&amp;"|"&amp;Calculate_cap_ener!$L$14:$L$21,
        Calculate_cap_ener!$BH$14:$BH$21, "Not found", 0),"HP",_xlfn.XLOOKUP(E35&amp;"|"&amp;B35,
        Calculate_cap_ener!$I$14:$I$21&amp;"|"&amp;Calculate_cap_ener!$L$14:$L$21,
        Calculate_cap_ener!$BF$14:$BF$21, "Not found", 0),"HPl",_xlfn.XLOOKUP(E35&amp;"|"&amp;B35,
        Calculate_cap_ener!$I$14:$I$21&amp;"|"&amp;Calculate_cap_ener!$L$14:$L$21,
        Calculate_cap_ener!$BI$14:$BI$21, "Not found", 0),"Missing")</f>
        <v>0</v>
      </c>
    </row>
    <row r="36" spans="1:20" x14ac:dyDescent="0.25">
      <c r="A36" s="5" t="s">
        <v>5</v>
      </c>
      <c r="B36" s="5" t="str">
        <f t="shared" si="0"/>
        <v>Mass-H1</v>
      </c>
      <c r="C36" s="5" t="str">
        <f t="shared" si="1"/>
        <v>Mass</v>
      </c>
      <c r="D36" s="5" t="str">
        <f t="shared" si="2"/>
        <v>H1</v>
      </c>
      <c r="E36" s="5" t="s">
        <v>3</v>
      </c>
      <c r="F36" s="5" t="s">
        <v>14</v>
      </c>
      <c r="G36" s="5"/>
      <c r="H36" s="5"/>
      <c r="I36" s="5" cm="1">
        <f t="array" ref="I36">_xlfn.SWITCH(F36,"R",_xlfn.XLOOKUP(E36&amp;"|"&amp;B36,
        Calculate_cap_ener!$I$14:$I$21&amp;"|"&amp;Calculate_cap_ener!$L$14:$L$21,
        Calculate_cap_ener!$W$14:$W$21, "Not found", 0),"Rb",_xlfn.XLOOKUP(E36&amp;"|"&amp;B36,
        Calculate_cap_ener!$I$14:$I$21&amp;"|"&amp;Calculate_cap_ener!$L$14:$L$21,
        Calculate_cap_ener!$Y$14:$Y$21, "Not found", 0),"Rl",_xlfn.XLOOKUP(E36&amp;"|"&amp;B36,
        Calculate_cap_ener!$I$14:$I$21&amp;"|"&amp;Calculate_cap_ener!$L$14:$L$21,
        Calculate_cap_ener!$Z$14:$Z$21, "Not found", 0),0)</f>
        <v>5</v>
      </c>
      <c r="J36" s="5"/>
      <c r="K36" s="5"/>
      <c r="L36" s="5" cm="1">
        <f t="array" ref="L36">_xlfn.SWITCH(F36,"R",_xlfn.XLOOKUP(E36&amp;"|"&amp;B36,
        Calculate_cap_ener!$I$14:$I$21&amp;"|"&amp;Calculate_cap_ener!$L$14:$L$21,
        Calculate_cap_ener!$AC$14:$AC$21, "Not found", 0),"Rb",_xlfn.XLOOKUP(E36&amp;"|"&amp;B36,
        Calculate_cap_ener!$I$14:$I$21&amp;"|"&amp;Calculate_cap_ener!$L$14:$L$21,
        Calculate_cap_ener!$AE$14:$AE$21, "Not found", 0),"Rl",_xlfn.XLOOKUP(E36&amp;"|"&amp;B36,
        Calculate_cap_ener!$I$14:$I$21&amp;"|"&amp;Calculate_cap_ener!$L$14:$L$21,
        Calculate_cap_ener!$AF$14:$AF$21, "Not found", 0),"HP",_xlfn.XLOOKUP(E36&amp;"|"&amp;B36,
        Calculate_cap_ener!$I$14:$I$21&amp;"|"&amp;Calculate_cap_ener!$L$14:$L$21,
        Calculate_cap_ener!$AD$14:$AD$21, "Not found", 0),"HPl",_xlfn.XLOOKUP(E36&amp;"|"&amp;B36,
        Calculate_cap_ener!$I$14:$I$21&amp;"|"&amp;Calculate_cap_ener!$L$14:$L$21,
        Calculate_cap_ener!$AG$14:$AG$21, "Not found", 0),"Missing")</f>
        <v>13726.935336196544</v>
      </c>
      <c r="M36" s="5"/>
      <c r="N36" s="5"/>
      <c r="O36" s="5"/>
      <c r="P36" s="5"/>
      <c r="Q36" s="5" cm="1">
        <f t="array" ref="Q36">_xlfn.SWITCH(F36,"R",_xlfn.XLOOKUP(E36&amp;"|"&amp;B36,
        Calculate_cap_ener!$I$14:$I$21&amp;"|"&amp;Calculate_cap_ener!$L$14:$L$21,
        Calculate_cap_ener!$AJ$14:$AJ$21, "Not found", 0),"Rb",_xlfn.XLOOKUP(E36&amp;"|"&amp;B36,
        Calculate_cap_ener!$I$14:$I$21&amp;"|"&amp;Calculate_cap_ener!$L$14:$L$21,
        Calculate_cap_ener!$AL$14:$AL$21, "Not found", 0),"Rl",_xlfn.XLOOKUP(E36&amp;"|"&amp;B36,
        Calculate_cap_ener!$I$14:$I$21&amp;"|"&amp;Calculate_cap_ener!$L$14:$L$21,
        Calculate_cap_ener!$AM$14:$AM$21, "Not found", 0),"HP",_xlfn.XLOOKUP(E36&amp;"|"&amp;B36,
        Calculate_cap_ener!$I$14:$I$21&amp;"|"&amp;Calculate_cap_ener!$L$14:$L$21,
        Calculate_cap_ener!$AK$14:$AK$21, "Not found", 0),"HPl",_xlfn.XLOOKUP(E36&amp;"|"&amp;B36,
        Calculate_cap_ener!$I$14:$I$21&amp;"|"&amp;Calculate_cap_ener!$L$14:$L$21,
        Calculate_cap_ener!$AN$14:$AN$21, "Not found", 0),"Missing")</f>
        <v>506.79905678199003</v>
      </c>
      <c r="R36" s="5" cm="1">
        <f t="array" ref="R36">_xlfn.SWITCH(F36,"R",_xlfn.XLOOKUP(E36&amp;"|"&amp;B36,
        Calculate_cap_ener!$I$14:$I$21&amp;"|"&amp;Calculate_cap_ener!$L$14:$L$21,
        Calculate_cap_ener!$AQ$14:$AQ$21, "Not found", 0),"Rb",_xlfn.XLOOKUP(E36&amp;"|"&amp;B36,
        Calculate_cap_ener!$I$14:$I$21&amp;"|"&amp;Calculate_cap_ener!$L$14:$L$21,
        Calculate_cap_ener!$AS$14:$AS$21, "Not found", 0),"Rl",_xlfn.XLOOKUP(E36&amp;"|"&amp;B36,
        Calculate_cap_ener!$I$14:$I$21&amp;"|"&amp;Calculate_cap_ener!$L$14:$L$21,
        Calculate_cap_ener!$AT$14:$AT$21, "Not found", 0),"HP",_xlfn.XLOOKUP(E36&amp;"|"&amp;B36,
        Calculate_cap_ener!$I$14:$I$21&amp;"|"&amp;Calculate_cap_ener!$L$14:$L$21,
        Calculate_cap_ener!$AR$14:$AR$21, "Not found", 0),"HPl",_xlfn.XLOOKUP(E36&amp;"|"&amp;B36,
        Calculate_cap_ener!$I$14:$I$21&amp;"|"&amp;Calculate_cap_ener!$L$14:$L$21,
        Calculate_cap_ener!$AU$14:$AU$21, "Not found", 0),"Missing")</f>
        <v>9.9815797543151614</v>
      </c>
      <c r="S36" s="5" cm="1">
        <f t="array" ref="S36">_xlfn.SWITCH(F36,"R",_xlfn.XLOOKUP(E36&amp;"|"&amp;B36,
        Calculate_cap_ener!$I$14:$I$21&amp;"|"&amp;Calculate_cap_ener!$L$14:$L$21,
        Calculate_cap_ener!$AX$14:$AX$21, "Not found", 0),"Rb",_xlfn.XLOOKUP(E36&amp;"|"&amp;B36,
        Calculate_cap_ener!$I$14:$I$21&amp;"|"&amp;Calculate_cap_ener!$L$14:$L$21,
        Calculate_cap_ener!$AZ$14:$AZ$21, "Not found", 0),"Rl",_xlfn.XLOOKUP(E36&amp;"|"&amp;B36,
        Calculate_cap_ener!$I$14:$I$21&amp;"|"&amp;Calculate_cap_ener!$L$14:$L$21,
        Calculate_cap_ener!$BA$14:$BA$21, "Not found", 0),"HP",_xlfn.XLOOKUP(E36&amp;"|"&amp;B36,
        Calculate_cap_ener!$I$14:$I$21&amp;"|"&amp;Calculate_cap_ener!$L$14:$L$21,
        Calculate_cap_ener!$AY$14:$AY$21, "Not found", 0),"HPl",_xlfn.XLOOKUP(E36&amp;"|"&amp;B36,
        Calculate_cap_ener!$I$14:$I$21&amp;"|"&amp;Calculate_cap_ener!$L$14:$L$21,
        Calculate_cap_ener!$BB$14:$BB$21, "Not found", 0),"Missing")</f>
        <v>58.957770553626503</v>
      </c>
      <c r="T36" s="5" cm="1">
        <f t="array" ref="T36">_xlfn.SWITCH(F36,"R",_xlfn.XLOOKUP(E36&amp;"|"&amp;B36,
        Calculate_cap_ener!$I$14:$I$21&amp;"|"&amp;Calculate_cap_ener!$L$14:$L$21,
        Calculate_cap_ener!$BE$14:$BE$21, "Not found", 0),"Rb",_xlfn.XLOOKUP(E36&amp;"|"&amp;B36,
        Calculate_cap_ener!$I$14:$I$21&amp;"|"&amp;Calculate_cap_ener!$L$14:$L$21,
        Calculate_cap_ener!$BG$14:$BG$21, "Not found", 0),"Rl",_xlfn.XLOOKUP(E36&amp;"|"&amp;B36,
        Calculate_cap_ener!$I$14:$I$21&amp;"|"&amp;Calculate_cap_ener!$L$14:$L$21,
        Calculate_cap_ener!$BH$14:$BH$21, "Not found", 0),"HP",_xlfn.XLOOKUP(E36&amp;"|"&amp;B36,
        Calculate_cap_ener!$I$14:$I$21&amp;"|"&amp;Calculate_cap_ener!$L$14:$L$21,
        Calculate_cap_ener!$BF$14:$BF$21, "Not found", 0),"HPl",_xlfn.XLOOKUP(E36&amp;"|"&amp;B36,
        Calculate_cap_ener!$I$14:$I$21&amp;"|"&amp;Calculate_cap_ener!$L$14:$L$21,
        Calculate_cap_ener!$BI$14:$BI$21, "Not found", 0),"Missing")</f>
        <v>0</v>
      </c>
    </row>
    <row r="37" spans="1:20" x14ac:dyDescent="0.25">
      <c r="A37" s="5" t="s">
        <v>6</v>
      </c>
      <c r="B37" s="5" t="str">
        <f t="shared" si="0"/>
        <v>Mass-H1</v>
      </c>
      <c r="C37" s="5" t="str">
        <f t="shared" si="1"/>
        <v>Mass</v>
      </c>
      <c r="D37" s="5" t="str">
        <f t="shared" si="2"/>
        <v>H1</v>
      </c>
      <c r="E37" s="5" t="s">
        <v>3</v>
      </c>
      <c r="F37" s="5" t="s">
        <v>14</v>
      </c>
      <c r="G37" s="5"/>
      <c r="H37" s="5"/>
      <c r="I37" s="5" cm="1">
        <f t="array" ref="I37">_xlfn.SWITCH(F37,"R",_xlfn.XLOOKUP(E37&amp;"|"&amp;B37,
        Calculate_cap_ener!$I$14:$I$21&amp;"|"&amp;Calculate_cap_ener!$L$14:$L$21,
        Calculate_cap_ener!$W$14:$W$21, "Not found", 0),"Rb",_xlfn.XLOOKUP(E37&amp;"|"&amp;B37,
        Calculate_cap_ener!$I$14:$I$21&amp;"|"&amp;Calculate_cap_ener!$L$14:$L$21,
        Calculate_cap_ener!$Y$14:$Y$21, "Not found", 0),"Rl",_xlfn.XLOOKUP(E37&amp;"|"&amp;B37,
        Calculate_cap_ener!$I$14:$I$21&amp;"|"&amp;Calculate_cap_ener!$L$14:$L$21,
        Calculate_cap_ener!$Z$14:$Z$21, "Not found", 0),0)</f>
        <v>5</v>
      </c>
      <c r="J37" s="5"/>
      <c r="K37" s="5"/>
      <c r="L37" s="5" cm="1">
        <f t="array" ref="L37">_xlfn.SWITCH(F37,"R",_xlfn.XLOOKUP(E37&amp;"|"&amp;B37,
        Calculate_cap_ener!$I$14:$I$21&amp;"|"&amp;Calculate_cap_ener!$L$14:$L$21,
        Calculate_cap_ener!$AC$14:$AC$21, "Not found", 0),"Rb",_xlfn.XLOOKUP(E37&amp;"|"&amp;B37,
        Calculate_cap_ener!$I$14:$I$21&amp;"|"&amp;Calculate_cap_ener!$L$14:$L$21,
        Calculate_cap_ener!$AE$14:$AE$21, "Not found", 0),"Rl",_xlfn.XLOOKUP(E37&amp;"|"&amp;B37,
        Calculate_cap_ener!$I$14:$I$21&amp;"|"&amp;Calculate_cap_ener!$L$14:$L$21,
        Calculate_cap_ener!$AF$14:$AF$21, "Not found", 0),"HP",_xlfn.XLOOKUP(E37&amp;"|"&amp;B37,
        Calculate_cap_ener!$I$14:$I$21&amp;"|"&amp;Calculate_cap_ener!$L$14:$L$21,
        Calculate_cap_ener!$AD$14:$AD$21, "Not found", 0),"HPl",_xlfn.XLOOKUP(E37&amp;"|"&amp;B37,
        Calculate_cap_ener!$I$14:$I$21&amp;"|"&amp;Calculate_cap_ener!$L$14:$L$21,
        Calculate_cap_ener!$AG$14:$AG$21, "Not found", 0),"Missing")</f>
        <v>13726.935336196544</v>
      </c>
      <c r="M37" s="5"/>
      <c r="N37" s="5"/>
      <c r="O37" s="5"/>
      <c r="P37" s="5"/>
      <c r="Q37" s="5" cm="1">
        <f t="array" ref="Q37">_xlfn.SWITCH(F37,"R",_xlfn.XLOOKUP(E37&amp;"|"&amp;B37,
        Calculate_cap_ener!$I$14:$I$21&amp;"|"&amp;Calculate_cap_ener!$L$14:$L$21,
        Calculate_cap_ener!$AJ$14:$AJ$21, "Not found", 0),"Rb",_xlfn.XLOOKUP(E37&amp;"|"&amp;B37,
        Calculate_cap_ener!$I$14:$I$21&amp;"|"&amp;Calculate_cap_ener!$L$14:$L$21,
        Calculate_cap_ener!$AL$14:$AL$21, "Not found", 0),"Rl",_xlfn.XLOOKUP(E37&amp;"|"&amp;B37,
        Calculate_cap_ener!$I$14:$I$21&amp;"|"&amp;Calculate_cap_ener!$L$14:$L$21,
        Calculate_cap_ener!$AM$14:$AM$21, "Not found", 0),"HP",_xlfn.XLOOKUP(E37&amp;"|"&amp;B37,
        Calculate_cap_ener!$I$14:$I$21&amp;"|"&amp;Calculate_cap_ener!$L$14:$L$21,
        Calculate_cap_ener!$AK$14:$AK$21, "Not found", 0),"HPl",_xlfn.XLOOKUP(E37&amp;"|"&amp;B37,
        Calculate_cap_ener!$I$14:$I$21&amp;"|"&amp;Calculate_cap_ener!$L$14:$L$21,
        Calculate_cap_ener!$AN$14:$AN$21, "Not found", 0),"Missing")</f>
        <v>506.79905678199003</v>
      </c>
      <c r="R37" s="5" cm="1">
        <f t="array" ref="R37">_xlfn.SWITCH(F37,"R",_xlfn.XLOOKUP(E37&amp;"|"&amp;B37,
        Calculate_cap_ener!$I$14:$I$21&amp;"|"&amp;Calculate_cap_ener!$L$14:$L$21,
        Calculate_cap_ener!$AQ$14:$AQ$21, "Not found", 0),"Rb",_xlfn.XLOOKUP(E37&amp;"|"&amp;B37,
        Calculate_cap_ener!$I$14:$I$21&amp;"|"&amp;Calculate_cap_ener!$L$14:$L$21,
        Calculate_cap_ener!$AS$14:$AS$21, "Not found", 0),"Rl",_xlfn.XLOOKUP(E37&amp;"|"&amp;B37,
        Calculate_cap_ener!$I$14:$I$21&amp;"|"&amp;Calculate_cap_ener!$L$14:$L$21,
        Calculate_cap_ener!$AT$14:$AT$21, "Not found", 0),"HP",_xlfn.XLOOKUP(E37&amp;"|"&amp;B37,
        Calculate_cap_ener!$I$14:$I$21&amp;"|"&amp;Calculate_cap_ener!$L$14:$L$21,
        Calculate_cap_ener!$AR$14:$AR$21, "Not found", 0),"HPl",_xlfn.XLOOKUP(E37&amp;"|"&amp;B37,
        Calculate_cap_ener!$I$14:$I$21&amp;"|"&amp;Calculate_cap_ener!$L$14:$L$21,
        Calculate_cap_ener!$AU$14:$AU$21, "Not found", 0),"Missing")</f>
        <v>9.9815797543151614</v>
      </c>
      <c r="S37" s="5" cm="1">
        <f t="array" ref="S37">_xlfn.SWITCH(F37,"R",_xlfn.XLOOKUP(E37&amp;"|"&amp;B37,
        Calculate_cap_ener!$I$14:$I$21&amp;"|"&amp;Calculate_cap_ener!$L$14:$L$21,
        Calculate_cap_ener!$AX$14:$AX$21, "Not found", 0),"Rb",_xlfn.XLOOKUP(E37&amp;"|"&amp;B37,
        Calculate_cap_ener!$I$14:$I$21&amp;"|"&amp;Calculate_cap_ener!$L$14:$L$21,
        Calculate_cap_ener!$AZ$14:$AZ$21, "Not found", 0),"Rl",_xlfn.XLOOKUP(E37&amp;"|"&amp;B37,
        Calculate_cap_ener!$I$14:$I$21&amp;"|"&amp;Calculate_cap_ener!$L$14:$L$21,
        Calculate_cap_ener!$BA$14:$BA$21, "Not found", 0),"HP",_xlfn.XLOOKUP(E37&amp;"|"&amp;B37,
        Calculate_cap_ener!$I$14:$I$21&amp;"|"&amp;Calculate_cap_ener!$L$14:$L$21,
        Calculate_cap_ener!$AY$14:$AY$21, "Not found", 0),"HPl",_xlfn.XLOOKUP(E37&amp;"|"&amp;B37,
        Calculate_cap_ener!$I$14:$I$21&amp;"|"&amp;Calculate_cap_ener!$L$14:$L$21,
        Calculate_cap_ener!$BB$14:$BB$21, "Not found", 0),"Missing")</f>
        <v>58.957770553626503</v>
      </c>
      <c r="T37" s="5" cm="1">
        <f t="array" ref="T37">_xlfn.SWITCH(F37,"R",_xlfn.XLOOKUP(E37&amp;"|"&amp;B37,
        Calculate_cap_ener!$I$14:$I$21&amp;"|"&amp;Calculate_cap_ener!$L$14:$L$21,
        Calculate_cap_ener!$BE$14:$BE$21, "Not found", 0),"Rb",_xlfn.XLOOKUP(E37&amp;"|"&amp;B37,
        Calculate_cap_ener!$I$14:$I$21&amp;"|"&amp;Calculate_cap_ener!$L$14:$L$21,
        Calculate_cap_ener!$BG$14:$BG$21, "Not found", 0),"Rl",_xlfn.XLOOKUP(E37&amp;"|"&amp;B37,
        Calculate_cap_ener!$I$14:$I$21&amp;"|"&amp;Calculate_cap_ener!$L$14:$L$21,
        Calculate_cap_ener!$BH$14:$BH$21, "Not found", 0),"HP",_xlfn.XLOOKUP(E37&amp;"|"&amp;B37,
        Calculate_cap_ener!$I$14:$I$21&amp;"|"&amp;Calculate_cap_ener!$L$14:$L$21,
        Calculate_cap_ener!$BF$14:$BF$21, "Not found", 0),"HPl",_xlfn.XLOOKUP(E37&amp;"|"&amp;B37,
        Calculate_cap_ener!$I$14:$I$21&amp;"|"&amp;Calculate_cap_ener!$L$14:$L$21,
        Calculate_cap_ener!$BI$14:$BI$21, "Not found", 0),"Missing")</f>
        <v>0</v>
      </c>
    </row>
    <row r="38" spans="1:20" x14ac:dyDescent="0.25">
      <c r="A38" s="5" t="s">
        <v>7</v>
      </c>
      <c r="B38" s="5" t="str">
        <f t="shared" si="0"/>
        <v>Mod-Nom</v>
      </c>
      <c r="C38" s="5" t="str">
        <f t="shared" si="1"/>
        <v>Mod</v>
      </c>
      <c r="D38" s="5" t="str">
        <f t="shared" si="2"/>
        <v>Nom</v>
      </c>
      <c r="E38" s="5" t="s">
        <v>3</v>
      </c>
      <c r="F38" s="5" t="s">
        <v>14</v>
      </c>
      <c r="G38" s="5"/>
      <c r="H38" s="5"/>
      <c r="I38" s="5" cm="1">
        <f t="array" ref="I38">_xlfn.SWITCH(F38,"R",_xlfn.XLOOKUP(E38&amp;"|"&amp;B38,
        Calculate_cap_ener!$I$14:$I$21&amp;"|"&amp;Calculate_cap_ener!$L$14:$L$21,
        Calculate_cap_ener!$W$14:$W$21, "Not found", 0),"Rb",_xlfn.XLOOKUP(E38&amp;"|"&amp;B38,
        Calculate_cap_ener!$I$14:$I$21&amp;"|"&amp;Calculate_cap_ener!$L$14:$L$21,
        Calculate_cap_ener!$Y$14:$Y$21, "Not found", 0),"Rl",_xlfn.XLOOKUP(E38&amp;"|"&amp;B38,
        Calculate_cap_ener!$I$14:$I$21&amp;"|"&amp;Calculate_cap_ener!$L$14:$L$21,
        Calculate_cap_ener!$Z$14:$Z$21, "Not found", 0),0)</f>
        <v>8</v>
      </c>
      <c r="J38" s="5"/>
      <c r="K38" s="5"/>
      <c r="L38" s="5" cm="1">
        <f t="array" ref="L38">_xlfn.SWITCH(F38,"R",_xlfn.XLOOKUP(E38&amp;"|"&amp;B38,
        Calculate_cap_ener!$I$14:$I$21&amp;"|"&amp;Calculate_cap_ener!$L$14:$L$21,
        Calculate_cap_ener!$AC$14:$AC$21, "Not found", 0),"Rb",_xlfn.XLOOKUP(E38&amp;"|"&amp;B38,
        Calculate_cap_ener!$I$14:$I$21&amp;"|"&amp;Calculate_cap_ener!$L$14:$L$21,
        Calculate_cap_ener!$AE$14:$AE$21, "Not found", 0),"Rl",_xlfn.XLOOKUP(E38&amp;"|"&amp;B38,
        Calculate_cap_ener!$I$14:$I$21&amp;"|"&amp;Calculate_cap_ener!$L$14:$L$21,
        Calculate_cap_ener!$AF$14:$AF$21, "Not found", 0),"HP",_xlfn.XLOOKUP(E38&amp;"|"&amp;B38,
        Calculate_cap_ener!$I$14:$I$21&amp;"|"&amp;Calculate_cap_ener!$L$14:$L$21,
        Calculate_cap_ener!$AD$14:$AD$21, "Not found", 0),"HPl",_xlfn.XLOOKUP(E38&amp;"|"&amp;B38,
        Calculate_cap_ener!$I$14:$I$21&amp;"|"&amp;Calculate_cap_ener!$L$14:$L$21,
        Calculate_cap_ener!$AG$14:$AG$21, "Not found", 0),"Missing")</f>
        <v>21205.09630350121</v>
      </c>
      <c r="M38" s="5"/>
      <c r="N38" s="5"/>
      <c r="O38" s="5"/>
      <c r="P38" s="5"/>
      <c r="Q38" s="5" cm="1">
        <f t="array" ref="Q38">_xlfn.SWITCH(F38,"R",_xlfn.XLOOKUP(E38&amp;"|"&amp;B38,
        Calculate_cap_ener!$I$14:$I$21&amp;"|"&amp;Calculate_cap_ener!$L$14:$L$21,
        Calculate_cap_ener!$AJ$14:$AJ$21, "Not found", 0),"Rb",_xlfn.XLOOKUP(E38&amp;"|"&amp;B38,
        Calculate_cap_ener!$I$14:$I$21&amp;"|"&amp;Calculate_cap_ener!$L$14:$L$21,
        Calculate_cap_ener!$AL$14:$AL$21, "Not found", 0),"Rl",_xlfn.XLOOKUP(E38&amp;"|"&amp;B38,
        Calculate_cap_ener!$I$14:$I$21&amp;"|"&amp;Calculate_cap_ener!$L$14:$L$21,
        Calculate_cap_ener!$AM$14:$AM$21, "Not found", 0),"HP",_xlfn.XLOOKUP(E38&amp;"|"&amp;B38,
        Calculate_cap_ener!$I$14:$I$21&amp;"|"&amp;Calculate_cap_ener!$L$14:$L$21,
        Calculate_cap_ener!$AK$14:$AK$21, "Not found", 0),"HPl",_xlfn.XLOOKUP(E38&amp;"|"&amp;B38,
        Calculate_cap_ener!$I$14:$I$21&amp;"|"&amp;Calculate_cap_ener!$L$14:$L$21,
        Calculate_cap_ener!$AN$14:$AN$21, "Not found", 0),"Missing")</f>
        <v>792.00691931718006</v>
      </c>
      <c r="R38" s="5" cm="1">
        <f t="array" ref="R38">_xlfn.SWITCH(F38,"R",_xlfn.XLOOKUP(E38&amp;"|"&amp;B38,
        Calculate_cap_ener!$I$14:$I$21&amp;"|"&amp;Calculate_cap_ener!$L$14:$L$21,
        Calculate_cap_ener!$AQ$14:$AQ$21, "Not found", 0),"Rb",_xlfn.XLOOKUP(E38&amp;"|"&amp;B38,
        Calculate_cap_ener!$I$14:$I$21&amp;"|"&amp;Calculate_cap_ener!$L$14:$L$21,
        Calculate_cap_ener!$AS$14:$AS$21, "Not found", 0),"Rl",_xlfn.XLOOKUP(E38&amp;"|"&amp;B38,
        Calculate_cap_ener!$I$14:$I$21&amp;"|"&amp;Calculate_cap_ener!$L$14:$L$21,
        Calculate_cap_ener!$AT$14:$AT$21, "Not found", 0),"HP",_xlfn.XLOOKUP(E38&amp;"|"&amp;B38,
        Calculate_cap_ener!$I$14:$I$21&amp;"|"&amp;Calculate_cap_ener!$L$14:$L$21,
        Calculate_cap_ener!$AR$14:$AR$21, "Not found", 0),"HPl",_xlfn.XLOOKUP(E38&amp;"|"&amp;B38,
        Calculate_cap_ener!$I$14:$I$21&amp;"|"&amp;Calculate_cap_ener!$L$14:$L$21,
        Calculate_cap_ener!$AU$14:$AU$21, "Not found", 0),"Missing")</f>
        <v>15.387509135429376</v>
      </c>
      <c r="S38" s="5" cm="1">
        <f t="array" ref="S38">_xlfn.SWITCH(F38,"R",_xlfn.XLOOKUP(E38&amp;"|"&amp;B38,
        Calculate_cap_ener!$I$14:$I$21&amp;"|"&amp;Calculate_cap_ener!$L$14:$L$21,
        Calculate_cap_ener!$AX$14:$AX$21, "Not found", 0),"Rb",_xlfn.XLOOKUP(E38&amp;"|"&amp;B38,
        Calculate_cap_ener!$I$14:$I$21&amp;"|"&amp;Calculate_cap_ener!$L$14:$L$21,
        Calculate_cap_ener!$AZ$14:$AZ$21, "Not found", 0),"Rl",_xlfn.XLOOKUP(E38&amp;"|"&amp;B38,
        Calculate_cap_ener!$I$14:$I$21&amp;"|"&amp;Calculate_cap_ener!$L$14:$L$21,
        Calculate_cap_ener!$BA$14:$BA$21, "Not found", 0),"HP",_xlfn.XLOOKUP(E38&amp;"|"&amp;B38,
        Calculate_cap_ener!$I$14:$I$21&amp;"|"&amp;Calculate_cap_ener!$L$14:$L$21,
        Calculate_cap_ener!$AY$14:$AY$21, "Not found", 0),"HPl",_xlfn.XLOOKUP(E38&amp;"|"&amp;B38,
        Calculate_cap_ener!$I$14:$I$21&amp;"|"&amp;Calculate_cap_ener!$L$14:$L$21,
        Calculate_cap_ener!$BB$14:$BB$21, "Not found", 0),"Missing")</f>
        <v>90.320834391341165</v>
      </c>
      <c r="T38" s="5" cm="1">
        <f t="array" ref="T38">_xlfn.SWITCH(F38,"R",_xlfn.XLOOKUP(E38&amp;"|"&amp;B38,
        Calculate_cap_ener!$I$14:$I$21&amp;"|"&amp;Calculate_cap_ener!$L$14:$L$21,
        Calculate_cap_ener!$BE$14:$BE$21, "Not found", 0),"Rb",_xlfn.XLOOKUP(E38&amp;"|"&amp;B38,
        Calculate_cap_ener!$I$14:$I$21&amp;"|"&amp;Calculate_cap_ener!$L$14:$L$21,
        Calculate_cap_ener!$BG$14:$BG$21, "Not found", 0),"Rl",_xlfn.XLOOKUP(E38&amp;"|"&amp;B38,
        Calculate_cap_ener!$I$14:$I$21&amp;"|"&amp;Calculate_cap_ener!$L$14:$L$21,
        Calculate_cap_ener!$BH$14:$BH$21, "Not found", 0),"HP",_xlfn.XLOOKUP(E38&amp;"|"&amp;B38,
        Calculate_cap_ener!$I$14:$I$21&amp;"|"&amp;Calculate_cap_ener!$L$14:$L$21,
        Calculate_cap_ener!$BF$14:$BF$21, "Not found", 0),"HPl",_xlfn.XLOOKUP(E38&amp;"|"&amp;B38,
        Calculate_cap_ener!$I$14:$I$21&amp;"|"&amp;Calculate_cap_ener!$L$14:$L$21,
        Calculate_cap_ener!$BI$14:$BI$21, "Not found", 0),"Missing")</f>
        <v>0</v>
      </c>
    </row>
    <row r="39" spans="1:20" x14ac:dyDescent="0.25">
      <c r="A39" s="5" t="s">
        <v>8</v>
      </c>
      <c r="B39" s="5" t="str">
        <f t="shared" si="0"/>
        <v>Mod-Nom</v>
      </c>
      <c r="C39" s="5" t="str">
        <f t="shared" si="1"/>
        <v>Mod</v>
      </c>
      <c r="D39" s="5" t="str">
        <f t="shared" si="2"/>
        <v>Nom</v>
      </c>
      <c r="E39" s="5" t="s">
        <v>3</v>
      </c>
      <c r="F39" s="5" t="s">
        <v>14</v>
      </c>
      <c r="G39" s="5"/>
      <c r="H39" s="5"/>
      <c r="I39" s="5" cm="1">
        <f t="array" ref="I39">_xlfn.SWITCH(F39,"R",_xlfn.XLOOKUP(E39&amp;"|"&amp;B39,
        Calculate_cap_ener!$I$14:$I$21&amp;"|"&amp;Calculate_cap_ener!$L$14:$L$21,
        Calculate_cap_ener!$W$14:$W$21, "Not found", 0),"Rb",_xlfn.XLOOKUP(E39&amp;"|"&amp;B39,
        Calculate_cap_ener!$I$14:$I$21&amp;"|"&amp;Calculate_cap_ener!$L$14:$L$21,
        Calculate_cap_ener!$Y$14:$Y$21, "Not found", 0),"Rl",_xlfn.XLOOKUP(E39&amp;"|"&amp;B39,
        Calculate_cap_ener!$I$14:$I$21&amp;"|"&amp;Calculate_cap_ener!$L$14:$L$21,
        Calculate_cap_ener!$Z$14:$Z$21, "Not found", 0),0)</f>
        <v>8</v>
      </c>
      <c r="J39" s="5"/>
      <c r="K39" s="5"/>
      <c r="L39" s="5" cm="1">
        <f t="array" ref="L39">_xlfn.SWITCH(F39,"R",_xlfn.XLOOKUP(E39&amp;"|"&amp;B39,
        Calculate_cap_ener!$I$14:$I$21&amp;"|"&amp;Calculate_cap_ener!$L$14:$L$21,
        Calculate_cap_ener!$AC$14:$AC$21, "Not found", 0),"Rb",_xlfn.XLOOKUP(E39&amp;"|"&amp;B39,
        Calculate_cap_ener!$I$14:$I$21&amp;"|"&amp;Calculate_cap_ener!$L$14:$L$21,
        Calculate_cap_ener!$AE$14:$AE$21, "Not found", 0),"Rl",_xlfn.XLOOKUP(E39&amp;"|"&amp;B39,
        Calculate_cap_ener!$I$14:$I$21&amp;"|"&amp;Calculate_cap_ener!$L$14:$L$21,
        Calculate_cap_ener!$AF$14:$AF$21, "Not found", 0),"HP",_xlfn.XLOOKUP(E39&amp;"|"&amp;B39,
        Calculate_cap_ener!$I$14:$I$21&amp;"|"&amp;Calculate_cap_ener!$L$14:$L$21,
        Calculate_cap_ener!$AD$14:$AD$21, "Not found", 0),"HPl",_xlfn.XLOOKUP(E39&amp;"|"&amp;B39,
        Calculate_cap_ener!$I$14:$I$21&amp;"|"&amp;Calculate_cap_ener!$L$14:$L$21,
        Calculate_cap_ener!$AG$14:$AG$21, "Not found", 0),"Missing")</f>
        <v>21205.09630350121</v>
      </c>
      <c r="M39" s="5"/>
      <c r="N39" s="5"/>
      <c r="O39" s="5"/>
      <c r="P39" s="5"/>
      <c r="Q39" s="5" cm="1">
        <f t="array" ref="Q39">_xlfn.SWITCH(F39,"R",_xlfn.XLOOKUP(E39&amp;"|"&amp;B39,
        Calculate_cap_ener!$I$14:$I$21&amp;"|"&amp;Calculate_cap_ener!$L$14:$L$21,
        Calculate_cap_ener!$AJ$14:$AJ$21, "Not found", 0),"Rb",_xlfn.XLOOKUP(E39&amp;"|"&amp;B39,
        Calculate_cap_ener!$I$14:$I$21&amp;"|"&amp;Calculate_cap_ener!$L$14:$L$21,
        Calculate_cap_ener!$AL$14:$AL$21, "Not found", 0),"Rl",_xlfn.XLOOKUP(E39&amp;"|"&amp;B39,
        Calculate_cap_ener!$I$14:$I$21&amp;"|"&amp;Calculate_cap_ener!$L$14:$L$21,
        Calculate_cap_ener!$AM$14:$AM$21, "Not found", 0),"HP",_xlfn.XLOOKUP(E39&amp;"|"&amp;B39,
        Calculate_cap_ener!$I$14:$I$21&amp;"|"&amp;Calculate_cap_ener!$L$14:$L$21,
        Calculate_cap_ener!$AK$14:$AK$21, "Not found", 0),"HPl",_xlfn.XLOOKUP(E39&amp;"|"&amp;B39,
        Calculate_cap_ener!$I$14:$I$21&amp;"|"&amp;Calculate_cap_ener!$L$14:$L$21,
        Calculate_cap_ener!$AN$14:$AN$21, "Not found", 0),"Missing")</f>
        <v>792.00691931718006</v>
      </c>
      <c r="R39" s="5" cm="1">
        <f t="array" ref="R39">_xlfn.SWITCH(F39,"R",_xlfn.XLOOKUP(E39&amp;"|"&amp;B39,
        Calculate_cap_ener!$I$14:$I$21&amp;"|"&amp;Calculate_cap_ener!$L$14:$L$21,
        Calculate_cap_ener!$AQ$14:$AQ$21, "Not found", 0),"Rb",_xlfn.XLOOKUP(E39&amp;"|"&amp;B39,
        Calculate_cap_ener!$I$14:$I$21&amp;"|"&amp;Calculate_cap_ener!$L$14:$L$21,
        Calculate_cap_ener!$AS$14:$AS$21, "Not found", 0),"Rl",_xlfn.XLOOKUP(E39&amp;"|"&amp;B39,
        Calculate_cap_ener!$I$14:$I$21&amp;"|"&amp;Calculate_cap_ener!$L$14:$L$21,
        Calculate_cap_ener!$AT$14:$AT$21, "Not found", 0),"HP",_xlfn.XLOOKUP(E39&amp;"|"&amp;B39,
        Calculate_cap_ener!$I$14:$I$21&amp;"|"&amp;Calculate_cap_ener!$L$14:$L$21,
        Calculate_cap_ener!$AR$14:$AR$21, "Not found", 0),"HPl",_xlfn.XLOOKUP(E39&amp;"|"&amp;B39,
        Calculate_cap_ener!$I$14:$I$21&amp;"|"&amp;Calculate_cap_ener!$L$14:$L$21,
        Calculate_cap_ener!$AU$14:$AU$21, "Not found", 0),"Missing")</f>
        <v>15.387509135429376</v>
      </c>
      <c r="S39" s="5" cm="1">
        <f t="array" ref="S39">_xlfn.SWITCH(F39,"R",_xlfn.XLOOKUP(E39&amp;"|"&amp;B39,
        Calculate_cap_ener!$I$14:$I$21&amp;"|"&amp;Calculate_cap_ener!$L$14:$L$21,
        Calculate_cap_ener!$AX$14:$AX$21, "Not found", 0),"Rb",_xlfn.XLOOKUP(E39&amp;"|"&amp;B39,
        Calculate_cap_ener!$I$14:$I$21&amp;"|"&amp;Calculate_cap_ener!$L$14:$L$21,
        Calculate_cap_ener!$AZ$14:$AZ$21, "Not found", 0),"Rl",_xlfn.XLOOKUP(E39&amp;"|"&amp;B39,
        Calculate_cap_ener!$I$14:$I$21&amp;"|"&amp;Calculate_cap_ener!$L$14:$L$21,
        Calculate_cap_ener!$BA$14:$BA$21, "Not found", 0),"HP",_xlfn.XLOOKUP(E39&amp;"|"&amp;B39,
        Calculate_cap_ener!$I$14:$I$21&amp;"|"&amp;Calculate_cap_ener!$L$14:$L$21,
        Calculate_cap_ener!$AY$14:$AY$21, "Not found", 0),"HPl",_xlfn.XLOOKUP(E39&amp;"|"&amp;B39,
        Calculate_cap_ener!$I$14:$I$21&amp;"|"&amp;Calculate_cap_ener!$L$14:$L$21,
        Calculate_cap_ener!$BB$14:$BB$21, "Not found", 0),"Missing")</f>
        <v>90.320834391341165</v>
      </c>
      <c r="T39" s="5" cm="1">
        <f t="array" ref="T39">_xlfn.SWITCH(F39,"R",_xlfn.XLOOKUP(E39&amp;"|"&amp;B39,
        Calculate_cap_ener!$I$14:$I$21&amp;"|"&amp;Calculate_cap_ener!$L$14:$L$21,
        Calculate_cap_ener!$BE$14:$BE$21, "Not found", 0),"Rb",_xlfn.XLOOKUP(E39&amp;"|"&amp;B39,
        Calculate_cap_ener!$I$14:$I$21&amp;"|"&amp;Calculate_cap_ener!$L$14:$L$21,
        Calculate_cap_ener!$BG$14:$BG$21, "Not found", 0),"Rl",_xlfn.XLOOKUP(E39&amp;"|"&amp;B39,
        Calculate_cap_ener!$I$14:$I$21&amp;"|"&amp;Calculate_cap_ener!$L$14:$L$21,
        Calculate_cap_ener!$BH$14:$BH$21, "Not found", 0),"HP",_xlfn.XLOOKUP(E39&amp;"|"&amp;B39,
        Calculate_cap_ener!$I$14:$I$21&amp;"|"&amp;Calculate_cap_ener!$L$14:$L$21,
        Calculate_cap_ener!$BF$14:$BF$21, "Not found", 0),"HPl",_xlfn.XLOOKUP(E39&amp;"|"&amp;B39,
        Calculate_cap_ener!$I$14:$I$21&amp;"|"&amp;Calculate_cap_ener!$L$14:$L$21,
        Calculate_cap_ener!$BI$14:$BI$21, "Not found", 0),"Missing")</f>
        <v>0</v>
      </c>
    </row>
    <row r="40" spans="1:20" x14ac:dyDescent="0.25">
      <c r="A40" s="5" t="s">
        <v>9</v>
      </c>
      <c r="B40" s="5" t="str">
        <f t="shared" si="0"/>
        <v>Mod-H1</v>
      </c>
      <c r="C40" s="5" t="str">
        <f t="shared" si="1"/>
        <v>Mod</v>
      </c>
      <c r="D40" s="5" t="str">
        <f t="shared" si="2"/>
        <v>H1</v>
      </c>
      <c r="E40" s="5" t="s">
        <v>3</v>
      </c>
      <c r="F40" s="5" t="s">
        <v>14</v>
      </c>
      <c r="G40" s="5"/>
      <c r="H40" s="5"/>
      <c r="I40" s="5" cm="1">
        <f t="array" ref="I40">_xlfn.SWITCH(F40,"R",_xlfn.XLOOKUP(E40&amp;"|"&amp;B40,
        Calculate_cap_ener!$I$14:$I$21&amp;"|"&amp;Calculate_cap_ener!$L$14:$L$21,
        Calculate_cap_ener!$W$14:$W$21, "Not found", 0),"Rb",_xlfn.XLOOKUP(E40&amp;"|"&amp;B40,
        Calculate_cap_ener!$I$14:$I$21&amp;"|"&amp;Calculate_cap_ener!$L$14:$L$21,
        Calculate_cap_ener!$Y$14:$Y$21, "Not found", 0),"Rl",_xlfn.XLOOKUP(E40&amp;"|"&amp;B40,
        Calculate_cap_ener!$I$14:$I$21&amp;"|"&amp;Calculate_cap_ener!$L$14:$L$21,
        Calculate_cap_ener!$Z$14:$Z$21, "Not found", 0),0)</f>
        <v>4.5</v>
      </c>
      <c r="J40" s="5"/>
      <c r="K40" s="5"/>
      <c r="L40" s="5" cm="1">
        <f t="array" ref="L40">_xlfn.SWITCH(F40,"R",_xlfn.XLOOKUP(E40&amp;"|"&amp;B40,
        Calculate_cap_ener!$I$14:$I$21&amp;"|"&amp;Calculate_cap_ener!$L$14:$L$21,
        Calculate_cap_ener!$AC$14:$AC$21, "Not found", 0),"Rb",_xlfn.XLOOKUP(E40&amp;"|"&amp;B40,
        Calculate_cap_ener!$I$14:$I$21&amp;"|"&amp;Calculate_cap_ener!$L$14:$L$21,
        Calculate_cap_ener!$AE$14:$AE$21, "Not found", 0),"Rl",_xlfn.XLOOKUP(E40&amp;"|"&amp;B40,
        Calculate_cap_ener!$I$14:$I$21&amp;"|"&amp;Calculate_cap_ener!$L$14:$L$21,
        Calculate_cap_ener!$AF$14:$AF$21, "Not found", 0),"HP",_xlfn.XLOOKUP(E40&amp;"|"&amp;B40,
        Calculate_cap_ener!$I$14:$I$21&amp;"|"&amp;Calculate_cap_ener!$L$14:$L$21,
        Calculate_cap_ener!$AD$14:$AD$21, "Not found", 0),"HPl",_xlfn.XLOOKUP(E40&amp;"|"&amp;B40,
        Calculate_cap_ener!$I$14:$I$21&amp;"|"&amp;Calculate_cap_ener!$L$14:$L$21,
        Calculate_cap_ener!$AG$14:$AG$21, "Not found", 0),"Missing")</f>
        <v>11217.241450956994</v>
      </c>
      <c r="M40" s="5"/>
      <c r="N40" s="5"/>
      <c r="O40" s="5"/>
      <c r="P40" s="5"/>
      <c r="Q40" s="5" cm="1">
        <f t="array" ref="Q40">_xlfn.SWITCH(F40,"R",_xlfn.XLOOKUP(E40&amp;"|"&amp;B40,
        Calculate_cap_ener!$I$14:$I$21&amp;"|"&amp;Calculate_cap_ener!$L$14:$L$21,
        Calculate_cap_ener!$AJ$14:$AJ$21, "Not found", 0),"Rb",_xlfn.XLOOKUP(E40&amp;"|"&amp;B40,
        Calculate_cap_ener!$I$14:$I$21&amp;"|"&amp;Calculate_cap_ener!$L$14:$L$21,
        Calculate_cap_ener!$AL$14:$AL$21, "Not found", 0),"Rl",_xlfn.XLOOKUP(E40&amp;"|"&amp;B40,
        Calculate_cap_ener!$I$14:$I$21&amp;"|"&amp;Calculate_cap_ener!$L$14:$L$21,
        Calculate_cap_ener!$AM$14:$AM$21, "Not found", 0),"HP",_xlfn.XLOOKUP(E40&amp;"|"&amp;B40,
        Calculate_cap_ener!$I$14:$I$21&amp;"|"&amp;Calculate_cap_ener!$L$14:$L$21,
        Calculate_cap_ener!$AK$14:$AK$21, "Not found", 0),"HPl",_xlfn.XLOOKUP(E40&amp;"|"&amp;B40,
        Calculate_cap_ener!$I$14:$I$21&amp;"|"&amp;Calculate_cap_ener!$L$14:$L$21,
        Calculate_cap_ener!$AN$14:$AN$21, "Not found", 0),"Missing")</f>
        <v>427.81179380278502</v>
      </c>
      <c r="R40" s="5" cm="1">
        <f t="array" ref="R40">_xlfn.SWITCH(F40,"R",_xlfn.XLOOKUP(E40&amp;"|"&amp;B40,
        Calculate_cap_ener!$I$14:$I$21&amp;"|"&amp;Calculate_cap_ener!$L$14:$L$21,
        Calculate_cap_ener!$AQ$14:$AQ$21, "Not found", 0),"Rb",_xlfn.XLOOKUP(E40&amp;"|"&amp;B40,
        Calculate_cap_ener!$I$14:$I$21&amp;"|"&amp;Calculate_cap_ener!$L$14:$L$21,
        Calculate_cap_ener!$AS$14:$AS$21, "Not found", 0),"Rl",_xlfn.XLOOKUP(E40&amp;"|"&amp;B40,
        Calculate_cap_ener!$I$14:$I$21&amp;"|"&amp;Calculate_cap_ener!$L$14:$L$21,
        Calculate_cap_ener!$AT$14:$AT$21, "Not found", 0),"HP",_xlfn.XLOOKUP(E40&amp;"|"&amp;B40,
        Calculate_cap_ener!$I$14:$I$21&amp;"|"&amp;Calculate_cap_ener!$L$14:$L$21,
        Calculate_cap_ener!$AR$14:$AR$21, "Not found", 0),"HPl",_xlfn.XLOOKUP(E40&amp;"|"&amp;B40,
        Calculate_cap_ener!$I$14:$I$21&amp;"|"&amp;Calculate_cap_ener!$L$14:$L$21,
        Calculate_cap_ener!$AU$14:$AU$21, "Not found", 0),"Missing")</f>
        <v>8.1088940716713189</v>
      </c>
      <c r="S40" s="5" cm="1">
        <f t="array" ref="S40">_xlfn.SWITCH(F40,"R",_xlfn.XLOOKUP(E40&amp;"|"&amp;B40,
        Calculate_cap_ener!$I$14:$I$21&amp;"|"&amp;Calculate_cap_ener!$L$14:$L$21,
        Calculate_cap_ener!$AX$14:$AX$21, "Not found", 0),"Rb",_xlfn.XLOOKUP(E40&amp;"|"&amp;B40,
        Calculate_cap_ener!$I$14:$I$21&amp;"|"&amp;Calculate_cap_ener!$L$14:$L$21,
        Calculate_cap_ener!$AZ$14:$AZ$21, "Not found", 0),"Rl",_xlfn.XLOOKUP(E40&amp;"|"&amp;B40,
        Calculate_cap_ener!$I$14:$I$21&amp;"|"&amp;Calculate_cap_ener!$L$14:$L$21,
        Calculate_cap_ener!$BA$14:$BA$21, "Not found", 0),"HP",_xlfn.XLOOKUP(E40&amp;"|"&amp;B40,
        Calculate_cap_ener!$I$14:$I$21&amp;"|"&amp;Calculate_cap_ener!$L$14:$L$21,
        Calculate_cap_ener!$AY$14:$AY$21, "Not found", 0),"HPl",_xlfn.XLOOKUP(E40&amp;"|"&amp;B40,
        Calculate_cap_ener!$I$14:$I$21&amp;"|"&amp;Calculate_cap_ener!$L$14:$L$21,
        Calculate_cap_ener!$BB$14:$BB$21, "Not found", 0),"Missing")</f>
        <v>47.044595756571994</v>
      </c>
      <c r="T40" s="5" cm="1">
        <f t="array" ref="T40">_xlfn.SWITCH(F40,"R",_xlfn.XLOOKUP(E40&amp;"|"&amp;B40,
        Calculate_cap_ener!$I$14:$I$21&amp;"|"&amp;Calculate_cap_ener!$L$14:$L$21,
        Calculate_cap_ener!$BE$14:$BE$21, "Not found", 0),"Rb",_xlfn.XLOOKUP(E40&amp;"|"&amp;B40,
        Calculate_cap_ener!$I$14:$I$21&amp;"|"&amp;Calculate_cap_ener!$L$14:$L$21,
        Calculate_cap_ener!$BG$14:$BG$21, "Not found", 0),"Rl",_xlfn.XLOOKUP(E40&amp;"|"&amp;B40,
        Calculate_cap_ener!$I$14:$I$21&amp;"|"&amp;Calculate_cap_ener!$L$14:$L$21,
        Calculate_cap_ener!$BH$14:$BH$21, "Not found", 0),"HP",_xlfn.XLOOKUP(E40&amp;"|"&amp;B40,
        Calculate_cap_ener!$I$14:$I$21&amp;"|"&amp;Calculate_cap_ener!$L$14:$L$21,
        Calculate_cap_ener!$BF$14:$BF$21, "Not found", 0),"HPl",_xlfn.XLOOKUP(E40&amp;"|"&amp;B40,
        Calculate_cap_ener!$I$14:$I$21&amp;"|"&amp;Calculate_cap_ener!$L$14:$L$21,
        Calculate_cap_ener!$BI$14:$BI$21, "Not found", 0),"Missing")</f>
        <v>0</v>
      </c>
    </row>
    <row r="41" spans="1:20" x14ac:dyDescent="0.25">
      <c r="A41" s="5" t="s">
        <v>10</v>
      </c>
      <c r="B41" s="5" t="str">
        <f t="shared" si="0"/>
        <v>Mod-H1</v>
      </c>
      <c r="C41" s="5" t="str">
        <f t="shared" si="1"/>
        <v>Mod</v>
      </c>
      <c r="D41" s="5" t="str">
        <f t="shared" si="2"/>
        <v>H1</v>
      </c>
      <c r="E41" s="5" t="s">
        <v>3</v>
      </c>
      <c r="F41" s="5" t="s">
        <v>14</v>
      </c>
      <c r="G41" s="5"/>
      <c r="H41" s="5"/>
      <c r="I41" s="5" cm="1">
        <f t="array" ref="I41">_xlfn.SWITCH(F41,"R",_xlfn.XLOOKUP(E41&amp;"|"&amp;B41,
        Calculate_cap_ener!$I$14:$I$21&amp;"|"&amp;Calculate_cap_ener!$L$14:$L$21,
        Calculate_cap_ener!$W$14:$W$21, "Not found", 0),"Rb",_xlfn.XLOOKUP(E41&amp;"|"&amp;B41,
        Calculate_cap_ener!$I$14:$I$21&amp;"|"&amp;Calculate_cap_ener!$L$14:$L$21,
        Calculate_cap_ener!$Y$14:$Y$21, "Not found", 0),"Rl",_xlfn.XLOOKUP(E41&amp;"|"&amp;B41,
        Calculate_cap_ener!$I$14:$I$21&amp;"|"&amp;Calculate_cap_ener!$L$14:$L$21,
        Calculate_cap_ener!$Z$14:$Z$21, "Not found", 0),0)</f>
        <v>4.5</v>
      </c>
      <c r="J41" s="5"/>
      <c r="K41" s="5"/>
      <c r="L41" s="5" cm="1">
        <f t="array" ref="L41">_xlfn.SWITCH(F41,"R",_xlfn.XLOOKUP(E41&amp;"|"&amp;B41,
        Calculate_cap_ener!$I$14:$I$21&amp;"|"&amp;Calculate_cap_ener!$L$14:$L$21,
        Calculate_cap_ener!$AC$14:$AC$21, "Not found", 0),"Rb",_xlfn.XLOOKUP(E41&amp;"|"&amp;B41,
        Calculate_cap_ener!$I$14:$I$21&amp;"|"&amp;Calculate_cap_ener!$L$14:$L$21,
        Calculate_cap_ener!$AE$14:$AE$21, "Not found", 0),"Rl",_xlfn.XLOOKUP(E41&amp;"|"&amp;B41,
        Calculate_cap_ener!$I$14:$I$21&amp;"|"&amp;Calculate_cap_ener!$L$14:$L$21,
        Calculate_cap_ener!$AF$14:$AF$21, "Not found", 0),"HP",_xlfn.XLOOKUP(E41&amp;"|"&amp;B41,
        Calculate_cap_ener!$I$14:$I$21&amp;"|"&amp;Calculate_cap_ener!$L$14:$L$21,
        Calculate_cap_ener!$AD$14:$AD$21, "Not found", 0),"HPl",_xlfn.XLOOKUP(E41&amp;"|"&amp;B41,
        Calculate_cap_ener!$I$14:$I$21&amp;"|"&amp;Calculate_cap_ener!$L$14:$L$21,
        Calculate_cap_ener!$AG$14:$AG$21, "Not found", 0),"Missing")</f>
        <v>11217.241450956994</v>
      </c>
      <c r="M41" s="5"/>
      <c r="N41" s="5"/>
      <c r="O41" s="5"/>
      <c r="P41" s="5"/>
      <c r="Q41" s="5" cm="1">
        <f t="array" ref="Q41">_xlfn.SWITCH(F41,"R",_xlfn.XLOOKUP(E41&amp;"|"&amp;B41,
        Calculate_cap_ener!$I$14:$I$21&amp;"|"&amp;Calculate_cap_ener!$L$14:$L$21,
        Calculate_cap_ener!$AJ$14:$AJ$21, "Not found", 0),"Rb",_xlfn.XLOOKUP(E41&amp;"|"&amp;B41,
        Calculate_cap_ener!$I$14:$I$21&amp;"|"&amp;Calculate_cap_ener!$L$14:$L$21,
        Calculate_cap_ener!$AL$14:$AL$21, "Not found", 0),"Rl",_xlfn.XLOOKUP(E41&amp;"|"&amp;B41,
        Calculate_cap_ener!$I$14:$I$21&amp;"|"&amp;Calculate_cap_ener!$L$14:$L$21,
        Calculate_cap_ener!$AM$14:$AM$21, "Not found", 0),"HP",_xlfn.XLOOKUP(E41&amp;"|"&amp;B41,
        Calculate_cap_ener!$I$14:$I$21&amp;"|"&amp;Calculate_cap_ener!$L$14:$L$21,
        Calculate_cap_ener!$AK$14:$AK$21, "Not found", 0),"HPl",_xlfn.XLOOKUP(E41&amp;"|"&amp;B41,
        Calculate_cap_ener!$I$14:$I$21&amp;"|"&amp;Calculate_cap_ener!$L$14:$L$21,
        Calculate_cap_ener!$AN$14:$AN$21, "Not found", 0),"Missing")</f>
        <v>427.81179380278502</v>
      </c>
      <c r="R41" s="5" cm="1">
        <f t="array" ref="R41">_xlfn.SWITCH(F41,"R",_xlfn.XLOOKUP(E41&amp;"|"&amp;B41,
        Calculate_cap_ener!$I$14:$I$21&amp;"|"&amp;Calculate_cap_ener!$L$14:$L$21,
        Calculate_cap_ener!$AQ$14:$AQ$21, "Not found", 0),"Rb",_xlfn.XLOOKUP(E41&amp;"|"&amp;B41,
        Calculate_cap_ener!$I$14:$I$21&amp;"|"&amp;Calculate_cap_ener!$L$14:$L$21,
        Calculate_cap_ener!$AS$14:$AS$21, "Not found", 0),"Rl",_xlfn.XLOOKUP(E41&amp;"|"&amp;B41,
        Calculate_cap_ener!$I$14:$I$21&amp;"|"&amp;Calculate_cap_ener!$L$14:$L$21,
        Calculate_cap_ener!$AT$14:$AT$21, "Not found", 0),"HP",_xlfn.XLOOKUP(E41&amp;"|"&amp;B41,
        Calculate_cap_ener!$I$14:$I$21&amp;"|"&amp;Calculate_cap_ener!$L$14:$L$21,
        Calculate_cap_ener!$AR$14:$AR$21, "Not found", 0),"HPl",_xlfn.XLOOKUP(E41&amp;"|"&amp;B41,
        Calculate_cap_ener!$I$14:$I$21&amp;"|"&amp;Calculate_cap_ener!$L$14:$L$21,
        Calculate_cap_ener!$AU$14:$AU$21, "Not found", 0),"Missing")</f>
        <v>8.1088940716713189</v>
      </c>
      <c r="S41" s="5" cm="1">
        <f t="array" ref="S41">_xlfn.SWITCH(F41,"R",_xlfn.XLOOKUP(E41&amp;"|"&amp;B41,
        Calculate_cap_ener!$I$14:$I$21&amp;"|"&amp;Calculate_cap_ener!$L$14:$L$21,
        Calculate_cap_ener!$AX$14:$AX$21, "Not found", 0),"Rb",_xlfn.XLOOKUP(E41&amp;"|"&amp;B41,
        Calculate_cap_ener!$I$14:$I$21&amp;"|"&amp;Calculate_cap_ener!$L$14:$L$21,
        Calculate_cap_ener!$AZ$14:$AZ$21, "Not found", 0),"Rl",_xlfn.XLOOKUP(E41&amp;"|"&amp;B41,
        Calculate_cap_ener!$I$14:$I$21&amp;"|"&amp;Calculate_cap_ener!$L$14:$L$21,
        Calculate_cap_ener!$BA$14:$BA$21, "Not found", 0),"HP",_xlfn.XLOOKUP(E41&amp;"|"&amp;B41,
        Calculate_cap_ener!$I$14:$I$21&amp;"|"&amp;Calculate_cap_ener!$L$14:$L$21,
        Calculate_cap_ener!$AY$14:$AY$21, "Not found", 0),"HPl",_xlfn.XLOOKUP(E41&amp;"|"&amp;B41,
        Calculate_cap_ener!$I$14:$I$21&amp;"|"&amp;Calculate_cap_ener!$L$14:$L$21,
        Calculate_cap_ener!$BB$14:$BB$21, "Not found", 0),"Missing")</f>
        <v>47.044595756571994</v>
      </c>
      <c r="T41" s="5" cm="1">
        <f t="array" ref="T41">_xlfn.SWITCH(F41,"R",_xlfn.XLOOKUP(E41&amp;"|"&amp;B41,
        Calculate_cap_ener!$I$14:$I$21&amp;"|"&amp;Calculate_cap_ener!$L$14:$L$21,
        Calculate_cap_ener!$BE$14:$BE$21, "Not found", 0),"Rb",_xlfn.XLOOKUP(E41&amp;"|"&amp;B41,
        Calculate_cap_ener!$I$14:$I$21&amp;"|"&amp;Calculate_cap_ener!$L$14:$L$21,
        Calculate_cap_ener!$BG$14:$BG$21, "Not found", 0),"Rl",_xlfn.XLOOKUP(E41&amp;"|"&amp;B41,
        Calculate_cap_ener!$I$14:$I$21&amp;"|"&amp;Calculate_cap_ener!$L$14:$L$21,
        Calculate_cap_ener!$BH$14:$BH$21, "Not found", 0),"HP",_xlfn.XLOOKUP(E41&amp;"|"&amp;B41,
        Calculate_cap_ener!$I$14:$I$21&amp;"|"&amp;Calculate_cap_ener!$L$14:$L$21,
        Calculate_cap_ener!$BF$14:$BF$21, "Not found", 0),"HPl",_xlfn.XLOOKUP(E41&amp;"|"&amp;B41,
        Calculate_cap_ener!$I$14:$I$21&amp;"|"&amp;Calculate_cap_ener!$L$14:$L$21,
        Calculate_cap_ener!$BI$14:$BI$21, "Not found", 0),"Missing")</f>
        <v>0</v>
      </c>
    </row>
    <row r="42" spans="1:20" x14ac:dyDescent="0.25">
      <c r="A42" s="5" t="s">
        <v>4</v>
      </c>
      <c r="B42" s="5" t="str">
        <f t="shared" si="0"/>
        <v>Mass-Nom</v>
      </c>
      <c r="C42" s="5" t="str">
        <f t="shared" si="1"/>
        <v>Mass</v>
      </c>
      <c r="D42" s="5" t="str">
        <f t="shared" si="2"/>
        <v>Nom</v>
      </c>
      <c r="E42" s="5" t="s">
        <v>11</v>
      </c>
      <c r="F42" s="5" t="s">
        <v>14</v>
      </c>
      <c r="G42" s="5"/>
      <c r="H42" s="5"/>
      <c r="I42" s="5" cm="1">
        <f t="array" ref="I42">_xlfn.SWITCH(F42,"R",_xlfn.XLOOKUP(E42&amp;"|"&amp;B42,
        Calculate_cap_ener!$I$14:$I$21&amp;"|"&amp;Calculate_cap_ener!$L$14:$L$21,
        Calculate_cap_ener!$W$14:$W$21, "Not found", 0),"Rb",_xlfn.XLOOKUP(E42&amp;"|"&amp;B42,
        Calculate_cap_ener!$I$14:$I$21&amp;"|"&amp;Calculate_cap_ener!$L$14:$L$21,
        Calculate_cap_ener!$Y$14:$Y$21, "Not found", 0),"Rl",_xlfn.XLOOKUP(E42&amp;"|"&amp;B42,
        Calculate_cap_ener!$I$14:$I$21&amp;"|"&amp;Calculate_cap_ener!$L$14:$L$21,
        Calculate_cap_ener!$Z$14:$Z$21, "Not found", 0),0)</f>
        <v>8.5</v>
      </c>
      <c r="J42" s="5"/>
      <c r="K42" s="5"/>
      <c r="L42" s="5" cm="1">
        <f t="array" ref="L42">_xlfn.SWITCH(F42,"R",_xlfn.XLOOKUP(E42&amp;"|"&amp;B42,
        Calculate_cap_ener!$I$14:$I$21&amp;"|"&amp;Calculate_cap_ener!$L$14:$L$21,
        Calculate_cap_ener!$AC$14:$AC$21, "Not found", 0),"Rb",_xlfn.XLOOKUP(E42&amp;"|"&amp;B42,
        Calculate_cap_ener!$I$14:$I$21&amp;"|"&amp;Calculate_cap_ener!$L$14:$L$21,
        Calculate_cap_ener!$AE$14:$AE$21, "Not found", 0),"Rl",_xlfn.XLOOKUP(E42&amp;"|"&amp;B42,
        Calculate_cap_ener!$I$14:$I$21&amp;"|"&amp;Calculate_cap_ener!$L$14:$L$21,
        Calculate_cap_ener!$AF$14:$AF$21, "Not found", 0),"HP",_xlfn.XLOOKUP(E42&amp;"|"&amp;B42,
        Calculate_cap_ener!$I$14:$I$21&amp;"|"&amp;Calculate_cap_ener!$L$14:$L$21,
        Calculate_cap_ener!$AD$14:$AD$21, "Not found", 0),"HPl",_xlfn.XLOOKUP(E42&amp;"|"&amp;B42,
        Calculate_cap_ener!$I$14:$I$21&amp;"|"&amp;Calculate_cap_ener!$L$14:$L$21,
        Calculate_cap_ener!$AG$14:$AG$21, "Not found", 0),"Missing")</f>
        <v>19924.78901667444</v>
      </c>
      <c r="M42" s="5"/>
      <c r="N42" s="5"/>
      <c r="O42" s="5"/>
      <c r="P42" s="5"/>
      <c r="Q42" s="5" cm="1">
        <f t="array" ref="Q42">_xlfn.SWITCH(F42,"R",_xlfn.XLOOKUP(E42&amp;"|"&amp;B42,
        Calculate_cap_ener!$I$14:$I$21&amp;"|"&amp;Calculate_cap_ener!$L$14:$L$21,
        Calculate_cap_ener!$AJ$14:$AJ$21, "Not found", 0),"Rb",_xlfn.XLOOKUP(E42&amp;"|"&amp;B42,
        Calculate_cap_ener!$I$14:$I$21&amp;"|"&amp;Calculate_cap_ener!$L$14:$L$21,
        Calculate_cap_ener!$AL$14:$AL$21, "Not found", 0),"Rl",_xlfn.XLOOKUP(E42&amp;"|"&amp;B42,
        Calculate_cap_ener!$I$14:$I$21&amp;"|"&amp;Calculate_cap_ener!$L$14:$L$21,
        Calculate_cap_ener!$AM$14:$AM$21, "Not found", 0),"HP",_xlfn.XLOOKUP(E42&amp;"|"&amp;B42,
        Calculate_cap_ener!$I$14:$I$21&amp;"|"&amp;Calculate_cap_ener!$L$14:$L$21,
        Calculate_cap_ener!$AK$14:$AK$21, "Not found", 0),"HPl",_xlfn.XLOOKUP(E42&amp;"|"&amp;B42,
        Calculate_cap_ener!$I$14:$I$21&amp;"|"&amp;Calculate_cap_ener!$L$14:$L$21,
        Calculate_cap_ener!$AN$14:$AN$21, "Not found", 0),"Missing")</f>
        <v>776.63632462636497</v>
      </c>
      <c r="R42" s="5" cm="1">
        <f t="array" ref="R42">_xlfn.SWITCH(F42,"R",_xlfn.XLOOKUP(E42&amp;"|"&amp;B42,
        Calculate_cap_ener!$I$14:$I$21&amp;"|"&amp;Calculate_cap_ener!$L$14:$L$21,
        Calculate_cap_ener!$AQ$14:$AQ$21, "Not found", 0),"Rb",_xlfn.XLOOKUP(E42&amp;"|"&amp;B42,
        Calculate_cap_ener!$I$14:$I$21&amp;"|"&amp;Calculate_cap_ener!$L$14:$L$21,
        Calculate_cap_ener!$AS$14:$AS$21, "Not found", 0),"Rl",_xlfn.XLOOKUP(E42&amp;"|"&amp;B42,
        Calculate_cap_ener!$I$14:$I$21&amp;"|"&amp;Calculate_cap_ener!$L$14:$L$21,
        Calculate_cap_ener!$AT$14:$AT$21, "Not found", 0),"HP",_xlfn.XLOOKUP(E42&amp;"|"&amp;B42,
        Calculate_cap_ener!$I$14:$I$21&amp;"|"&amp;Calculate_cap_ener!$L$14:$L$21,
        Calculate_cap_ener!$AR$14:$AR$21, "Not found", 0),"HPl",_xlfn.XLOOKUP(E42&amp;"|"&amp;B42,
        Calculate_cap_ener!$I$14:$I$21&amp;"|"&amp;Calculate_cap_ener!$L$14:$L$21,
        Calculate_cap_ener!$AU$14:$AU$21, "Not found", 0),"Missing")</f>
        <v>14.345102460698792</v>
      </c>
      <c r="S42" s="5" cm="1">
        <f t="array" ref="S42">_xlfn.SWITCH(F42,"R",_xlfn.XLOOKUP(E42&amp;"|"&amp;B42,
        Calculate_cap_ener!$I$14:$I$21&amp;"|"&amp;Calculate_cap_ener!$L$14:$L$21,
        Calculate_cap_ener!$AX$14:$AX$21, "Not found", 0),"Rb",_xlfn.XLOOKUP(E42&amp;"|"&amp;B42,
        Calculate_cap_ener!$I$14:$I$21&amp;"|"&amp;Calculate_cap_ener!$L$14:$L$21,
        Calculate_cap_ener!$AZ$14:$AZ$21, "Not found", 0),"Rl",_xlfn.XLOOKUP(E42&amp;"|"&amp;B42,
        Calculate_cap_ener!$I$14:$I$21&amp;"|"&amp;Calculate_cap_ener!$L$14:$L$21,
        Calculate_cap_ener!$BA$14:$BA$21, "Not found", 0),"HP",_xlfn.XLOOKUP(E42&amp;"|"&amp;B42,
        Calculate_cap_ener!$I$14:$I$21&amp;"|"&amp;Calculate_cap_ener!$L$14:$L$21,
        Calculate_cap_ener!$AY$14:$AY$21, "Not found", 0),"HPl",_xlfn.XLOOKUP(E42&amp;"|"&amp;B42,
        Calculate_cap_ener!$I$14:$I$21&amp;"|"&amp;Calculate_cap_ener!$L$14:$L$21,
        Calculate_cap_ener!$BB$14:$BB$21, "Not found", 0),"Missing")</f>
        <v>82.176016716089464</v>
      </c>
      <c r="T42" s="5" cm="1">
        <f t="array" ref="T42">_xlfn.SWITCH(F42,"R",_xlfn.XLOOKUP(E42&amp;"|"&amp;B42,
        Calculate_cap_ener!$I$14:$I$21&amp;"|"&amp;Calculate_cap_ener!$L$14:$L$21,
        Calculate_cap_ener!$BE$14:$BE$21, "Not found", 0),"Rb",_xlfn.XLOOKUP(E42&amp;"|"&amp;B42,
        Calculate_cap_ener!$I$14:$I$21&amp;"|"&amp;Calculate_cap_ener!$L$14:$L$21,
        Calculate_cap_ener!$BG$14:$BG$21, "Not found", 0),"Rl",_xlfn.XLOOKUP(E42&amp;"|"&amp;B42,
        Calculate_cap_ener!$I$14:$I$21&amp;"|"&amp;Calculate_cap_ener!$L$14:$L$21,
        Calculate_cap_ener!$BH$14:$BH$21, "Not found", 0),"HP",_xlfn.XLOOKUP(E42&amp;"|"&amp;B42,
        Calculate_cap_ener!$I$14:$I$21&amp;"|"&amp;Calculate_cap_ener!$L$14:$L$21,
        Calculate_cap_ener!$BF$14:$BF$21, "Not found", 0),"HPl",_xlfn.XLOOKUP(E42&amp;"|"&amp;B42,
        Calculate_cap_ener!$I$14:$I$21&amp;"|"&amp;Calculate_cap_ener!$L$14:$L$21,
        Calculate_cap_ener!$BI$14:$BI$21, "Not found", 0),"Missing")</f>
        <v>0</v>
      </c>
    </row>
    <row r="43" spans="1:20" x14ac:dyDescent="0.25">
      <c r="A43" s="5" t="s">
        <v>2</v>
      </c>
      <c r="B43" s="5" t="str">
        <f t="shared" si="0"/>
        <v>Mass-Nom</v>
      </c>
      <c r="C43" s="5" t="str">
        <f t="shared" si="1"/>
        <v>Mass</v>
      </c>
      <c r="D43" s="5" t="str">
        <f t="shared" si="2"/>
        <v>Nom</v>
      </c>
      <c r="E43" s="5" t="s">
        <v>11</v>
      </c>
      <c r="F43" s="5" t="s">
        <v>14</v>
      </c>
      <c r="G43" s="5"/>
      <c r="H43" s="5"/>
      <c r="I43" s="5" cm="1">
        <f t="array" ref="I43">_xlfn.SWITCH(F43,"R",_xlfn.XLOOKUP(E43&amp;"|"&amp;B43,
        Calculate_cap_ener!$I$14:$I$21&amp;"|"&amp;Calculate_cap_ener!$L$14:$L$21,
        Calculate_cap_ener!$W$14:$W$21, "Not found", 0),"Rb",_xlfn.XLOOKUP(E43&amp;"|"&amp;B43,
        Calculate_cap_ener!$I$14:$I$21&amp;"|"&amp;Calculate_cap_ener!$L$14:$L$21,
        Calculate_cap_ener!$Y$14:$Y$21, "Not found", 0),"Rl",_xlfn.XLOOKUP(E43&amp;"|"&amp;B43,
        Calculate_cap_ener!$I$14:$I$21&amp;"|"&amp;Calculate_cap_ener!$L$14:$L$21,
        Calculate_cap_ener!$Z$14:$Z$21, "Not found", 0),0)</f>
        <v>8.5</v>
      </c>
      <c r="J43" s="5"/>
      <c r="K43" s="5"/>
      <c r="L43" s="5" cm="1">
        <f t="array" ref="L43">_xlfn.SWITCH(F43,"R",_xlfn.XLOOKUP(E43&amp;"|"&amp;B43,
        Calculate_cap_ener!$I$14:$I$21&amp;"|"&amp;Calculate_cap_ener!$L$14:$L$21,
        Calculate_cap_ener!$AC$14:$AC$21, "Not found", 0),"Rb",_xlfn.XLOOKUP(E43&amp;"|"&amp;B43,
        Calculate_cap_ener!$I$14:$I$21&amp;"|"&amp;Calculate_cap_ener!$L$14:$L$21,
        Calculate_cap_ener!$AE$14:$AE$21, "Not found", 0),"Rl",_xlfn.XLOOKUP(E43&amp;"|"&amp;B43,
        Calculate_cap_ener!$I$14:$I$21&amp;"|"&amp;Calculate_cap_ener!$L$14:$L$21,
        Calculate_cap_ener!$AF$14:$AF$21, "Not found", 0),"HP",_xlfn.XLOOKUP(E43&amp;"|"&amp;B43,
        Calculate_cap_ener!$I$14:$I$21&amp;"|"&amp;Calculate_cap_ener!$L$14:$L$21,
        Calculate_cap_ener!$AD$14:$AD$21, "Not found", 0),"HPl",_xlfn.XLOOKUP(E43&amp;"|"&amp;B43,
        Calculate_cap_ener!$I$14:$I$21&amp;"|"&amp;Calculate_cap_ener!$L$14:$L$21,
        Calculate_cap_ener!$AG$14:$AG$21, "Not found", 0),"Missing")</f>
        <v>19924.78901667444</v>
      </c>
      <c r="M43" s="5"/>
      <c r="N43" s="5"/>
      <c r="O43" s="5"/>
      <c r="P43" s="5"/>
      <c r="Q43" s="5" cm="1">
        <f t="array" ref="Q43">_xlfn.SWITCH(F43,"R",_xlfn.XLOOKUP(E43&amp;"|"&amp;B43,
        Calculate_cap_ener!$I$14:$I$21&amp;"|"&amp;Calculate_cap_ener!$L$14:$L$21,
        Calculate_cap_ener!$AJ$14:$AJ$21, "Not found", 0),"Rb",_xlfn.XLOOKUP(E43&amp;"|"&amp;B43,
        Calculate_cap_ener!$I$14:$I$21&amp;"|"&amp;Calculate_cap_ener!$L$14:$L$21,
        Calculate_cap_ener!$AL$14:$AL$21, "Not found", 0),"Rl",_xlfn.XLOOKUP(E43&amp;"|"&amp;B43,
        Calculate_cap_ener!$I$14:$I$21&amp;"|"&amp;Calculate_cap_ener!$L$14:$L$21,
        Calculate_cap_ener!$AM$14:$AM$21, "Not found", 0),"HP",_xlfn.XLOOKUP(E43&amp;"|"&amp;B43,
        Calculate_cap_ener!$I$14:$I$21&amp;"|"&amp;Calculate_cap_ener!$L$14:$L$21,
        Calculate_cap_ener!$AK$14:$AK$21, "Not found", 0),"HPl",_xlfn.XLOOKUP(E43&amp;"|"&amp;B43,
        Calculate_cap_ener!$I$14:$I$21&amp;"|"&amp;Calculate_cap_ener!$L$14:$L$21,
        Calculate_cap_ener!$AN$14:$AN$21, "Not found", 0),"Missing")</f>
        <v>776.63632462636497</v>
      </c>
      <c r="R43" s="5" cm="1">
        <f t="array" ref="R43">_xlfn.SWITCH(F43,"R",_xlfn.XLOOKUP(E43&amp;"|"&amp;B43,
        Calculate_cap_ener!$I$14:$I$21&amp;"|"&amp;Calculate_cap_ener!$L$14:$L$21,
        Calculate_cap_ener!$AQ$14:$AQ$21, "Not found", 0),"Rb",_xlfn.XLOOKUP(E43&amp;"|"&amp;B43,
        Calculate_cap_ener!$I$14:$I$21&amp;"|"&amp;Calculate_cap_ener!$L$14:$L$21,
        Calculate_cap_ener!$AS$14:$AS$21, "Not found", 0),"Rl",_xlfn.XLOOKUP(E43&amp;"|"&amp;B43,
        Calculate_cap_ener!$I$14:$I$21&amp;"|"&amp;Calculate_cap_ener!$L$14:$L$21,
        Calculate_cap_ener!$AT$14:$AT$21, "Not found", 0),"HP",_xlfn.XLOOKUP(E43&amp;"|"&amp;B43,
        Calculate_cap_ener!$I$14:$I$21&amp;"|"&amp;Calculate_cap_ener!$L$14:$L$21,
        Calculate_cap_ener!$AR$14:$AR$21, "Not found", 0),"HPl",_xlfn.XLOOKUP(E43&amp;"|"&amp;B43,
        Calculate_cap_ener!$I$14:$I$21&amp;"|"&amp;Calculate_cap_ener!$L$14:$L$21,
        Calculate_cap_ener!$AU$14:$AU$21, "Not found", 0),"Missing")</f>
        <v>14.345102460698792</v>
      </c>
      <c r="S43" s="5" cm="1">
        <f t="array" ref="S43">_xlfn.SWITCH(F43,"R",_xlfn.XLOOKUP(E43&amp;"|"&amp;B43,
        Calculate_cap_ener!$I$14:$I$21&amp;"|"&amp;Calculate_cap_ener!$L$14:$L$21,
        Calculate_cap_ener!$AX$14:$AX$21, "Not found", 0),"Rb",_xlfn.XLOOKUP(E43&amp;"|"&amp;B43,
        Calculate_cap_ener!$I$14:$I$21&amp;"|"&amp;Calculate_cap_ener!$L$14:$L$21,
        Calculate_cap_ener!$AZ$14:$AZ$21, "Not found", 0),"Rl",_xlfn.XLOOKUP(E43&amp;"|"&amp;B43,
        Calculate_cap_ener!$I$14:$I$21&amp;"|"&amp;Calculate_cap_ener!$L$14:$L$21,
        Calculate_cap_ener!$BA$14:$BA$21, "Not found", 0),"HP",_xlfn.XLOOKUP(E43&amp;"|"&amp;B43,
        Calculate_cap_ener!$I$14:$I$21&amp;"|"&amp;Calculate_cap_ener!$L$14:$L$21,
        Calculate_cap_ener!$AY$14:$AY$21, "Not found", 0),"HPl",_xlfn.XLOOKUP(E43&amp;"|"&amp;B43,
        Calculate_cap_ener!$I$14:$I$21&amp;"|"&amp;Calculate_cap_ener!$L$14:$L$21,
        Calculate_cap_ener!$BB$14:$BB$21, "Not found", 0),"Missing")</f>
        <v>82.176016716089464</v>
      </c>
      <c r="T43" s="5" cm="1">
        <f t="array" ref="T43">_xlfn.SWITCH(F43,"R",_xlfn.XLOOKUP(E43&amp;"|"&amp;B43,
        Calculate_cap_ener!$I$14:$I$21&amp;"|"&amp;Calculate_cap_ener!$L$14:$L$21,
        Calculate_cap_ener!$BE$14:$BE$21, "Not found", 0),"Rb",_xlfn.XLOOKUP(E43&amp;"|"&amp;B43,
        Calculate_cap_ener!$I$14:$I$21&amp;"|"&amp;Calculate_cap_ener!$L$14:$L$21,
        Calculate_cap_ener!$BG$14:$BG$21, "Not found", 0),"Rl",_xlfn.XLOOKUP(E43&amp;"|"&amp;B43,
        Calculate_cap_ener!$I$14:$I$21&amp;"|"&amp;Calculate_cap_ener!$L$14:$L$21,
        Calculate_cap_ener!$BH$14:$BH$21, "Not found", 0),"HP",_xlfn.XLOOKUP(E43&amp;"|"&amp;B43,
        Calculate_cap_ener!$I$14:$I$21&amp;"|"&amp;Calculate_cap_ener!$L$14:$L$21,
        Calculate_cap_ener!$BF$14:$BF$21, "Not found", 0),"HPl",_xlfn.XLOOKUP(E43&amp;"|"&amp;B43,
        Calculate_cap_ener!$I$14:$I$21&amp;"|"&amp;Calculate_cap_ener!$L$14:$L$21,
        Calculate_cap_ener!$BI$14:$BI$21, "Not found", 0),"Missing")</f>
        <v>0</v>
      </c>
    </row>
    <row r="44" spans="1:20" x14ac:dyDescent="0.25">
      <c r="A44" s="5" t="s">
        <v>5</v>
      </c>
      <c r="B44" s="5" t="str">
        <f t="shared" si="0"/>
        <v>Mass-H1</v>
      </c>
      <c r="C44" s="5" t="str">
        <f t="shared" si="1"/>
        <v>Mass</v>
      </c>
      <c r="D44" s="5" t="str">
        <f t="shared" si="2"/>
        <v>H1</v>
      </c>
      <c r="E44" s="5" t="s">
        <v>11</v>
      </c>
      <c r="F44" s="5" t="s">
        <v>14</v>
      </c>
      <c r="G44" s="5"/>
      <c r="H44" s="5"/>
      <c r="I44" s="5" cm="1">
        <f t="array" ref="I44">_xlfn.SWITCH(F44,"R",_xlfn.XLOOKUP(E44&amp;"|"&amp;B44,
        Calculate_cap_ener!$I$14:$I$21&amp;"|"&amp;Calculate_cap_ener!$L$14:$L$21,
        Calculate_cap_ener!$W$14:$W$21, "Not found", 0),"Rb",_xlfn.XLOOKUP(E44&amp;"|"&amp;B44,
        Calculate_cap_ener!$I$14:$I$21&amp;"|"&amp;Calculate_cap_ener!$L$14:$L$21,
        Calculate_cap_ener!$Y$14:$Y$21, "Not found", 0),"Rl",_xlfn.XLOOKUP(E44&amp;"|"&amp;B44,
        Calculate_cap_ener!$I$14:$I$21&amp;"|"&amp;Calculate_cap_ener!$L$14:$L$21,
        Calculate_cap_ener!$Z$14:$Z$21, "Not found", 0),0)</f>
        <v>5</v>
      </c>
      <c r="J44" s="5"/>
      <c r="K44" s="5"/>
      <c r="L44" s="5" cm="1">
        <f t="array" ref="L44">_xlfn.SWITCH(F44,"R",_xlfn.XLOOKUP(E44&amp;"|"&amp;B44,
        Calculate_cap_ener!$I$14:$I$21&amp;"|"&amp;Calculate_cap_ener!$L$14:$L$21,
        Calculate_cap_ener!$AC$14:$AC$21, "Not found", 0),"Rb",_xlfn.XLOOKUP(E44&amp;"|"&amp;B44,
        Calculate_cap_ener!$I$14:$I$21&amp;"|"&amp;Calculate_cap_ener!$L$14:$L$21,
        Calculate_cap_ener!$AE$14:$AE$21, "Not found", 0),"Rl",_xlfn.XLOOKUP(E44&amp;"|"&amp;B44,
        Calculate_cap_ener!$I$14:$I$21&amp;"|"&amp;Calculate_cap_ener!$L$14:$L$21,
        Calculate_cap_ener!$AF$14:$AF$21, "Not found", 0),"HP",_xlfn.XLOOKUP(E44&amp;"|"&amp;B44,
        Calculate_cap_ener!$I$14:$I$21&amp;"|"&amp;Calculate_cap_ener!$L$14:$L$21,
        Calculate_cap_ener!$AD$14:$AD$21, "Not found", 0),"HPl",_xlfn.XLOOKUP(E44&amp;"|"&amp;B44,
        Calculate_cap_ener!$I$14:$I$21&amp;"|"&amp;Calculate_cap_ener!$L$14:$L$21,
        Calculate_cap_ener!$AG$14:$AG$21, "Not found", 0),"Missing")</f>
        <v>13726.935336196544</v>
      </c>
      <c r="M44" s="5"/>
      <c r="N44" s="5"/>
      <c r="O44" s="5"/>
      <c r="P44" s="5"/>
      <c r="Q44" s="5" cm="1">
        <f t="array" ref="Q44">_xlfn.SWITCH(F44,"R",_xlfn.XLOOKUP(E44&amp;"|"&amp;B44,
        Calculate_cap_ener!$I$14:$I$21&amp;"|"&amp;Calculate_cap_ener!$L$14:$L$21,
        Calculate_cap_ener!$AJ$14:$AJ$21, "Not found", 0),"Rb",_xlfn.XLOOKUP(E44&amp;"|"&amp;B44,
        Calculate_cap_ener!$I$14:$I$21&amp;"|"&amp;Calculate_cap_ener!$L$14:$L$21,
        Calculate_cap_ener!$AL$14:$AL$21, "Not found", 0),"Rl",_xlfn.XLOOKUP(E44&amp;"|"&amp;B44,
        Calculate_cap_ener!$I$14:$I$21&amp;"|"&amp;Calculate_cap_ener!$L$14:$L$21,
        Calculate_cap_ener!$AM$14:$AM$21, "Not found", 0),"HP",_xlfn.XLOOKUP(E44&amp;"|"&amp;B44,
        Calculate_cap_ener!$I$14:$I$21&amp;"|"&amp;Calculate_cap_ener!$L$14:$L$21,
        Calculate_cap_ener!$AK$14:$AK$21, "Not found", 0),"HPl",_xlfn.XLOOKUP(E44&amp;"|"&amp;B44,
        Calculate_cap_ener!$I$14:$I$21&amp;"|"&amp;Calculate_cap_ener!$L$14:$L$21,
        Calculate_cap_ener!$AN$14:$AN$21, "Not found", 0),"Missing")</f>
        <v>506.79905678199003</v>
      </c>
      <c r="R44" s="5" cm="1">
        <f t="array" ref="R44">_xlfn.SWITCH(F44,"R",_xlfn.XLOOKUP(E44&amp;"|"&amp;B44,
        Calculate_cap_ener!$I$14:$I$21&amp;"|"&amp;Calculate_cap_ener!$L$14:$L$21,
        Calculate_cap_ener!$AQ$14:$AQ$21, "Not found", 0),"Rb",_xlfn.XLOOKUP(E44&amp;"|"&amp;B44,
        Calculate_cap_ener!$I$14:$I$21&amp;"|"&amp;Calculate_cap_ener!$L$14:$L$21,
        Calculate_cap_ener!$AS$14:$AS$21, "Not found", 0),"Rl",_xlfn.XLOOKUP(E44&amp;"|"&amp;B44,
        Calculate_cap_ener!$I$14:$I$21&amp;"|"&amp;Calculate_cap_ener!$L$14:$L$21,
        Calculate_cap_ener!$AT$14:$AT$21, "Not found", 0),"HP",_xlfn.XLOOKUP(E44&amp;"|"&amp;B44,
        Calculate_cap_ener!$I$14:$I$21&amp;"|"&amp;Calculate_cap_ener!$L$14:$L$21,
        Calculate_cap_ener!$AR$14:$AR$21, "Not found", 0),"HPl",_xlfn.XLOOKUP(E44&amp;"|"&amp;B44,
        Calculate_cap_ener!$I$14:$I$21&amp;"|"&amp;Calculate_cap_ener!$L$14:$L$21,
        Calculate_cap_ener!$AU$14:$AU$21, "Not found", 0),"Missing")</f>
        <v>9.9815797543151614</v>
      </c>
      <c r="S44" s="5" cm="1">
        <f t="array" ref="S44">_xlfn.SWITCH(F44,"R",_xlfn.XLOOKUP(E44&amp;"|"&amp;B44,
        Calculate_cap_ener!$I$14:$I$21&amp;"|"&amp;Calculate_cap_ener!$L$14:$L$21,
        Calculate_cap_ener!$AX$14:$AX$21, "Not found", 0),"Rb",_xlfn.XLOOKUP(E44&amp;"|"&amp;B44,
        Calculate_cap_ener!$I$14:$I$21&amp;"|"&amp;Calculate_cap_ener!$L$14:$L$21,
        Calculate_cap_ener!$AZ$14:$AZ$21, "Not found", 0),"Rl",_xlfn.XLOOKUP(E44&amp;"|"&amp;B44,
        Calculate_cap_ener!$I$14:$I$21&amp;"|"&amp;Calculate_cap_ener!$L$14:$L$21,
        Calculate_cap_ener!$BA$14:$BA$21, "Not found", 0),"HP",_xlfn.XLOOKUP(E44&amp;"|"&amp;B44,
        Calculate_cap_ener!$I$14:$I$21&amp;"|"&amp;Calculate_cap_ener!$L$14:$L$21,
        Calculate_cap_ener!$AY$14:$AY$21, "Not found", 0),"HPl",_xlfn.XLOOKUP(E44&amp;"|"&amp;B44,
        Calculate_cap_ener!$I$14:$I$21&amp;"|"&amp;Calculate_cap_ener!$L$14:$L$21,
        Calculate_cap_ener!$BB$14:$BB$21, "Not found", 0),"Missing")</f>
        <v>58.957770553626503</v>
      </c>
      <c r="T44" s="5" cm="1">
        <f t="array" ref="T44">_xlfn.SWITCH(F44,"R",_xlfn.XLOOKUP(E44&amp;"|"&amp;B44,
        Calculate_cap_ener!$I$14:$I$21&amp;"|"&amp;Calculate_cap_ener!$L$14:$L$21,
        Calculate_cap_ener!$BE$14:$BE$21, "Not found", 0),"Rb",_xlfn.XLOOKUP(E44&amp;"|"&amp;B44,
        Calculate_cap_ener!$I$14:$I$21&amp;"|"&amp;Calculate_cap_ener!$L$14:$L$21,
        Calculate_cap_ener!$BG$14:$BG$21, "Not found", 0),"Rl",_xlfn.XLOOKUP(E44&amp;"|"&amp;B44,
        Calculate_cap_ener!$I$14:$I$21&amp;"|"&amp;Calculate_cap_ener!$L$14:$L$21,
        Calculate_cap_ener!$BH$14:$BH$21, "Not found", 0),"HP",_xlfn.XLOOKUP(E44&amp;"|"&amp;B44,
        Calculate_cap_ener!$I$14:$I$21&amp;"|"&amp;Calculate_cap_ener!$L$14:$L$21,
        Calculate_cap_ener!$BF$14:$BF$21, "Not found", 0),"HPl",_xlfn.XLOOKUP(E44&amp;"|"&amp;B44,
        Calculate_cap_ener!$I$14:$I$21&amp;"|"&amp;Calculate_cap_ener!$L$14:$L$21,
        Calculate_cap_ener!$BI$14:$BI$21, "Not found", 0),"Missing")</f>
        <v>0</v>
      </c>
    </row>
    <row r="45" spans="1:20" x14ac:dyDescent="0.25">
      <c r="A45" s="5" t="s">
        <v>6</v>
      </c>
      <c r="B45" s="5" t="str">
        <f t="shared" si="0"/>
        <v>Mass-H1</v>
      </c>
      <c r="C45" s="5" t="str">
        <f t="shared" si="1"/>
        <v>Mass</v>
      </c>
      <c r="D45" s="5" t="str">
        <f t="shared" si="2"/>
        <v>H1</v>
      </c>
      <c r="E45" s="5" t="s">
        <v>11</v>
      </c>
      <c r="F45" s="5" t="s">
        <v>14</v>
      </c>
      <c r="G45" s="5"/>
      <c r="H45" s="5"/>
      <c r="I45" s="5" cm="1">
        <f t="array" ref="I45">_xlfn.SWITCH(F45,"R",_xlfn.XLOOKUP(E45&amp;"|"&amp;B45,
        Calculate_cap_ener!$I$14:$I$21&amp;"|"&amp;Calculate_cap_ener!$L$14:$L$21,
        Calculate_cap_ener!$W$14:$W$21, "Not found", 0),"Rb",_xlfn.XLOOKUP(E45&amp;"|"&amp;B45,
        Calculate_cap_ener!$I$14:$I$21&amp;"|"&amp;Calculate_cap_ener!$L$14:$L$21,
        Calculate_cap_ener!$Y$14:$Y$21, "Not found", 0),"Rl",_xlfn.XLOOKUP(E45&amp;"|"&amp;B45,
        Calculate_cap_ener!$I$14:$I$21&amp;"|"&amp;Calculate_cap_ener!$L$14:$L$21,
        Calculate_cap_ener!$Z$14:$Z$21, "Not found", 0),0)</f>
        <v>5</v>
      </c>
      <c r="J45" s="5"/>
      <c r="K45" s="5"/>
      <c r="L45" s="5" cm="1">
        <f t="array" ref="L45">_xlfn.SWITCH(F45,"R",_xlfn.XLOOKUP(E45&amp;"|"&amp;B45,
        Calculate_cap_ener!$I$14:$I$21&amp;"|"&amp;Calculate_cap_ener!$L$14:$L$21,
        Calculate_cap_ener!$AC$14:$AC$21, "Not found", 0),"Rb",_xlfn.XLOOKUP(E45&amp;"|"&amp;B45,
        Calculate_cap_ener!$I$14:$I$21&amp;"|"&amp;Calculate_cap_ener!$L$14:$L$21,
        Calculate_cap_ener!$AE$14:$AE$21, "Not found", 0),"Rl",_xlfn.XLOOKUP(E45&amp;"|"&amp;B45,
        Calculate_cap_ener!$I$14:$I$21&amp;"|"&amp;Calculate_cap_ener!$L$14:$L$21,
        Calculate_cap_ener!$AF$14:$AF$21, "Not found", 0),"HP",_xlfn.XLOOKUP(E45&amp;"|"&amp;B45,
        Calculate_cap_ener!$I$14:$I$21&amp;"|"&amp;Calculate_cap_ener!$L$14:$L$21,
        Calculate_cap_ener!$AD$14:$AD$21, "Not found", 0),"HPl",_xlfn.XLOOKUP(E45&amp;"|"&amp;B45,
        Calculate_cap_ener!$I$14:$I$21&amp;"|"&amp;Calculate_cap_ener!$L$14:$L$21,
        Calculate_cap_ener!$AG$14:$AG$21, "Not found", 0),"Missing")</f>
        <v>13726.935336196544</v>
      </c>
      <c r="M45" s="5"/>
      <c r="N45" s="5"/>
      <c r="O45" s="5"/>
      <c r="P45" s="5"/>
      <c r="Q45" s="5" cm="1">
        <f t="array" ref="Q45">_xlfn.SWITCH(F45,"R",_xlfn.XLOOKUP(E45&amp;"|"&amp;B45,
        Calculate_cap_ener!$I$14:$I$21&amp;"|"&amp;Calculate_cap_ener!$L$14:$L$21,
        Calculate_cap_ener!$AJ$14:$AJ$21, "Not found", 0),"Rb",_xlfn.XLOOKUP(E45&amp;"|"&amp;B45,
        Calculate_cap_ener!$I$14:$I$21&amp;"|"&amp;Calculate_cap_ener!$L$14:$L$21,
        Calculate_cap_ener!$AL$14:$AL$21, "Not found", 0),"Rl",_xlfn.XLOOKUP(E45&amp;"|"&amp;B45,
        Calculate_cap_ener!$I$14:$I$21&amp;"|"&amp;Calculate_cap_ener!$L$14:$L$21,
        Calculate_cap_ener!$AM$14:$AM$21, "Not found", 0),"HP",_xlfn.XLOOKUP(E45&amp;"|"&amp;B45,
        Calculate_cap_ener!$I$14:$I$21&amp;"|"&amp;Calculate_cap_ener!$L$14:$L$21,
        Calculate_cap_ener!$AK$14:$AK$21, "Not found", 0),"HPl",_xlfn.XLOOKUP(E45&amp;"|"&amp;B45,
        Calculate_cap_ener!$I$14:$I$21&amp;"|"&amp;Calculate_cap_ener!$L$14:$L$21,
        Calculate_cap_ener!$AN$14:$AN$21, "Not found", 0),"Missing")</f>
        <v>506.79905678199003</v>
      </c>
      <c r="R45" s="5" cm="1">
        <f t="array" ref="R45">_xlfn.SWITCH(F45,"R",_xlfn.XLOOKUP(E45&amp;"|"&amp;B45,
        Calculate_cap_ener!$I$14:$I$21&amp;"|"&amp;Calculate_cap_ener!$L$14:$L$21,
        Calculate_cap_ener!$AQ$14:$AQ$21, "Not found", 0),"Rb",_xlfn.XLOOKUP(E45&amp;"|"&amp;B45,
        Calculate_cap_ener!$I$14:$I$21&amp;"|"&amp;Calculate_cap_ener!$L$14:$L$21,
        Calculate_cap_ener!$AS$14:$AS$21, "Not found", 0),"Rl",_xlfn.XLOOKUP(E45&amp;"|"&amp;B45,
        Calculate_cap_ener!$I$14:$I$21&amp;"|"&amp;Calculate_cap_ener!$L$14:$L$21,
        Calculate_cap_ener!$AT$14:$AT$21, "Not found", 0),"HP",_xlfn.XLOOKUP(E45&amp;"|"&amp;B45,
        Calculate_cap_ener!$I$14:$I$21&amp;"|"&amp;Calculate_cap_ener!$L$14:$L$21,
        Calculate_cap_ener!$AR$14:$AR$21, "Not found", 0),"HPl",_xlfn.XLOOKUP(E45&amp;"|"&amp;B45,
        Calculate_cap_ener!$I$14:$I$21&amp;"|"&amp;Calculate_cap_ener!$L$14:$L$21,
        Calculate_cap_ener!$AU$14:$AU$21, "Not found", 0),"Missing")</f>
        <v>9.9815797543151614</v>
      </c>
      <c r="S45" s="5" cm="1">
        <f t="array" ref="S45">_xlfn.SWITCH(F45,"R",_xlfn.XLOOKUP(E45&amp;"|"&amp;B45,
        Calculate_cap_ener!$I$14:$I$21&amp;"|"&amp;Calculate_cap_ener!$L$14:$L$21,
        Calculate_cap_ener!$AX$14:$AX$21, "Not found", 0),"Rb",_xlfn.XLOOKUP(E45&amp;"|"&amp;B45,
        Calculate_cap_ener!$I$14:$I$21&amp;"|"&amp;Calculate_cap_ener!$L$14:$L$21,
        Calculate_cap_ener!$AZ$14:$AZ$21, "Not found", 0),"Rl",_xlfn.XLOOKUP(E45&amp;"|"&amp;B45,
        Calculate_cap_ener!$I$14:$I$21&amp;"|"&amp;Calculate_cap_ener!$L$14:$L$21,
        Calculate_cap_ener!$BA$14:$BA$21, "Not found", 0),"HP",_xlfn.XLOOKUP(E45&amp;"|"&amp;B45,
        Calculate_cap_ener!$I$14:$I$21&amp;"|"&amp;Calculate_cap_ener!$L$14:$L$21,
        Calculate_cap_ener!$AY$14:$AY$21, "Not found", 0),"HPl",_xlfn.XLOOKUP(E45&amp;"|"&amp;B45,
        Calculate_cap_ener!$I$14:$I$21&amp;"|"&amp;Calculate_cap_ener!$L$14:$L$21,
        Calculate_cap_ener!$BB$14:$BB$21, "Not found", 0),"Missing")</f>
        <v>58.957770553626503</v>
      </c>
      <c r="T45" s="5" cm="1">
        <f t="array" ref="T45">_xlfn.SWITCH(F45,"R",_xlfn.XLOOKUP(E45&amp;"|"&amp;B45,
        Calculate_cap_ener!$I$14:$I$21&amp;"|"&amp;Calculate_cap_ener!$L$14:$L$21,
        Calculate_cap_ener!$BE$14:$BE$21, "Not found", 0),"Rb",_xlfn.XLOOKUP(E45&amp;"|"&amp;B45,
        Calculate_cap_ener!$I$14:$I$21&amp;"|"&amp;Calculate_cap_ener!$L$14:$L$21,
        Calculate_cap_ener!$BG$14:$BG$21, "Not found", 0),"Rl",_xlfn.XLOOKUP(E45&amp;"|"&amp;B45,
        Calculate_cap_ener!$I$14:$I$21&amp;"|"&amp;Calculate_cap_ener!$L$14:$L$21,
        Calculate_cap_ener!$BH$14:$BH$21, "Not found", 0),"HP",_xlfn.XLOOKUP(E45&amp;"|"&amp;B45,
        Calculate_cap_ener!$I$14:$I$21&amp;"|"&amp;Calculate_cap_ener!$L$14:$L$21,
        Calculate_cap_ener!$BF$14:$BF$21, "Not found", 0),"HPl",_xlfn.XLOOKUP(E45&amp;"|"&amp;B45,
        Calculate_cap_ener!$I$14:$I$21&amp;"|"&amp;Calculate_cap_ener!$L$14:$L$21,
        Calculate_cap_ener!$BI$14:$BI$21, "Not found", 0),"Missing")</f>
        <v>0</v>
      </c>
    </row>
    <row r="46" spans="1:20" x14ac:dyDescent="0.25">
      <c r="A46" s="5" t="s">
        <v>7</v>
      </c>
      <c r="B46" s="5" t="str">
        <f t="shared" si="0"/>
        <v>Mod-Nom</v>
      </c>
      <c r="C46" s="5" t="str">
        <f t="shared" si="1"/>
        <v>Mod</v>
      </c>
      <c r="D46" s="5" t="str">
        <f t="shared" si="2"/>
        <v>Nom</v>
      </c>
      <c r="E46" s="5" t="s">
        <v>11</v>
      </c>
      <c r="F46" s="5" t="s">
        <v>14</v>
      </c>
      <c r="G46" s="5"/>
      <c r="H46" s="5"/>
      <c r="I46" s="5" cm="1">
        <f t="array" ref="I46">_xlfn.SWITCH(F46,"R",_xlfn.XLOOKUP(E46&amp;"|"&amp;B46,
        Calculate_cap_ener!$I$14:$I$21&amp;"|"&amp;Calculate_cap_ener!$L$14:$L$21,
        Calculate_cap_ener!$W$14:$W$21, "Not found", 0),"Rb",_xlfn.XLOOKUP(E46&amp;"|"&amp;B46,
        Calculate_cap_ener!$I$14:$I$21&amp;"|"&amp;Calculate_cap_ener!$L$14:$L$21,
        Calculate_cap_ener!$Y$14:$Y$21, "Not found", 0),"Rl",_xlfn.XLOOKUP(E46&amp;"|"&amp;B46,
        Calculate_cap_ener!$I$14:$I$21&amp;"|"&amp;Calculate_cap_ener!$L$14:$L$21,
        Calculate_cap_ener!$Z$14:$Z$21, "Not found", 0),0)</f>
        <v>9</v>
      </c>
      <c r="J46" s="5"/>
      <c r="K46" s="5"/>
      <c r="L46" s="5" cm="1">
        <f t="array" ref="L46">_xlfn.SWITCH(F46,"R",_xlfn.XLOOKUP(E46&amp;"|"&amp;B46,
        Calculate_cap_ener!$I$14:$I$21&amp;"|"&amp;Calculate_cap_ener!$L$14:$L$21,
        Calculate_cap_ener!$AC$14:$AC$21, "Not found", 0),"Rb",_xlfn.XLOOKUP(E46&amp;"|"&amp;B46,
        Calculate_cap_ener!$I$14:$I$21&amp;"|"&amp;Calculate_cap_ener!$L$14:$L$21,
        Calculate_cap_ener!$AE$14:$AE$21, "Not found", 0),"Rl",_xlfn.XLOOKUP(E46&amp;"|"&amp;B46,
        Calculate_cap_ener!$I$14:$I$21&amp;"|"&amp;Calculate_cap_ener!$L$14:$L$21,
        Calculate_cap_ener!$AF$14:$AF$21, "Not found", 0),"HP",_xlfn.XLOOKUP(E46&amp;"|"&amp;B46,
        Calculate_cap_ener!$I$14:$I$21&amp;"|"&amp;Calculate_cap_ener!$L$14:$L$21,
        Calculate_cap_ener!$AD$14:$AD$21, "Not found", 0),"HPl",_xlfn.XLOOKUP(E46&amp;"|"&amp;B46,
        Calculate_cap_ener!$I$14:$I$21&amp;"|"&amp;Calculate_cap_ener!$L$14:$L$21,
        Calculate_cap_ener!$AG$14:$AG$21, "Not found", 0),"Missing")</f>
        <v>22434.482901913987</v>
      </c>
      <c r="M46" s="5"/>
      <c r="N46" s="5"/>
      <c r="O46" s="5"/>
      <c r="P46" s="5"/>
      <c r="Q46" s="5" cm="1">
        <f t="array" ref="Q46">_xlfn.SWITCH(F46,"R",_xlfn.XLOOKUP(E46&amp;"|"&amp;B46,
        Calculate_cap_ener!$I$14:$I$21&amp;"|"&amp;Calculate_cap_ener!$L$14:$L$21,
        Calculate_cap_ener!$AJ$14:$AJ$21, "Not found", 0),"Rb",_xlfn.XLOOKUP(E46&amp;"|"&amp;B46,
        Calculate_cap_ener!$I$14:$I$21&amp;"|"&amp;Calculate_cap_ener!$L$14:$L$21,
        Calculate_cap_ener!$AL$14:$AL$21, "Not found", 0),"Rl",_xlfn.XLOOKUP(E46&amp;"|"&amp;B46,
        Calculate_cap_ener!$I$14:$I$21&amp;"|"&amp;Calculate_cap_ener!$L$14:$L$21,
        Calculate_cap_ener!$AM$14:$AM$21, "Not found", 0),"HP",_xlfn.XLOOKUP(E46&amp;"|"&amp;B46,
        Calculate_cap_ener!$I$14:$I$21&amp;"|"&amp;Calculate_cap_ener!$L$14:$L$21,
        Calculate_cap_ener!$AK$14:$AK$21, "Not found", 0),"HPl",_xlfn.XLOOKUP(E46&amp;"|"&amp;B46,
        Calculate_cap_ener!$I$14:$I$21&amp;"|"&amp;Calculate_cap_ener!$L$14:$L$21,
        Calculate_cap_ener!$AN$14:$AN$21, "Not found", 0),"Missing")</f>
        <v>855.62358760557004</v>
      </c>
      <c r="R46" s="5" cm="1">
        <f t="array" ref="R46">_xlfn.SWITCH(F46,"R",_xlfn.XLOOKUP(E46&amp;"|"&amp;B46,
        Calculate_cap_ener!$I$14:$I$21&amp;"|"&amp;Calculate_cap_ener!$L$14:$L$21,
        Calculate_cap_ener!$AQ$14:$AQ$21, "Not found", 0),"Rb",_xlfn.XLOOKUP(E46&amp;"|"&amp;B46,
        Calculate_cap_ener!$I$14:$I$21&amp;"|"&amp;Calculate_cap_ener!$L$14:$L$21,
        Calculate_cap_ener!$AS$14:$AS$21, "Not found", 0),"Rl",_xlfn.XLOOKUP(E46&amp;"|"&amp;B46,
        Calculate_cap_ener!$I$14:$I$21&amp;"|"&amp;Calculate_cap_ener!$L$14:$L$21,
        Calculate_cap_ener!$AT$14:$AT$21, "Not found", 0),"HP",_xlfn.XLOOKUP(E46&amp;"|"&amp;B46,
        Calculate_cap_ener!$I$14:$I$21&amp;"|"&amp;Calculate_cap_ener!$L$14:$L$21,
        Calculate_cap_ener!$AR$14:$AR$21, "Not found", 0),"HPl",_xlfn.XLOOKUP(E46&amp;"|"&amp;B46,
        Calculate_cap_ener!$I$14:$I$21&amp;"|"&amp;Calculate_cap_ener!$L$14:$L$21,
        Calculate_cap_ener!$AU$14:$AU$21, "Not found", 0),"Missing")</f>
        <v>16.217788143342634</v>
      </c>
      <c r="S46" s="5" cm="1">
        <f t="array" ref="S46">_xlfn.SWITCH(F46,"R",_xlfn.XLOOKUP(E46&amp;"|"&amp;B46,
        Calculate_cap_ener!$I$14:$I$21&amp;"|"&amp;Calculate_cap_ener!$L$14:$L$21,
        Calculate_cap_ener!$AX$14:$AX$21, "Not found", 0),"Rb",_xlfn.XLOOKUP(E46&amp;"|"&amp;B46,
        Calculate_cap_ener!$I$14:$I$21&amp;"|"&amp;Calculate_cap_ener!$L$14:$L$21,
        Calculate_cap_ener!$AZ$14:$AZ$21, "Not found", 0),"Rl",_xlfn.XLOOKUP(E46&amp;"|"&amp;B46,
        Calculate_cap_ener!$I$14:$I$21&amp;"|"&amp;Calculate_cap_ener!$L$14:$L$21,
        Calculate_cap_ener!$BA$14:$BA$21, "Not found", 0),"HP",_xlfn.XLOOKUP(E46&amp;"|"&amp;B46,
        Calculate_cap_ener!$I$14:$I$21&amp;"|"&amp;Calculate_cap_ener!$L$14:$L$21,
        Calculate_cap_ener!$AY$14:$AY$21, "Not found", 0),"HPl",_xlfn.XLOOKUP(E46&amp;"|"&amp;B46,
        Calculate_cap_ener!$I$14:$I$21&amp;"|"&amp;Calculate_cap_ener!$L$14:$L$21,
        Calculate_cap_ener!$BB$14:$BB$21, "Not found", 0),"Missing")</f>
        <v>94.089191513143973</v>
      </c>
      <c r="T46" s="5" cm="1">
        <f t="array" ref="T46">_xlfn.SWITCH(F46,"R",_xlfn.XLOOKUP(E46&amp;"|"&amp;B46,
        Calculate_cap_ener!$I$14:$I$21&amp;"|"&amp;Calculate_cap_ener!$L$14:$L$21,
        Calculate_cap_ener!$BE$14:$BE$21, "Not found", 0),"Rb",_xlfn.XLOOKUP(E46&amp;"|"&amp;B46,
        Calculate_cap_ener!$I$14:$I$21&amp;"|"&amp;Calculate_cap_ener!$L$14:$L$21,
        Calculate_cap_ener!$BG$14:$BG$21, "Not found", 0),"Rl",_xlfn.XLOOKUP(E46&amp;"|"&amp;B46,
        Calculate_cap_ener!$I$14:$I$21&amp;"|"&amp;Calculate_cap_ener!$L$14:$L$21,
        Calculate_cap_ener!$BH$14:$BH$21, "Not found", 0),"HP",_xlfn.XLOOKUP(E46&amp;"|"&amp;B46,
        Calculate_cap_ener!$I$14:$I$21&amp;"|"&amp;Calculate_cap_ener!$L$14:$L$21,
        Calculate_cap_ener!$BF$14:$BF$21, "Not found", 0),"HPl",_xlfn.XLOOKUP(E46&amp;"|"&amp;B46,
        Calculate_cap_ener!$I$14:$I$21&amp;"|"&amp;Calculate_cap_ener!$L$14:$L$21,
        Calculate_cap_ener!$BI$14:$BI$21, "Not found", 0),"Missing")</f>
        <v>0</v>
      </c>
    </row>
    <row r="47" spans="1:20" x14ac:dyDescent="0.25">
      <c r="A47" s="5" t="s">
        <v>8</v>
      </c>
      <c r="B47" s="5" t="str">
        <f t="shared" si="0"/>
        <v>Mod-Nom</v>
      </c>
      <c r="C47" s="5" t="str">
        <f t="shared" si="1"/>
        <v>Mod</v>
      </c>
      <c r="D47" s="5" t="str">
        <f t="shared" si="2"/>
        <v>Nom</v>
      </c>
      <c r="E47" s="5" t="s">
        <v>11</v>
      </c>
      <c r="F47" s="5" t="s">
        <v>14</v>
      </c>
      <c r="G47" s="5"/>
      <c r="H47" s="5"/>
      <c r="I47" s="5" cm="1">
        <f t="array" ref="I47">_xlfn.SWITCH(F47,"R",_xlfn.XLOOKUP(E47&amp;"|"&amp;B47,
        Calculate_cap_ener!$I$14:$I$21&amp;"|"&amp;Calculate_cap_ener!$L$14:$L$21,
        Calculate_cap_ener!$W$14:$W$21, "Not found", 0),"Rb",_xlfn.XLOOKUP(E47&amp;"|"&amp;B47,
        Calculate_cap_ener!$I$14:$I$21&amp;"|"&amp;Calculate_cap_ener!$L$14:$L$21,
        Calculate_cap_ener!$Y$14:$Y$21, "Not found", 0),"Rl",_xlfn.XLOOKUP(E47&amp;"|"&amp;B47,
        Calculate_cap_ener!$I$14:$I$21&amp;"|"&amp;Calculate_cap_ener!$L$14:$L$21,
        Calculate_cap_ener!$Z$14:$Z$21, "Not found", 0),0)</f>
        <v>9</v>
      </c>
      <c r="J47" s="5"/>
      <c r="K47" s="5"/>
      <c r="L47" s="5" cm="1">
        <f t="array" ref="L47">_xlfn.SWITCH(F47,"R",_xlfn.XLOOKUP(E47&amp;"|"&amp;B47,
        Calculate_cap_ener!$I$14:$I$21&amp;"|"&amp;Calculate_cap_ener!$L$14:$L$21,
        Calculate_cap_ener!$AC$14:$AC$21, "Not found", 0),"Rb",_xlfn.XLOOKUP(E47&amp;"|"&amp;B47,
        Calculate_cap_ener!$I$14:$I$21&amp;"|"&amp;Calculate_cap_ener!$L$14:$L$21,
        Calculate_cap_ener!$AE$14:$AE$21, "Not found", 0),"Rl",_xlfn.XLOOKUP(E47&amp;"|"&amp;B47,
        Calculate_cap_ener!$I$14:$I$21&amp;"|"&amp;Calculate_cap_ener!$L$14:$L$21,
        Calculate_cap_ener!$AF$14:$AF$21, "Not found", 0),"HP",_xlfn.XLOOKUP(E47&amp;"|"&amp;B47,
        Calculate_cap_ener!$I$14:$I$21&amp;"|"&amp;Calculate_cap_ener!$L$14:$L$21,
        Calculate_cap_ener!$AD$14:$AD$21, "Not found", 0),"HPl",_xlfn.XLOOKUP(E47&amp;"|"&amp;B47,
        Calculate_cap_ener!$I$14:$I$21&amp;"|"&amp;Calculate_cap_ener!$L$14:$L$21,
        Calculate_cap_ener!$AG$14:$AG$21, "Not found", 0),"Missing")</f>
        <v>22434.482901913987</v>
      </c>
      <c r="M47" s="5"/>
      <c r="N47" s="5"/>
      <c r="O47" s="5"/>
      <c r="P47" s="5"/>
      <c r="Q47" s="5" cm="1">
        <f t="array" ref="Q47">_xlfn.SWITCH(F47,"R",_xlfn.XLOOKUP(E47&amp;"|"&amp;B47,
        Calculate_cap_ener!$I$14:$I$21&amp;"|"&amp;Calculate_cap_ener!$L$14:$L$21,
        Calculate_cap_ener!$AJ$14:$AJ$21, "Not found", 0),"Rb",_xlfn.XLOOKUP(E47&amp;"|"&amp;B47,
        Calculate_cap_ener!$I$14:$I$21&amp;"|"&amp;Calculate_cap_ener!$L$14:$L$21,
        Calculate_cap_ener!$AL$14:$AL$21, "Not found", 0),"Rl",_xlfn.XLOOKUP(E47&amp;"|"&amp;B47,
        Calculate_cap_ener!$I$14:$I$21&amp;"|"&amp;Calculate_cap_ener!$L$14:$L$21,
        Calculate_cap_ener!$AM$14:$AM$21, "Not found", 0),"HP",_xlfn.XLOOKUP(E47&amp;"|"&amp;B47,
        Calculate_cap_ener!$I$14:$I$21&amp;"|"&amp;Calculate_cap_ener!$L$14:$L$21,
        Calculate_cap_ener!$AK$14:$AK$21, "Not found", 0),"HPl",_xlfn.XLOOKUP(E47&amp;"|"&amp;B47,
        Calculate_cap_ener!$I$14:$I$21&amp;"|"&amp;Calculate_cap_ener!$L$14:$L$21,
        Calculate_cap_ener!$AN$14:$AN$21, "Not found", 0),"Missing")</f>
        <v>855.62358760557004</v>
      </c>
      <c r="R47" s="5" cm="1">
        <f t="array" ref="R47">_xlfn.SWITCH(F47,"R",_xlfn.XLOOKUP(E47&amp;"|"&amp;B47,
        Calculate_cap_ener!$I$14:$I$21&amp;"|"&amp;Calculate_cap_ener!$L$14:$L$21,
        Calculate_cap_ener!$AQ$14:$AQ$21, "Not found", 0),"Rb",_xlfn.XLOOKUP(E47&amp;"|"&amp;B47,
        Calculate_cap_ener!$I$14:$I$21&amp;"|"&amp;Calculate_cap_ener!$L$14:$L$21,
        Calculate_cap_ener!$AS$14:$AS$21, "Not found", 0),"Rl",_xlfn.XLOOKUP(E47&amp;"|"&amp;B47,
        Calculate_cap_ener!$I$14:$I$21&amp;"|"&amp;Calculate_cap_ener!$L$14:$L$21,
        Calculate_cap_ener!$AT$14:$AT$21, "Not found", 0),"HP",_xlfn.XLOOKUP(E47&amp;"|"&amp;B47,
        Calculate_cap_ener!$I$14:$I$21&amp;"|"&amp;Calculate_cap_ener!$L$14:$L$21,
        Calculate_cap_ener!$AR$14:$AR$21, "Not found", 0),"HPl",_xlfn.XLOOKUP(E47&amp;"|"&amp;B47,
        Calculate_cap_ener!$I$14:$I$21&amp;"|"&amp;Calculate_cap_ener!$L$14:$L$21,
        Calculate_cap_ener!$AU$14:$AU$21, "Not found", 0),"Missing")</f>
        <v>16.217788143342634</v>
      </c>
      <c r="S47" s="5" cm="1">
        <f t="array" ref="S47">_xlfn.SWITCH(F47,"R",_xlfn.XLOOKUP(E47&amp;"|"&amp;B47,
        Calculate_cap_ener!$I$14:$I$21&amp;"|"&amp;Calculate_cap_ener!$L$14:$L$21,
        Calculate_cap_ener!$AX$14:$AX$21, "Not found", 0),"Rb",_xlfn.XLOOKUP(E47&amp;"|"&amp;B47,
        Calculate_cap_ener!$I$14:$I$21&amp;"|"&amp;Calculate_cap_ener!$L$14:$L$21,
        Calculate_cap_ener!$AZ$14:$AZ$21, "Not found", 0),"Rl",_xlfn.XLOOKUP(E47&amp;"|"&amp;B47,
        Calculate_cap_ener!$I$14:$I$21&amp;"|"&amp;Calculate_cap_ener!$L$14:$L$21,
        Calculate_cap_ener!$BA$14:$BA$21, "Not found", 0),"HP",_xlfn.XLOOKUP(E47&amp;"|"&amp;B47,
        Calculate_cap_ener!$I$14:$I$21&amp;"|"&amp;Calculate_cap_ener!$L$14:$L$21,
        Calculate_cap_ener!$AY$14:$AY$21, "Not found", 0),"HPl",_xlfn.XLOOKUP(E47&amp;"|"&amp;B47,
        Calculate_cap_ener!$I$14:$I$21&amp;"|"&amp;Calculate_cap_ener!$L$14:$L$21,
        Calculate_cap_ener!$BB$14:$BB$21, "Not found", 0),"Missing")</f>
        <v>94.089191513143973</v>
      </c>
      <c r="T47" s="5" cm="1">
        <f t="array" ref="T47">_xlfn.SWITCH(F47,"R",_xlfn.XLOOKUP(E47&amp;"|"&amp;B47,
        Calculate_cap_ener!$I$14:$I$21&amp;"|"&amp;Calculate_cap_ener!$L$14:$L$21,
        Calculate_cap_ener!$BE$14:$BE$21, "Not found", 0),"Rb",_xlfn.XLOOKUP(E47&amp;"|"&amp;B47,
        Calculate_cap_ener!$I$14:$I$21&amp;"|"&amp;Calculate_cap_ener!$L$14:$L$21,
        Calculate_cap_ener!$BG$14:$BG$21, "Not found", 0),"Rl",_xlfn.XLOOKUP(E47&amp;"|"&amp;B47,
        Calculate_cap_ener!$I$14:$I$21&amp;"|"&amp;Calculate_cap_ener!$L$14:$L$21,
        Calculate_cap_ener!$BH$14:$BH$21, "Not found", 0),"HP",_xlfn.XLOOKUP(E47&amp;"|"&amp;B47,
        Calculate_cap_ener!$I$14:$I$21&amp;"|"&amp;Calculate_cap_ener!$L$14:$L$21,
        Calculate_cap_ener!$BF$14:$BF$21, "Not found", 0),"HPl",_xlfn.XLOOKUP(E47&amp;"|"&amp;B47,
        Calculate_cap_ener!$I$14:$I$21&amp;"|"&amp;Calculate_cap_ener!$L$14:$L$21,
        Calculate_cap_ener!$BI$14:$BI$21, "Not found", 0),"Missing")</f>
        <v>0</v>
      </c>
    </row>
    <row r="48" spans="1:20" x14ac:dyDescent="0.25">
      <c r="A48" s="5" t="s">
        <v>9</v>
      </c>
      <c r="B48" s="5" t="str">
        <f t="shared" si="0"/>
        <v>Mod-H1</v>
      </c>
      <c r="C48" s="5" t="str">
        <f t="shared" si="1"/>
        <v>Mod</v>
      </c>
      <c r="D48" s="5" t="str">
        <f t="shared" si="2"/>
        <v>H1</v>
      </c>
      <c r="E48" s="5" t="s">
        <v>11</v>
      </c>
      <c r="F48" s="5" t="s">
        <v>14</v>
      </c>
      <c r="G48" s="5"/>
      <c r="H48" s="5"/>
      <c r="I48" s="5" cm="1">
        <f t="array" ref="I48">_xlfn.SWITCH(F48,"R",_xlfn.XLOOKUP(E48&amp;"|"&amp;B48,
        Calculate_cap_ener!$I$14:$I$21&amp;"|"&amp;Calculate_cap_ener!$L$14:$L$21,
        Calculate_cap_ener!$W$14:$W$21, "Not found", 0),"Rb",_xlfn.XLOOKUP(E48&amp;"|"&amp;B48,
        Calculate_cap_ener!$I$14:$I$21&amp;"|"&amp;Calculate_cap_ener!$L$14:$L$21,
        Calculate_cap_ener!$Y$14:$Y$21, "Not found", 0),"Rl",_xlfn.XLOOKUP(E48&amp;"|"&amp;B48,
        Calculate_cap_ener!$I$14:$I$21&amp;"|"&amp;Calculate_cap_ener!$L$14:$L$21,
        Calculate_cap_ener!$Z$14:$Z$21, "Not found", 0),0)</f>
        <v>8</v>
      </c>
      <c r="J48" s="5"/>
      <c r="K48" s="5"/>
      <c r="L48" s="5" cm="1">
        <f t="array" ref="L48">_xlfn.SWITCH(F48,"R",_xlfn.XLOOKUP(E48&amp;"|"&amp;B48,
        Calculate_cap_ener!$I$14:$I$21&amp;"|"&amp;Calculate_cap_ener!$L$14:$L$21,
        Calculate_cap_ener!$AC$14:$AC$21, "Not found", 0),"Rb",_xlfn.XLOOKUP(E48&amp;"|"&amp;B48,
        Calculate_cap_ener!$I$14:$I$21&amp;"|"&amp;Calculate_cap_ener!$L$14:$L$21,
        Calculate_cap_ener!$AE$14:$AE$21, "Not found", 0),"Rl",_xlfn.XLOOKUP(E48&amp;"|"&amp;B48,
        Calculate_cap_ener!$I$14:$I$21&amp;"|"&amp;Calculate_cap_ener!$L$14:$L$21,
        Calculate_cap_ener!$AF$14:$AF$21, "Not found", 0),"HP",_xlfn.XLOOKUP(E48&amp;"|"&amp;B48,
        Calculate_cap_ener!$I$14:$I$21&amp;"|"&amp;Calculate_cap_ener!$L$14:$L$21,
        Calculate_cap_ener!$AD$14:$AD$21, "Not found", 0),"HPl",_xlfn.XLOOKUP(E48&amp;"|"&amp;B48,
        Calculate_cap_ener!$I$14:$I$21&amp;"|"&amp;Calculate_cap_ener!$L$14:$L$21,
        Calculate_cap_ener!$AG$14:$AG$21, "Not found", 0),"Missing")</f>
        <v>21205.09630350121</v>
      </c>
      <c r="M48" s="5"/>
      <c r="N48" s="5"/>
      <c r="O48" s="5"/>
      <c r="P48" s="5"/>
      <c r="Q48" s="5" cm="1">
        <f t="array" ref="Q48">_xlfn.SWITCH(F48,"R",_xlfn.XLOOKUP(E48&amp;"|"&amp;B48,
        Calculate_cap_ener!$I$14:$I$21&amp;"|"&amp;Calculate_cap_ener!$L$14:$L$21,
        Calculate_cap_ener!$AJ$14:$AJ$21, "Not found", 0),"Rb",_xlfn.XLOOKUP(E48&amp;"|"&amp;B48,
        Calculate_cap_ener!$I$14:$I$21&amp;"|"&amp;Calculate_cap_ener!$L$14:$L$21,
        Calculate_cap_ener!$AL$14:$AL$21, "Not found", 0),"Rl",_xlfn.XLOOKUP(E48&amp;"|"&amp;B48,
        Calculate_cap_ener!$I$14:$I$21&amp;"|"&amp;Calculate_cap_ener!$L$14:$L$21,
        Calculate_cap_ener!$AM$14:$AM$21, "Not found", 0),"HP",_xlfn.XLOOKUP(E48&amp;"|"&amp;B48,
        Calculate_cap_ener!$I$14:$I$21&amp;"|"&amp;Calculate_cap_ener!$L$14:$L$21,
        Calculate_cap_ener!$AK$14:$AK$21, "Not found", 0),"HPl",_xlfn.XLOOKUP(E48&amp;"|"&amp;B48,
        Calculate_cap_ener!$I$14:$I$21&amp;"|"&amp;Calculate_cap_ener!$L$14:$L$21,
        Calculate_cap_ener!$AN$14:$AN$21, "Not found", 0),"Missing")</f>
        <v>792.00691931718006</v>
      </c>
      <c r="R48" s="5" cm="1">
        <f t="array" ref="R48">_xlfn.SWITCH(F48,"R",_xlfn.XLOOKUP(E48&amp;"|"&amp;B48,
        Calculate_cap_ener!$I$14:$I$21&amp;"|"&amp;Calculate_cap_ener!$L$14:$L$21,
        Calculate_cap_ener!$AQ$14:$AQ$21, "Not found", 0),"Rb",_xlfn.XLOOKUP(E48&amp;"|"&amp;B48,
        Calculate_cap_ener!$I$14:$I$21&amp;"|"&amp;Calculate_cap_ener!$L$14:$L$21,
        Calculate_cap_ener!$AS$14:$AS$21, "Not found", 0),"Rl",_xlfn.XLOOKUP(E48&amp;"|"&amp;B48,
        Calculate_cap_ener!$I$14:$I$21&amp;"|"&amp;Calculate_cap_ener!$L$14:$L$21,
        Calculate_cap_ener!$AT$14:$AT$21, "Not found", 0),"HP",_xlfn.XLOOKUP(E48&amp;"|"&amp;B48,
        Calculate_cap_ener!$I$14:$I$21&amp;"|"&amp;Calculate_cap_ener!$L$14:$L$21,
        Calculate_cap_ener!$AR$14:$AR$21, "Not found", 0),"HPl",_xlfn.XLOOKUP(E48&amp;"|"&amp;B48,
        Calculate_cap_ener!$I$14:$I$21&amp;"|"&amp;Calculate_cap_ener!$L$14:$L$21,
        Calculate_cap_ener!$AU$14:$AU$21, "Not found", 0),"Missing")</f>
        <v>15.387509135429376</v>
      </c>
      <c r="S48" s="5" cm="1">
        <f t="array" ref="S48">_xlfn.SWITCH(F48,"R",_xlfn.XLOOKUP(E48&amp;"|"&amp;B48,
        Calculate_cap_ener!$I$14:$I$21&amp;"|"&amp;Calculate_cap_ener!$L$14:$L$21,
        Calculate_cap_ener!$AX$14:$AX$21, "Not found", 0),"Rb",_xlfn.XLOOKUP(E48&amp;"|"&amp;B48,
        Calculate_cap_ener!$I$14:$I$21&amp;"|"&amp;Calculate_cap_ener!$L$14:$L$21,
        Calculate_cap_ener!$AZ$14:$AZ$21, "Not found", 0),"Rl",_xlfn.XLOOKUP(E48&amp;"|"&amp;B48,
        Calculate_cap_ener!$I$14:$I$21&amp;"|"&amp;Calculate_cap_ener!$L$14:$L$21,
        Calculate_cap_ener!$BA$14:$BA$21, "Not found", 0),"HP",_xlfn.XLOOKUP(E48&amp;"|"&amp;B48,
        Calculate_cap_ener!$I$14:$I$21&amp;"|"&amp;Calculate_cap_ener!$L$14:$L$21,
        Calculate_cap_ener!$AY$14:$AY$21, "Not found", 0),"HPl",_xlfn.XLOOKUP(E48&amp;"|"&amp;B48,
        Calculate_cap_ener!$I$14:$I$21&amp;"|"&amp;Calculate_cap_ener!$L$14:$L$21,
        Calculate_cap_ener!$BB$14:$BB$21, "Not found", 0),"Missing")</f>
        <v>90.320834391341165</v>
      </c>
      <c r="T48" s="5" cm="1">
        <f t="array" ref="T48">_xlfn.SWITCH(F48,"R",_xlfn.XLOOKUP(E48&amp;"|"&amp;B48,
        Calculate_cap_ener!$I$14:$I$21&amp;"|"&amp;Calculate_cap_ener!$L$14:$L$21,
        Calculate_cap_ener!$BE$14:$BE$21, "Not found", 0),"Rb",_xlfn.XLOOKUP(E48&amp;"|"&amp;B48,
        Calculate_cap_ener!$I$14:$I$21&amp;"|"&amp;Calculate_cap_ener!$L$14:$L$21,
        Calculate_cap_ener!$BG$14:$BG$21, "Not found", 0),"Rl",_xlfn.XLOOKUP(E48&amp;"|"&amp;B48,
        Calculate_cap_ener!$I$14:$I$21&amp;"|"&amp;Calculate_cap_ener!$L$14:$L$21,
        Calculate_cap_ener!$BH$14:$BH$21, "Not found", 0),"HP",_xlfn.XLOOKUP(E48&amp;"|"&amp;B48,
        Calculate_cap_ener!$I$14:$I$21&amp;"|"&amp;Calculate_cap_ener!$L$14:$L$21,
        Calculate_cap_ener!$BF$14:$BF$21, "Not found", 0),"HPl",_xlfn.XLOOKUP(E48&amp;"|"&amp;B48,
        Calculate_cap_ener!$I$14:$I$21&amp;"|"&amp;Calculate_cap_ener!$L$14:$L$21,
        Calculate_cap_ener!$BI$14:$BI$21, "Not found", 0),"Missing")</f>
        <v>0</v>
      </c>
    </row>
    <row r="49" spans="1:20" x14ac:dyDescent="0.25">
      <c r="A49" s="5" t="s">
        <v>10</v>
      </c>
      <c r="B49" s="5" t="str">
        <f t="shared" si="0"/>
        <v>Mod-H1</v>
      </c>
      <c r="C49" s="5" t="str">
        <f t="shared" si="1"/>
        <v>Mod</v>
      </c>
      <c r="D49" s="5" t="str">
        <f t="shared" si="2"/>
        <v>H1</v>
      </c>
      <c r="E49" s="5" t="s">
        <v>11</v>
      </c>
      <c r="F49" s="5" t="s">
        <v>14</v>
      </c>
      <c r="G49" s="5"/>
      <c r="H49" s="5"/>
      <c r="I49" s="5" cm="1">
        <f t="array" ref="I49">_xlfn.SWITCH(F49,"R",_xlfn.XLOOKUP(E49&amp;"|"&amp;B49,
        Calculate_cap_ener!$I$14:$I$21&amp;"|"&amp;Calculate_cap_ener!$L$14:$L$21,
        Calculate_cap_ener!$W$14:$W$21, "Not found", 0),"Rb",_xlfn.XLOOKUP(E49&amp;"|"&amp;B49,
        Calculate_cap_ener!$I$14:$I$21&amp;"|"&amp;Calculate_cap_ener!$L$14:$L$21,
        Calculate_cap_ener!$Y$14:$Y$21, "Not found", 0),"Rl",_xlfn.XLOOKUP(E49&amp;"|"&amp;B49,
        Calculate_cap_ener!$I$14:$I$21&amp;"|"&amp;Calculate_cap_ener!$L$14:$L$21,
        Calculate_cap_ener!$Z$14:$Z$21, "Not found", 0),0)</f>
        <v>8</v>
      </c>
      <c r="J49" s="5"/>
      <c r="K49" s="5"/>
      <c r="L49" s="5" cm="1">
        <f t="array" ref="L49">_xlfn.SWITCH(F49,"R",_xlfn.XLOOKUP(E49&amp;"|"&amp;B49,
        Calculate_cap_ener!$I$14:$I$21&amp;"|"&amp;Calculate_cap_ener!$L$14:$L$21,
        Calculate_cap_ener!$AC$14:$AC$21, "Not found", 0),"Rb",_xlfn.XLOOKUP(E49&amp;"|"&amp;B49,
        Calculate_cap_ener!$I$14:$I$21&amp;"|"&amp;Calculate_cap_ener!$L$14:$L$21,
        Calculate_cap_ener!$AE$14:$AE$21, "Not found", 0),"Rl",_xlfn.XLOOKUP(E49&amp;"|"&amp;B49,
        Calculate_cap_ener!$I$14:$I$21&amp;"|"&amp;Calculate_cap_ener!$L$14:$L$21,
        Calculate_cap_ener!$AF$14:$AF$21, "Not found", 0),"HP",_xlfn.XLOOKUP(E49&amp;"|"&amp;B49,
        Calculate_cap_ener!$I$14:$I$21&amp;"|"&amp;Calculate_cap_ener!$L$14:$L$21,
        Calculate_cap_ener!$AD$14:$AD$21, "Not found", 0),"HPl",_xlfn.XLOOKUP(E49&amp;"|"&amp;B49,
        Calculate_cap_ener!$I$14:$I$21&amp;"|"&amp;Calculate_cap_ener!$L$14:$L$21,
        Calculate_cap_ener!$AG$14:$AG$21, "Not found", 0),"Missing")</f>
        <v>21205.09630350121</v>
      </c>
      <c r="M49" s="5"/>
      <c r="N49" s="5"/>
      <c r="O49" s="5"/>
      <c r="P49" s="5"/>
      <c r="Q49" s="5" cm="1">
        <f t="array" ref="Q49">_xlfn.SWITCH(F49,"R",_xlfn.XLOOKUP(E49&amp;"|"&amp;B49,
        Calculate_cap_ener!$I$14:$I$21&amp;"|"&amp;Calculate_cap_ener!$L$14:$L$21,
        Calculate_cap_ener!$AJ$14:$AJ$21, "Not found", 0),"Rb",_xlfn.XLOOKUP(E49&amp;"|"&amp;B49,
        Calculate_cap_ener!$I$14:$I$21&amp;"|"&amp;Calculate_cap_ener!$L$14:$L$21,
        Calculate_cap_ener!$AL$14:$AL$21, "Not found", 0),"Rl",_xlfn.XLOOKUP(E49&amp;"|"&amp;B49,
        Calculate_cap_ener!$I$14:$I$21&amp;"|"&amp;Calculate_cap_ener!$L$14:$L$21,
        Calculate_cap_ener!$AM$14:$AM$21, "Not found", 0),"HP",_xlfn.XLOOKUP(E49&amp;"|"&amp;B49,
        Calculate_cap_ener!$I$14:$I$21&amp;"|"&amp;Calculate_cap_ener!$L$14:$L$21,
        Calculate_cap_ener!$AK$14:$AK$21, "Not found", 0),"HPl",_xlfn.XLOOKUP(E49&amp;"|"&amp;B49,
        Calculate_cap_ener!$I$14:$I$21&amp;"|"&amp;Calculate_cap_ener!$L$14:$L$21,
        Calculate_cap_ener!$AN$14:$AN$21, "Not found", 0),"Missing")</f>
        <v>792.00691931718006</v>
      </c>
      <c r="R49" s="5" cm="1">
        <f t="array" ref="R49">_xlfn.SWITCH(F49,"R",_xlfn.XLOOKUP(E49&amp;"|"&amp;B49,
        Calculate_cap_ener!$I$14:$I$21&amp;"|"&amp;Calculate_cap_ener!$L$14:$L$21,
        Calculate_cap_ener!$AQ$14:$AQ$21, "Not found", 0),"Rb",_xlfn.XLOOKUP(E49&amp;"|"&amp;B49,
        Calculate_cap_ener!$I$14:$I$21&amp;"|"&amp;Calculate_cap_ener!$L$14:$L$21,
        Calculate_cap_ener!$AS$14:$AS$21, "Not found", 0),"Rl",_xlfn.XLOOKUP(E49&amp;"|"&amp;B49,
        Calculate_cap_ener!$I$14:$I$21&amp;"|"&amp;Calculate_cap_ener!$L$14:$L$21,
        Calculate_cap_ener!$AT$14:$AT$21, "Not found", 0),"HP",_xlfn.XLOOKUP(E49&amp;"|"&amp;B49,
        Calculate_cap_ener!$I$14:$I$21&amp;"|"&amp;Calculate_cap_ener!$L$14:$L$21,
        Calculate_cap_ener!$AR$14:$AR$21, "Not found", 0),"HPl",_xlfn.XLOOKUP(E49&amp;"|"&amp;B49,
        Calculate_cap_ener!$I$14:$I$21&amp;"|"&amp;Calculate_cap_ener!$L$14:$L$21,
        Calculate_cap_ener!$AU$14:$AU$21, "Not found", 0),"Missing")</f>
        <v>15.387509135429376</v>
      </c>
      <c r="S49" s="5" cm="1">
        <f t="array" ref="S49">_xlfn.SWITCH(F49,"R",_xlfn.XLOOKUP(E49&amp;"|"&amp;B49,
        Calculate_cap_ener!$I$14:$I$21&amp;"|"&amp;Calculate_cap_ener!$L$14:$L$21,
        Calculate_cap_ener!$AX$14:$AX$21, "Not found", 0),"Rb",_xlfn.XLOOKUP(E49&amp;"|"&amp;B49,
        Calculate_cap_ener!$I$14:$I$21&amp;"|"&amp;Calculate_cap_ener!$L$14:$L$21,
        Calculate_cap_ener!$AZ$14:$AZ$21, "Not found", 0),"Rl",_xlfn.XLOOKUP(E49&amp;"|"&amp;B49,
        Calculate_cap_ener!$I$14:$I$21&amp;"|"&amp;Calculate_cap_ener!$L$14:$L$21,
        Calculate_cap_ener!$BA$14:$BA$21, "Not found", 0),"HP",_xlfn.XLOOKUP(E49&amp;"|"&amp;B49,
        Calculate_cap_ener!$I$14:$I$21&amp;"|"&amp;Calculate_cap_ener!$L$14:$L$21,
        Calculate_cap_ener!$AY$14:$AY$21, "Not found", 0),"HPl",_xlfn.XLOOKUP(E49&amp;"|"&amp;B49,
        Calculate_cap_ener!$I$14:$I$21&amp;"|"&amp;Calculate_cap_ener!$L$14:$L$21,
        Calculate_cap_ener!$BB$14:$BB$21, "Not found", 0),"Missing")</f>
        <v>90.320834391341165</v>
      </c>
      <c r="T49" s="5" cm="1">
        <f t="array" ref="T49">_xlfn.SWITCH(F49,"R",_xlfn.XLOOKUP(E49&amp;"|"&amp;B49,
        Calculate_cap_ener!$I$14:$I$21&amp;"|"&amp;Calculate_cap_ener!$L$14:$L$21,
        Calculate_cap_ener!$BE$14:$BE$21, "Not found", 0),"Rb",_xlfn.XLOOKUP(E49&amp;"|"&amp;B49,
        Calculate_cap_ener!$I$14:$I$21&amp;"|"&amp;Calculate_cap_ener!$L$14:$L$21,
        Calculate_cap_ener!$BG$14:$BG$21, "Not found", 0),"Rl",_xlfn.XLOOKUP(E49&amp;"|"&amp;B49,
        Calculate_cap_ener!$I$14:$I$21&amp;"|"&amp;Calculate_cap_ener!$L$14:$L$21,
        Calculate_cap_ener!$BH$14:$BH$21, "Not found", 0),"HP",_xlfn.XLOOKUP(E49&amp;"|"&amp;B49,
        Calculate_cap_ener!$I$14:$I$21&amp;"|"&amp;Calculate_cap_ener!$L$14:$L$21,
        Calculate_cap_ener!$BF$14:$BF$21, "Not found", 0),"HPl",_xlfn.XLOOKUP(E49&amp;"|"&amp;B49,
        Calculate_cap_ener!$I$14:$I$21&amp;"|"&amp;Calculate_cap_ener!$L$14:$L$21,
        Calculate_cap_ener!$BI$14:$BI$21, "Not found", 0),"Missing")</f>
        <v>0</v>
      </c>
    </row>
    <row r="50" spans="1:20" x14ac:dyDescent="0.25">
      <c r="A50" s="5" t="s">
        <v>4</v>
      </c>
      <c r="B50" s="5" t="str">
        <f t="shared" si="0"/>
        <v>Mass-Nom</v>
      </c>
      <c r="C50" s="5" t="str">
        <f t="shared" si="1"/>
        <v>Mass</v>
      </c>
      <c r="D50" s="5" t="str">
        <f t="shared" si="2"/>
        <v>Nom</v>
      </c>
      <c r="E50" s="5" t="s">
        <v>3</v>
      </c>
      <c r="F50" s="5" t="s">
        <v>16</v>
      </c>
      <c r="G50" s="5"/>
      <c r="H50" s="5" cm="1">
        <f t="array" ref="H50">_xlfn.SWITCH(F50,"HP",_xlfn.XLOOKUP(E50&amp;"|"&amp;B50,
        Calculate_cap_ener!$I$14:$I$21&amp;"|"&amp;Calculate_cap_ener!$L$14:$L$21,
        Calculate_cap_ener!$X$14:$X$21, "Not found", 0),"HPl",_xlfn.XLOOKUP(E50&amp;"|"&amp;B50,
        Calculate_cap_ener!$I$14:$I$21&amp;"|"&amp;Calculate_cap_ener!$L$14:$L$21,
        Calculate_cap_ener!$AA$14:$AA$21, "Not found", 0),)</f>
        <v>11</v>
      </c>
      <c r="I50" s="5"/>
      <c r="J50" s="5"/>
      <c r="K50" s="5"/>
      <c r="L50" s="5" cm="1">
        <f t="array" ref="L50">_xlfn.SWITCH(F50,"R",_xlfn.XLOOKUP(E50&amp;"|"&amp;B50,
        Calculate_cap_ener!$I$14:$I$21&amp;"|"&amp;Calculate_cap_ener!$L$14:$L$21,
        Calculate_cap_ener!$AC$14:$AC$21, "Not found", 0),"Rb",_xlfn.XLOOKUP(E50&amp;"|"&amp;B50,
        Calculate_cap_ener!$I$14:$I$21&amp;"|"&amp;Calculate_cap_ener!$L$14:$L$21,
        Calculate_cap_ener!$AE$14:$AE$21, "Not found", 0),"Rl",_xlfn.XLOOKUP(E50&amp;"|"&amp;B50,
        Calculate_cap_ener!$I$14:$I$21&amp;"|"&amp;Calculate_cap_ener!$L$14:$L$21,
        Calculate_cap_ener!$AF$14:$AF$21, "Not found", 0),"HP",_xlfn.XLOOKUP(E50&amp;"|"&amp;B50,
        Calculate_cap_ener!$I$14:$I$21&amp;"|"&amp;Calculate_cap_ener!$L$14:$L$21,
        Calculate_cap_ener!$AD$14:$AD$21, "Not found", 0),"HPl",_xlfn.XLOOKUP(E50&amp;"|"&amp;B50,
        Calculate_cap_ener!$I$14:$I$21&amp;"|"&amp;Calculate_cap_ener!$L$14:$L$21,
        Calculate_cap_ener!$AG$14:$AG$21, "Not found", 0),"Missing")</f>
        <v>36866.798664705886</v>
      </c>
      <c r="M50" s="5"/>
      <c r="N50" s="5"/>
      <c r="O50" s="5"/>
      <c r="P50" s="5"/>
      <c r="Q50" s="5" cm="1">
        <f t="array" ref="Q50">_xlfn.SWITCH(F50,"R",_xlfn.XLOOKUP(E50&amp;"|"&amp;B50,
        Calculate_cap_ener!$I$14:$I$21&amp;"|"&amp;Calculate_cap_ener!$L$14:$L$21,
        Calculate_cap_ener!$AJ$14:$AJ$21, "Not found", 0),"Rb",_xlfn.XLOOKUP(E50&amp;"|"&amp;B50,
        Calculate_cap_ener!$I$14:$I$21&amp;"|"&amp;Calculate_cap_ener!$L$14:$L$21,
        Calculate_cap_ener!$AL$14:$AL$21, "Not found", 0),"Rl",_xlfn.XLOOKUP(E50&amp;"|"&amp;B50,
        Calculate_cap_ener!$I$14:$I$21&amp;"|"&amp;Calculate_cap_ener!$L$14:$L$21,
        Calculate_cap_ener!$AM$14:$AM$21, "Not found", 0),"HP",_xlfn.XLOOKUP(E50&amp;"|"&amp;B50,
        Calculate_cap_ener!$I$14:$I$21&amp;"|"&amp;Calculate_cap_ener!$L$14:$L$21,
        Calculate_cap_ener!$AK$14:$AK$21, "Not found", 0),"HPl",_xlfn.XLOOKUP(E50&amp;"|"&amp;B50,
        Calculate_cap_ener!$I$14:$I$21&amp;"|"&amp;Calculate_cap_ener!$L$14:$L$21,
        Calculate_cap_ener!$AN$14:$AN$21, "Not found", 0),"Missing")</f>
        <v>780.31219793684977</v>
      </c>
      <c r="R50" s="5" cm="1">
        <f t="array" ref="R50">_xlfn.SWITCH(F50,"R",_xlfn.XLOOKUP(E50&amp;"|"&amp;B50,
        Calculate_cap_ener!$I$14:$I$21&amp;"|"&amp;Calculate_cap_ener!$L$14:$L$21,
        Calculate_cap_ener!$AQ$14:$AQ$21, "Not found", 0),"Rb",_xlfn.XLOOKUP(E50&amp;"|"&amp;B50,
        Calculate_cap_ener!$I$14:$I$21&amp;"|"&amp;Calculate_cap_ener!$L$14:$L$21,
        Calculate_cap_ener!$AS$14:$AS$21, "Not found", 0),"Rl",_xlfn.XLOOKUP(E50&amp;"|"&amp;B50,
        Calculate_cap_ener!$I$14:$I$21&amp;"|"&amp;Calculate_cap_ener!$L$14:$L$21,
        Calculate_cap_ener!$AT$14:$AT$21, "Not found", 0),"HP",_xlfn.XLOOKUP(E50&amp;"|"&amp;B50,
        Calculate_cap_ener!$I$14:$I$21&amp;"|"&amp;Calculate_cap_ener!$L$14:$L$21,
        Calculate_cap_ener!$AR$14:$AR$21, "Not found", 0),"HPl",_xlfn.XLOOKUP(E50&amp;"|"&amp;B50,
        Calculate_cap_ener!$I$14:$I$21&amp;"|"&amp;Calculate_cap_ener!$L$14:$L$21,
        Calculate_cap_ener!$AU$14:$AU$21, "Not found", 0),"Missing")</f>
        <v>1689.5267676000001</v>
      </c>
      <c r="S50" s="5" cm="1">
        <f t="array" ref="S50">_xlfn.SWITCH(F50,"R",_xlfn.XLOOKUP(E50&amp;"|"&amp;B50,
        Calculate_cap_ener!$I$14:$I$21&amp;"|"&amp;Calculate_cap_ener!$L$14:$L$21,
        Calculate_cap_ener!$AX$14:$AX$21, "Not found", 0),"Rb",_xlfn.XLOOKUP(E50&amp;"|"&amp;B50,
        Calculate_cap_ener!$I$14:$I$21&amp;"|"&amp;Calculate_cap_ener!$L$14:$L$21,
        Calculate_cap_ener!$AZ$14:$AZ$21, "Not found", 0),"Rl",_xlfn.XLOOKUP(E50&amp;"|"&amp;B50,
        Calculate_cap_ener!$I$14:$I$21&amp;"|"&amp;Calculate_cap_ener!$L$14:$L$21,
        Calculate_cap_ener!$BA$14:$BA$21, "Not found", 0),"HP",_xlfn.XLOOKUP(E50&amp;"|"&amp;B50,
        Calculate_cap_ener!$I$14:$I$21&amp;"|"&amp;Calculate_cap_ener!$L$14:$L$21,
        Calculate_cap_ener!$AY$14:$AY$21, "Not found", 0),"HPl",_xlfn.XLOOKUP(E50&amp;"|"&amp;B50,
        Calculate_cap_ener!$I$14:$I$21&amp;"|"&amp;Calculate_cap_ener!$L$14:$L$21,
        Calculate_cap_ener!$BB$14:$BB$21, "Not found", 0),"Missing")</f>
        <v>8469.5140581176456</v>
      </c>
      <c r="T50" s="5" cm="1">
        <f t="array" ref="T50">_xlfn.SWITCH(F50,"R",_xlfn.XLOOKUP(E50&amp;"|"&amp;B50,
        Calculate_cap_ener!$I$14:$I$21&amp;"|"&amp;Calculate_cap_ener!$L$14:$L$21,
        Calculate_cap_ener!$BE$14:$BE$21, "Not found", 0),"Rb",_xlfn.XLOOKUP(E50&amp;"|"&amp;B50,
        Calculate_cap_ener!$I$14:$I$21&amp;"|"&amp;Calculate_cap_ener!$L$14:$L$21,
        Calculate_cap_ener!$BG$14:$BG$21, "Not found", 0),"Rl",_xlfn.XLOOKUP(E50&amp;"|"&amp;B50,
        Calculate_cap_ener!$I$14:$I$21&amp;"|"&amp;Calculate_cap_ener!$L$14:$L$21,
        Calculate_cap_ener!$BH$14:$BH$21, "Not found", 0),"HP",_xlfn.XLOOKUP(E50&amp;"|"&amp;B50,
        Calculate_cap_ener!$I$14:$I$21&amp;"|"&amp;Calculate_cap_ener!$L$14:$L$21,
        Calculate_cap_ener!$BF$14:$BF$21, "Not found", 0),"HPl",_xlfn.XLOOKUP(E50&amp;"|"&amp;B50,
        Calculate_cap_ener!$I$14:$I$21&amp;"|"&amp;Calculate_cap_ener!$L$14:$L$21,
        Calculate_cap_ener!$BI$14:$BI$21, "Not found", 0),"Missing")</f>
        <v>8228.4675591176474</v>
      </c>
    </row>
    <row r="51" spans="1:20" x14ac:dyDescent="0.25">
      <c r="A51" s="5" t="s">
        <v>2</v>
      </c>
      <c r="B51" s="5" t="str">
        <f t="shared" si="0"/>
        <v>Mass-Nom</v>
      </c>
      <c r="C51" s="5" t="str">
        <f t="shared" si="1"/>
        <v>Mass</v>
      </c>
      <c r="D51" s="5" t="str">
        <f t="shared" si="2"/>
        <v>Nom</v>
      </c>
      <c r="E51" s="5" t="s">
        <v>3</v>
      </c>
      <c r="F51" s="5" t="s">
        <v>16</v>
      </c>
      <c r="G51" s="5"/>
      <c r="H51" s="5" cm="1">
        <f t="array" ref="H51">_xlfn.SWITCH(F51,"HP",_xlfn.XLOOKUP(E51&amp;"|"&amp;B51,
        Calculate_cap_ener!$I$14:$I$21&amp;"|"&amp;Calculate_cap_ener!$L$14:$L$21,
        Calculate_cap_ener!$X$14:$X$21, "Not found", 0),"HPl",_xlfn.XLOOKUP(E51&amp;"|"&amp;B51,
        Calculate_cap_ener!$I$14:$I$21&amp;"|"&amp;Calculate_cap_ener!$L$14:$L$21,
        Calculate_cap_ener!$AA$14:$AA$21, "Not found", 0),)</f>
        <v>11</v>
      </c>
      <c r="I51" s="5"/>
      <c r="J51" s="5"/>
      <c r="K51" s="5"/>
      <c r="L51" s="5" cm="1">
        <f t="array" ref="L51">_xlfn.SWITCH(F51,"R",_xlfn.XLOOKUP(E51&amp;"|"&amp;B51,
        Calculate_cap_ener!$I$14:$I$21&amp;"|"&amp;Calculate_cap_ener!$L$14:$L$21,
        Calculate_cap_ener!$AC$14:$AC$21, "Not found", 0),"Rb",_xlfn.XLOOKUP(E51&amp;"|"&amp;B51,
        Calculate_cap_ener!$I$14:$I$21&amp;"|"&amp;Calculate_cap_ener!$L$14:$L$21,
        Calculate_cap_ener!$AE$14:$AE$21, "Not found", 0),"Rl",_xlfn.XLOOKUP(E51&amp;"|"&amp;B51,
        Calculate_cap_ener!$I$14:$I$21&amp;"|"&amp;Calculate_cap_ener!$L$14:$L$21,
        Calculate_cap_ener!$AF$14:$AF$21, "Not found", 0),"HP",_xlfn.XLOOKUP(E51&amp;"|"&amp;B51,
        Calculate_cap_ener!$I$14:$I$21&amp;"|"&amp;Calculate_cap_ener!$L$14:$L$21,
        Calculate_cap_ener!$AD$14:$AD$21, "Not found", 0),"HPl",_xlfn.XLOOKUP(E51&amp;"|"&amp;B51,
        Calculate_cap_ener!$I$14:$I$21&amp;"|"&amp;Calculate_cap_ener!$L$14:$L$21,
        Calculate_cap_ener!$AG$14:$AG$21, "Not found", 0),"Missing")</f>
        <v>36866.798664705886</v>
      </c>
      <c r="M51" s="5"/>
      <c r="N51" s="5"/>
      <c r="O51" s="5"/>
      <c r="P51" s="5"/>
      <c r="Q51" s="5" cm="1">
        <f t="array" ref="Q51">_xlfn.SWITCH(F51,"R",_xlfn.XLOOKUP(E51&amp;"|"&amp;B51,
        Calculate_cap_ener!$I$14:$I$21&amp;"|"&amp;Calculate_cap_ener!$L$14:$L$21,
        Calculate_cap_ener!$AJ$14:$AJ$21, "Not found", 0),"Rb",_xlfn.XLOOKUP(E51&amp;"|"&amp;B51,
        Calculate_cap_ener!$I$14:$I$21&amp;"|"&amp;Calculate_cap_ener!$L$14:$L$21,
        Calculate_cap_ener!$AL$14:$AL$21, "Not found", 0),"Rl",_xlfn.XLOOKUP(E51&amp;"|"&amp;B51,
        Calculate_cap_ener!$I$14:$I$21&amp;"|"&amp;Calculate_cap_ener!$L$14:$L$21,
        Calculate_cap_ener!$AM$14:$AM$21, "Not found", 0),"HP",_xlfn.XLOOKUP(E51&amp;"|"&amp;B51,
        Calculate_cap_ener!$I$14:$I$21&amp;"|"&amp;Calculate_cap_ener!$L$14:$L$21,
        Calculate_cap_ener!$AK$14:$AK$21, "Not found", 0),"HPl",_xlfn.XLOOKUP(E51&amp;"|"&amp;B51,
        Calculate_cap_ener!$I$14:$I$21&amp;"|"&amp;Calculate_cap_ener!$L$14:$L$21,
        Calculate_cap_ener!$AN$14:$AN$21, "Not found", 0),"Missing")</f>
        <v>780.31219793684977</v>
      </c>
      <c r="R51" s="5" cm="1">
        <f t="array" ref="R51">_xlfn.SWITCH(F51,"R",_xlfn.XLOOKUP(E51&amp;"|"&amp;B51,
        Calculate_cap_ener!$I$14:$I$21&amp;"|"&amp;Calculate_cap_ener!$L$14:$L$21,
        Calculate_cap_ener!$AQ$14:$AQ$21, "Not found", 0),"Rb",_xlfn.XLOOKUP(E51&amp;"|"&amp;B51,
        Calculate_cap_ener!$I$14:$I$21&amp;"|"&amp;Calculate_cap_ener!$L$14:$L$21,
        Calculate_cap_ener!$AS$14:$AS$21, "Not found", 0),"Rl",_xlfn.XLOOKUP(E51&amp;"|"&amp;B51,
        Calculate_cap_ener!$I$14:$I$21&amp;"|"&amp;Calculate_cap_ener!$L$14:$L$21,
        Calculate_cap_ener!$AT$14:$AT$21, "Not found", 0),"HP",_xlfn.XLOOKUP(E51&amp;"|"&amp;B51,
        Calculate_cap_ener!$I$14:$I$21&amp;"|"&amp;Calculate_cap_ener!$L$14:$L$21,
        Calculate_cap_ener!$AR$14:$AR$21, "Not found", 0),"HPl",_xlfn.XLOOKUP(E51&amp;"|"&amp;B51,
        Calculate_cap_ener!$I$14:$I$21&amp;"|"&amp;Calculate_cap_ener!$L$14:$L$21,
        Calculate_cap_ener!$AU$14:$AU$21, "Not found", 0),"Missing")</f>
        <v>1689.5267676000001</v>
      </c>
      <c r="S51" s="5" cm="1">
        <f t="array" ref="S51">_xlfn.SWITCH(F51,"R",_xlfn.XLOOKUP(E51&amp;"|"&amp;B51,
        Calculate_cap_ener!$I$14:$I$21&amp;"|"&amp;Calculate_cap_ener!$L$14:$L$21,
        Calculate_cap_ener!$AX$14:$AX$21, "Not found", 0),"Rb",_xlfn.XLOOKUP(E51&amp;"|"&amp;B51,
        Calculate_cap_ener!$I$14:$I$21&amp;"|"&amp;Calculate_cap_ener!$L$14:$L$21,
        Calculate_cap_ener!$AZ$14:$AZ$21, "Not found", 0),"Rl",_xlfn.XLOOKUP(E51&amp;"|"&amp;B51,
        Calculate_cap_ener!$I$14:$I$21&amp;"|"&amp;Calculate_cap_ener!$L$14:$L$21,
        Calculate_cap_ener!$BA$14:$BA$21, "Not found", 0),"HP",_xlfn.XLOOKUP(E51&amp;"|"&amp;B51,
        Calculate_cap_ener!$I$14:$I$21&amp;"|"&amp;Calculate_cap_ener!$L$14:$L$21,
        Calculate_cap_ener!$AY$14:$AY$21, "Not found", 0),"HPl",_xlfn.XLOOKUP(E51&amp;"|"&amp;B51,
        Calculate_cap_ener!$I$14:$I$21&amp;"|"&amp;Calculate_cap_ener!$L$14:$L$21,
        Calculate_cap_ener!$BB$14:$BB$21, "Not found", 0),"Missing")</f>
        <v>8469.5140581176456</v>
      </c>
      <c r="T51" s="5" cm="1">
        <f t="array" ref="T51">_xlfn.SWITCH(F51,"R",_xlfn.XLOOKUP(E51&amp;"|"&amp;B51,
        Calculate_cap_ener!$I$14:$I$21&amp;"|"&amp;Calculate_cap_ener!$L$14:$L$21,
        Calculate_cap_ener!$BE$14:$BE$21, "Not found", 0),"Rb",_xlfn.XLOOKUP(E51&amp;"|"&amp;B51,
        Calculate_cap_ener!$I$14:$I$21&amp;"|"&amp;Calculate_cap_ener!$L$14:$L$21,
        Calculate_cap_ener!$BG$14:$BG$21, "Not found", 0),"Rl",_xlfn.XLOOKUP(E51&amp;"|"&amp;B51,
        Calculate_cap_ener!$I$14:$I$21&amp;"|"&amp;Calculate_cap_ener!$L$14:$L$21,
        Calculate_cap_ener!$BH$14:$BH$21, "Not found", 0),"HP",_xlfn.XLOOKUP(E51&amp;"|"&amp;B51,
        Calculate_cap_ener!$I$14:$I$21&amp;"|"&amp;Calculate_cap_ener!$L$14:$L$21,
        Calculate_cap_ener!$BF$14:$BF$21, "Not found", 0),"HPl",_xlfn.XLOOKUP(E51&amp;"|"&amp;B51,
        Calculate_cap_ener!$I$14:$I$21&amp;"|"&amp;Calculate_cap_ener!$L$14:$L$21,
        Calculate_cap_ener!$BI$14:$BI$21, "Not found", 0),"Missing")</f>
        <v>8228.4675591176474</v>
      </c>
    </row>
    <row r="52" spans="1:20" x14ac:dyDescent="0.25">
      <c r="A52" s="5" t="s">
        <v>5</v>
      </c>
      <c r="B52" s="5" t="str">
        <f t="shared" si="0"/>
        <v>Mass-H1</v>
      </c>
      <c r="C52" s="5" t="str">
        <f t="shared" si="1"/>
        <v>Mass</v>
      </c>
      <c r="D52" s="5" t="str">
        <f t="shared" si="2"/>
        <v>H1</v>
      </c>
      <c r="E52" s="5" t="s">
        <v>3</v>
      </c>
      <c r="F52" s="5" t="s">
        <v>16</v>
      </c>
      <c r="G52" s="5"/>
      <c r="H52" s="5" cm="1">
        <f t="array" ref="H52">_xlfn.SWITCH(F52,"HP",_xlfn.XLOOKUP(E52&amp;"|"&amp;B52,
        Calculate_cap_ener!$I$14:$I$21&amp;"|"&amp;Calculate_cap_ener!$L$14:$L$21,
        Calculate_cap_ener!$X$14:$X$21, "Not found", 0),"HPl",_xlfn.XLOOKUP(E52&amp;"|"&amp;B52,
        Calculate_cap_ener!$I$14:$I$21&amp;"|"&amp;Calculate_cap_ener!$L$14:$L$21,
        Calculate_cap_ener!$AA$14:$AA$21, "Not found", 0),)</f>
        <v>6.5</v>
      </c>
      <c r="I52" s="5"/>
      <c r="J52" s="5"/>
      <c r="K52" s="5"/>
      <c r="L52" s="5" cm="1">
        <f t="array" ref="L52">_xlfn.SWITCH(F52,"R",_xlfn.XLOOKUP(E52&amp;"|"&amp;B52,
        Calculate_cap_ener!$I$14:$I$21&amp;"|"&amp;Calculate_cap_ener!$L$14:$L$21,
        Calculate_cap_ener!$AC$14:$AC$21, "Not found", 0),"Rb",_xlfn.XLOOKUP(E52&amp;"|"&amp;B52,
        Calculate_cap_ener!$I$14:$I$21&amp;"|"&amp;Calculate_cap_ener!$L$14:$L$21,
        Calculate_cap_ener!$AE$14:$AE$21, "Not found", 0),"Rl",_xlfn.XLOOKUP(E52&amp;"|"&amp;B52,
        Calculate_cap_ener!$I$14:$I$21&amp;"|"&amp;Calculate_cap_ener!$L$14:$L$21,
        Calculate_cap_ener!$AF$14:$AF$21, "Not found", 0),"HP",_xlfn.XLOOKUP(E52&amp;"|"&amp;B52,
        Calculate_cap_ener!$I$14:$I$21&amp;"|"&amp;Calculate_cap_ener!$L$14:$L$21,
        Calculate_cap_ener!$AD$14:$AD$21, "Not found", 0),"HPl",_xlfn.XLOOKUP(E52&amp;"|"&amp;B52,
        Calculate_cap_ener!$I$14:$I$21&amp;"|"&amp;Calculate_cap_ener!$L$14:$L$21,
        Calculate_cap_ener!$AG$14:$AG$21, "Not found", 0),"Missing")</f>
        <v>32134.631092941177</v>
      </c>
      <c r="M52" s="5"/>
      <c r="N52" s="5"/>
      <c r="O52" s="5"/>
      <c r="P52" s="5"/>
      <c r="Q52" s="5" cm="1">
        <f t="array" ref="Q52">_xlfn.SWITCH(F52,"R",_xlfn.XLOOKUP(E52&amp;"|"&amp;B52,
        Calculate_cap_ener!$I$14:$I$21&amp;"|"&amp;Calculate_cap_ener!$L$14:$L$21,
        Calculate_cap_ener!$AJ$14:$AJ$21, "Not found", 0),"Rb",_xlfn.XLOOKUP(E52&amp;"|"&amp;B52,
        Calculate_cap_ener!$I$14:$I$21&amp;"|"&amp;Calculate_cap_ener!$L$14:$L$21,
        Calculate_cap_ener!$AL$14:$AL$21, "Not found", 0),"Rl",_xlfn.XLOOKUP(E52&amp;"|"&amp;B52,
        Calculate_cap_ener!$I$14:$I$21&amp;"|"&amp;Calculate_cap_ener!$L$14:$L$21,
        Calculate_cap_ener!$AM$14:$AM$21, "Not found", 0),"HP",_xlfn.XLOOKUP(E52&amp;"|"&amp;B52,
        Calculate_cap_ener!$I$14:$I$21&amp;"|"&amp;Calculate_cap_ener!$L$14:$L$21,
        Calculate_cap_ener!$AK$14:$AK$21, "Not found", 0),"HPl",_xlfn.XLOOKUP(E52&amp;"|"&amp;B52,
        Calculate_cap_ener!$I$14:$I$21&amp;"|"&amp;Calculate_cap_ener!$L$14:$L$21,
        Calculate_cap_ener!$AN$14:$AN$21, "Not found", 0),"Missing")</f>
        <v>581.32138067218239</v>
      </c>
      <c r="R52" s="5" cm="1">
        <f t="array" ref="R52">_xlfn.SWITCH(F52,"R",_xlfn.XLOOKUP(E52&amp;"|"&amp;B52,
        Calculate_cap_ener!$I$14:$I$21&amp;"|"&amp;Calculate_cap_ener!$L$14:$L$21,
        Calculate_cap_ener!$AQ$14:$AQ$21, "Not found", 0),"Rb",_xlfn.XLOOKUP(E52&amp;"|"&amp;B52,
        Calculate_cap_ener!$I$14:$I$21&amp;"|"&amp;Calculate_cap_ener!$L$14:$L$21,
        Calculate_cap_ener!$AS$14:$AS$21, "Not found", 0),"Rl",_xlfn.XLOOKUP(E52&amp;"|"&amp;B52,
        Calculate_cap_ener!$I$14:$I$21&amp;"|"&amp;Calculate_cap_ener!$L$14:$L$21,
        Calculate_cap_ener!$AT$14:$AT$21, "Not found", 0),"HP",_xlfn.XLOOKUP(E52&amp;"|"&amp;B52,
        Calculate_cap_ener!$I$14:$I$21&amp;"|"&amp;Calculate_cap_ener!$L$14:$L$21,
        Calculate_cap_ener!$AR$14:$AR$21, "Not found", 0),"HPl",_xlfn.XLOOKUP(E52&amp;"|"&amp;B52,
        Calculate_cap_ener!$I$14:$I$21&amp;"|"&amp;Calculate_cap_ener!$L$14:$L$21,
        Calculate_cap_ener!$AU$14:$AU$21, "Not found", 0),"Missing")</f>
        <v>1385.8191882705883</v>
      </c>
      <c r="S52" s="5" cm="1">
        <f t="array" ref="S52">_xlfn.SWITCH(F52,"R",_xlfn.XLOOKUP(E52&amp;"|"&amp;B52,
        Calculate_cap_ener!$I$14:$I$21&amp;"|"&amp;Calculate_cap_ener!$L$14:$L$21,
        Calculate_cap_ener!$AX$14:$AX$21, "Not found", 0),"Rb",_xlfn.XLOOKUP(E52&amp;"|"&amp;B52,
        Calculate_cap_ener!$I$14:$I$21&amp;"|"&amp;Calculate_cap_ener!$L$14:$L$21,
        Calculate_cap_ener!$AZ$14:$AZ$21, "Not found", 0),"Rl",_xlfn.XLOOKUP(E52&amp;"|"&amp;B52,
        Calculate_cap_ener!$I$14:$I$21&amp;"|"&amp;Calculate_cap_ener!$L$14:$L$21,
        Calculate_cap_ener!$BA$14:$BA$21, "Not found", 0),"HP",_xlfn.XLOOKUP(E52&amp;"|"&amp;B52,
        Calculate_cap_ener!$I$14:$I$21&amp;"|"&amp;Calculate_cap_ener!$L$14:$L$21,
        Calculate_cap_ener!$AY$14:$AY$21, "Not found", 0),"HPl",_xlfn.XLOOKUP(E52&amp;"|"&amp;B52,
        Calculate_cap_ener!$I$14:$I$21&amp;"|"&amp;Calculate_cap_ener!$L$14:$L$21,
        Calculate_cap_ener!$BB$14:$BB$21, "Not found", 0),"Missing")</f>
        <v>6795.3958991176469</v>
      </c>
      <c r="T52" s="5" cm="1">
        <f t="array" ref="T52">_xlfn.SWITCH(F52,"R",_xlfn.XLOOKUP(E52&amp;"|"&amp;B52,
        Calculate_cap_ener!$I$14:$I$21&amp;"|"&amp;Calculate_cap_ener!$L$14:$L$21,
        Calculate_cap_ener!$BE$14:$BE$21, "Not found", 0),"Rb",_xlfn.XLOOKUP(E52&amp;"|"&amp;B52,
        Calculate_cap_ener!$I$14:$I$21&amp;"|"&amp;Calculate_cap_ener!$L$14:$L$21,
        Calculate_cap_ener!$BG$14:$BG$21, "Not found", 0),"Rl",_xlfn.XLOOKUP(E52&amp;"|"&amp;B52,
        Calculate_cap_ener!$I$14:$I$21&amp;"|"&amp;Calculate_cap_ener!$L$14:$L$21,
        Calculate_cap_ener!$BH$14:$BH$21, "Not found", 0),"HP",_xlfn.XLOOKUP(E52&amp;"|"&amp;B52,
        Calculate_cap_ener!$I$14:$I$21&amp;"|"&amp;Calculate_cap_ener!$L$14:$L$21,
        Calculate_cap_ener!$BF$14:$BF$21, "Not found", 0),"HPl",_xlfn.XLOOKUP(E52&amp;"|"&amp;B52,
        Calculate_cap_ener!$I$14:$I$21&amp;"|"&amp;Calculate_cap_ener!$L$14:$L$21,
        Calculate_cap_ener!$BI$14:$BI$21, "Not found", 0),"Missing")</f>
        <v>7331.117875941176</v>
      </c>
    </row>
    <row r="53" spans="1:20" x14ac:dyDescent="0.25">
      <c r="A53" s="5" t="s">
        <v>6</v>
      </c>
      <c r="B53" s="5" t="str">
        <f t="shared" si="0"/>
        <v>Mass-H1</v>
      </c>
      <c r="C53" s="5" t="str">
        <f t="shared" si="1"/>
        <v>Mass</v>
      </c>
      <c r="D53" s="5" t="str">
        <f t="shared" si="2"/>
        <v>H1</v>
      </c>
      <c r="E53" s="5" t="s">
        <v>3</v>
      </c>
      <c r="F53" s="5" t="s">
        <v>16</v>
      </c>
      <c r="G53" s="5"/>
      <c r="H53" s="5" cm="1">
        <f t="array" ref="H53">_xlfn.SWITCH(F53,"HP",_xlfn.XLOOKUP(E53&amp;"|"&amp;B53,
        Calculate_cap_ener!$I$14:$I$21&amp;"|"&amp;Calculate_cap_ener!$L$14:$L$21,
        Calculate_cap_ener!$X$14:$X$21, "Not found", 0),"HPl",_xlfn.XLOOKUP(E53&amp;"|"&amp;B53,
        Calculate_cap_ener!$I$14:$I$21&amp;"|"&amp;Calculate_cap_ener!$L$14:$L$21,
        Calculate_cap_ener!$AA$14:$AA$21, "Not found", 0),)</f>
        <v>6.5</v>
      </c>
      <c r="I53" s="5"/>
      <c r="J53" s="5"/>
      <c r="K53" s="5"/>
      <c r="L53" s="5" cm="1">
        <f t="array" ref="L53">_xlfn.SWITCH(F53,"R",_xlfn.XLOOKUP(E53&amp;"|"&amp;B53,
        Calculate_cap_ener!$I$14:$I$21&amp;"|"&amp;Calculate_cap_ener!$L$14:$L$21,
        Calculate_cap_ener!$AC$14:$AC$21, "Not found", 0),"Rb",_xlfn.XLOOKUP(E53&amp;"|"&amp;B53,
        Calculate_cap_ener!$I$14:$I$21&amp;"|"&amp;Calculate_cap_ener!$L$14:$L$21,
        Calculate_cap_ener!$AE$14:$AE$21, "Not found", 0),"Rl",_xlfn.XLOOKUP(E53&amp;"|"&amp;B53,
        Calculate_cap_ener!$I$14:$I$21&amp;"|"&amp;Calculate_cap_ener!$L$14:$L$21,
        Calculate_cap_ener!$AF$14:$AF$21, "Not found", 0),"HP",_xlfn.XLOOKUP(E53&amp;"|"&amp;B53,
        Calculate_cap_ener!$I$14:$I$21&amp;"|"&amp;Calculate_cap_ener!$L$14:$L$21,
        Calculate_cap_ener!$AD$14:$AD$21, "Not found", 0),"HPl",_xlfn.XLOOKUP(E53&amp;"|"&amp;B53,
        Calculate_cap_ener!$I$14:$I$21&amp;"|"&amp;Calculate_cap_ener!$L$14:$L$21,
        Calculate_cap_ener!$AG$14:$AG$21, "Not found", 0),"Missing")</f>
        <v>32134.631092941177</v>
      </c>
      <c r="M53" s="5"/>
      <c r="N53" s="5"/>
      <c r="O53" s="5"/>
      <c r="P53" s="5"/>
      <c r="Q53" s="5" cm="1">
        <f t="array" ref="Q53">_xlfn.SWITCH(F53,"R",_xlfn.XLOOKUP(E53&amp;"|"&amp;B53,
        Calculate_cap_ener!$I$14:$I$21&amp;"|"&amp;Calculate_cap_ener!$L$14:$L$21,
        Calculate_cap_ener!$AJ$14:$AJ$21, "Not found", 0),"Rb",_xlfn.XLOOKUP(E53&amp;"|"&amp;B53,
        Calculate_cap_ener!$I$14:$I$21&amp;"|"&amp;Calculate_cap_ener!$L$14:$L$21,
        Calculate_cap_ener!$AL$14:$AL$21, "Not found", 0),"Rl",_xlfn.XLOOKUP(E53&amp;"|"&amp;B53,
        Calculate_cap_ener!$I$14:$I$21&amp;"|"&amp;Calculate_cap_ener!$L$14:$L$21,
        Calculate_cap_ener!$AM$14:$AM$21, "Not found", 0),"HP",_xlfn.XLOOKUP(E53&amp;"|"&amp;B53,
        Calculate_cap_ener!$I$14:$I$21&amp;"|"&amp;Calculate_cap_ener!$L$14:$L$21,
        Calculate_cap_ener!$AK$14:$AK$21, "Not found", 0),"HPl",_xlfn.XLOOKUP(E53&amp;"|"&amp;B53,
        Calculate_cap_ener!$I$14:$I$21&amp;"|"&amp;Calculate_cap_ener!$L$14:$L$21,
        Calculate_cap_ener!$AN$14:$AN$21, "Not found", 0),"Missing")</f>
        <v>581.32138067218239</v>
      </c>
      <c r="R53" s="5" cm="1">
        <f t="array" ref="R53">_xlfn.SWITCH(F53,"R",_xlfn.XLOOKUP(E53&amp;"|"&amp;B53,
        Calculate_cap_ener!$I$14:$I$21&amp;"|"&amp;Calculate_cap_ener!$L$14:$L$21,
        Calculate_cap_ener!$AQ$14:$AQ$21, "Not found", 0),"Rb",_xlfn.XLOOKUP(E53&amp;"|"&amp;B53,
        Calculate_cap_ener!$I$14:$I$21&amp;"|"&amp;Calculate_cap_ener!$L$14:$L$21,
        Calculate_cap_ener!$AS$14:$AS$21, "Not found", 0),"Rl",_xlfn.XLOOKUP(E53&amp;"|"&amp;B53,
        Calculate_cap_ener!$I$14:$I$21&amp;"|"&amp;Calculate_cap_ener!$L$14:$L$21,
        Calculate_cap_ener!$AT$14:$AT$21, "Not found", 0),"HP",_xlfn.XLOOKUP(E53&amp;"|"&amp;B53,
        Calculate_cap_ener!$I$14:$I$21&amp;"|"&amp;Calculate_cap_ener!$L$14:$L$21,
        Calculate_cap_ener!$AR$14:$AR$21, "Not found", 0),"HPl",_xlfn.XLOOKUP(E53&amp;"|"&amp;B53,
        Calculate_cap_ener!$I$14:$I$21&amp;"|"&amp;Calculate_cap_ener!$L$14:$L$21,
        Calculate_cap_ener!$AU$14:$AU$21, "Not found", 0),"Missing")</f>
        <v>1385.8191882705883</v>
      </c>
      <c r="S53" s="5" cm="1">
        <f t="array" ref="S53">_xlfn.SWITCH(F53,"R",_xlfn.XLOOKUP(E53&amp;"|"&amp;B53,
        Calculate_cap_ener!$I$14:$I$21&amp;"|"&amp;Calculate_cap_ener!$L$14:$L$21,
        Calculate_cap_ener!$AX$14:$AX$21, "Not found", 0),"Rb",_xlfn.XLOOKUP(E53&amp;"|"&amp;B53,
        Calculate_cap_ener!$I$14:$I$21&amp;"|"&amp;Calculate_cap_ener!$L$14:$L$21,
        Calculate_cap_ener!$AZ$14:$AZ$21, "Not found", 0),"Rl",_xlfn.XLOOKUP(E53&amp;"|"&amp;B53,
        Calculate_cap_ener!$I$14:$I$21&amp;"|"&amp;Calculate_cap_ener!$L$14:$L$21,
        Calculate_cap_ener!$BA$14:$BA$21, "Not found", 0),"HP",_xlfn.XLOOKUP(E53&amp;"|"&amp;B53,
        Calculate_cap_ener!$I$14:$I$21&amp;"|"&amp;Calculate_cap_ener!$L$14:$L$21,
        Calculate_cap_ener!$AY$14:$AY$21, "Not found", 0),"HPl",_xlfn.XLOOKUP(E53&amp;"|"&amp;B53,
        Calculate_cap_ener!$I$14:$I$21&amp;"|"&amp;Calculate_cap_ener!$L$14:$L$21,
        Calculate_cap_ener!$BB$14:$BB$21, "Not found", 0),"Missing")</f>
        <v>6795.3958991176469</v>
      </c>
      <c r="T53" s="5" cm="1">
        <f t="array" ref="T53">_xlfn.SWITCH(F53,"R",_xlfn.XLOOKUP(E53&amp;"|"&amp;B53,
        Calculate_cap_ener!$I$14:$I$21&amp;"|"&amp;Calculate_cap_ener!$L$14:$L$21,
        Calculate_cap_ener!$BE$14:$BE$21, "Not found", 0),"Rb",_xlfn.XLOOKUP(E53&amp;"|"&amp;B53,
        Calculate_cap_ener!$I$14:$I$21&amp;"|"&amp;Calculate_cap_ener!$L$14:$L$21,
        Calculate_cap_ener!$BG$14:$BG$21, "Not found", 0),"Rl",_xlfn.XLOOKUP(E53&amp;"|"&amp;B53,
        Calculate_cap_ener!$I$14:$I$21&amp;"|"&amp;Calculate_cap_ener!$L$14:$L$21,
        Calculate_cap_ener!$BH$14:$BH$21, "Not found", 0),"HP",_xlfn.XLOOKUP(E53&amp;"|"&amp;B53,
        Calculate_cap_ener!$I$14:$I$21&amp;"|"&amp;Calculate_cap_ener!$L$14:$L$21,
        Calculate_cap_ener!$BF$14:$BF$21, "Not found", 0),"HPl",_xlfn.XLOOKUP(E53&amp;"|"&amp;B53,
        Calculate_cap_ener!$I$14:$I$21&amp;"|"&amp;Calculate_cap_ener!$L$14:$L$21,
        Calculate_cap_ener!$BI$14:$BI$21, "Not found", 0),"Missing")</f>
        <v>7331.117875941176</v>
      </c>
    </row>
    <row r="54" spans="1:20" x14ac:dyDescent="0.25">
      <c r="A54" s="5" t="s">
        <v>7</v>
      </c>
      <c r="B54" s="5" t="str">
        <f t="shared" si="0"/>
        <v>Mod-Nom</v>
      </c>
      <c r="C54" s="5" t="str">
        <f t="shared" si="1"/>
        <v>Mod</v>
      </c>
      <c r="D54" s="5" t="str">
        <f t="shared" si="2"/>
        <v>Nom</v>
      </c>
      <c r="E54" s="5" t="s">
        <v>3</v>
      </c>
      <c r="F54" s="5" t="s">
        <v>16</v>
      </c>
      <c r="G54" s="5"/>
      <c r="H54" s="5" cm="1">
        <f t="array" ref="H54">_xlfn.SWITCH(F54,"HP",_xlfn.XLOOKUP(E54&amp;"|"&amp;B54,
        Calculate_cap_ener!$I$14:$I$21&amp;"|"&amp;Calculate_cap_ener!$L$14:$L$21,
        Calculate_cap_ener!$X$14:$X$21, "Not found", 0),"HPl",_xlfn.XLOOKUP(E54&amp;"|"&amp;B54,
        Calculate_cap_ener!$I$14:$I$21&amp;"|"&amp;Calculate_cap_ener!$L$14:$L$21,
        Calculate_cap_ener!$AA$14:$AA$21, "Not found", 0),)</f>
        <v>11</v>
      </c>
      <c r="I54" s="5"/>
      <c r="J54" s="5"/>
      <c r="K54" s="5"/>
      <c r="L54" s="5" cm="1">
        <f t="array" ref="L54">_xlfn.SWITCH(F54,"R",_xlfn.XLOOKUP(E54&amp;"|"&amp;B54,
        Calculate_cap_ener!$I$14:$I$21&amp;"|"&amp;Calculate_cap_ener!$L$14:$L$21,
        Calculate_cap_ener!$AC$14:$AC$21, "Not found", 0),"Rb",_xlfn.XLOOKUP(E54&amp;"|"&amp;B54,
        Calculate_cap_ener!$I$14:$I$21&amp;"|"&amp;Calculate_cap_ener!$L$14:$L$21,
        Calculate_cap_ener!$AE$14:$AE$21, "Not found", 0),"Rl",_xlfn.XLOOKUP(E54&amp;"|"&amp;B54,
        Calculate_cap_ener!$I$14:$I$21&amp;"|"&amp;Calculate_cap_ener!$L$14:$L$21,
        Calculate_cap_ener!$AF$14:$AF$21, "Not found", 0),"HP",_xlfn.XLOOKUP(E54&amp;"|"&amp;B54,
        Calculate_cap_ener!$I$14:$I$21&amp;"|"&amp;Calculate_cap_ener!$L$14:$L$21,
        Calculate_cap_ener!$AD$14:$AD$21, "Not found", 0),"HPl",_xlfn.XLOOKUP(E54&amp;"|"&amp;B54,
        Calculate_cap_ener!$I$14:$I$21&amp;"|"&amp;Calculate_cap_ener!$L$14:$L$21,
        Calculate_cap_ener!$AG$14:$AG$21, "Not found", 0),"Missing")</f>
        <v>53142.195095294119</v>
      </c>
      <c r="M54" s="5"/>
      <c r="N54" s="5"/>
      <c r="O54" s="5"/>
      <c r="P54" s="5"/>
      <c r="Q54" s="5" cm="1">
        <f t="array" ref="Q54">_xlfn.SWITCH(F54,"R",_xlfn.XLOOKUP(E54&amp;"|"&amp;B54,
        Calculate_cap_ener!$I$14:$I$21&amp;"|"&amp;Calculate_cap_ener!$L$14:$L$21,
        Calculate_cap_ener!$AJ$14:$AJ$21, "Not found", 0),"Rb",_xlfn.XLOOKUP(E54&amp;"|"&amp;B54,
        Calculate_cap_ener!$I$14:$I$21&amp;"|"&amp;Calculate_cap_ener!$L$14:$L$21,
        Calculate_cap_ener!$AL$14:$AL$21, "Not found", 0),"Rl",_xlfn.XLOOKUP(E54&amp;"|"&amp;B54,
        Calculate_cap_ener!$I$14:$I$21&amp;"|"&amp;Calculate_cap_ener!$L$14:$L$21,
        Calculate_cap_ener!$AM$14:$AM$21, "Not found", 0),"HP",_xlfn.XLOOKUP(E54&amp;"|"&amp;B54,
        Calculate_cap_ener!$I$14:$I$21&amp;"|"&amp;Calculate_cap_ener!$L$14:$L$21,
        Calculate_cap_ener!$AK$14:$AK$21, "Not found", 0),"HPl",_xlfn.XLOOKUP(E54&amp;"|"&amp;B54,
        Calculate_cap_ener!$I$14:$I$21&amp;"|"&amp;Calculate_cap_ener!$L$14:$L$21,
        Calculate_cap_ener!$AN$14:$AN$21, "Not found", 0),"Missing")</f>
        <v>932.80892943064509</v>
      </c>
      <c r="R54" s="5" cm="1">
        <f t="array" ref="R54">_xlfn.SWITCH(F54,"R",_xlfn.XLOOKUP(E54&amp;"|"&amp;B54,
        Calculate_cap_ener!$I$14:$I$21&amp;"|"&amp;Calculate_cap_ener!$L$14:$L$21,
        Calculate_cap_ener!$AQ$14:$AQ$21, "Not found", 0),"Rb",_xlfn.XLOOKUP(E54&amp;"|"&amp;B54,
        Calculate_cap_ener!$I$14:$I$21&amp;"|"&amp;Calculate_cap_ener!$L$14:$L$21,
        Calculate_cap_ener!$AS$14:$AS$21, "Not found", 0),"Rl",_xlfn.XLOOKUP(E54&amp;"|"&amp;B54,
        Calculate_cap_ener!$I$14:$I$21&amp;"|"&amp;Calculate_cap_ener!$L$14:$L$21,
        Calculate_cap_ener!$AT$14:$AT$21, "Not found", 0),"HP",_xlfn.XLOOKUP(E54&amp;"|"&amp;B54,
        Calculate_cap_ener!$I$14:$I$21&amp;"|"&amp;Calculate_cap_ener!$L$14:$L$21,
        Calculate_cap_ener!$AR$14:$AR$21, "Not found", 0),"HPl",_xlfn.XLOOKUP(E54&amp;"|"&amp;B54,
        Calculate_cap_ener!$I$14:$I$21&amp;"|"&amp;Calculate_cap_ener!$L$14:$L$21,
        Calculate_cap_ener!$AU$14:$AU$21, "Not found", 0),"Missing")</f>
        <v>2422.4803875176467</v>
      </c>
      <c r="S54" s="5" cm="1">
        <f t="array" ref="S54">_xlfn.SWITCH(F54,"R",_xlfn.XLOOKUP(E54&amp;"|"&amp;B54,
        Calculate_cap_ener!$I$14:$I$21&amp;"|"&amp;Calculate_cap_ener!$L$14:$L$21,
        Calculate_cap_ener!$AX$14:$AX$21, "Not found", 0),"Rb",_xlfn.XLOOKUP(E54&amp;"|"&amp;B54,
        Calculate_cap_ener!$I$14:$I$21&amp;"|"&amp;Calculate_cap_ener!$L$14:$L$21,
        Calculate_cap_ener!$AZ$14:$AZ$21, "Not found", 0),"Rl",_xlfn.XLOOKUP(E54&amp;"|"&amp;B54,
        Calculate_cap_ener!$I$14:$I$21&amp;"|"&amp;Calculate_cap_ener!$L$14:$L$21,
        Calculate_cap_ener!$BA$14:$BA$21, "Not found", 0),"HP",_xlfn.XLOOKUP(E54&amp;"|"&amp;B54,
        Calculate_cap_ener!$I$14:$I$21&amp;"|"&amp;Calculate_cap_ener!$L$14:$L$21,
        Calculate_cap_ener!$AY$14:$AY$21, "Not found", 0),"HPl",_xlfn.XLOOKUP(E54&amp;"|"&amp;B54,
        Calculate_cap_ener!$I$14:$I$21&amp;"|"&amp;Calculate_cap_ener!$L$14:$L$21,
        Calculate_cap_ener!$BB$14:$BB$21, "Not found", 0),"Missing")</f>
        <v>13297.161322117647</v>
      </c>
      <c r="T54" s="5" cm="1">
        <f t="array" ref="T54">_xlfn.SWITCH(F54,"R",_xlfn.XLOOKUP(E54&amp;"|"&amp;B54,
        Calculate_cap_ener!$I$14:$I$21&amp;"|"&amp;Calculate_cap_ener!$L$14:$L$21,
        Calculate_cap_ener!$BE$14:$BE$21, "Not found", 0),"Rb",_xlfn.XLOOKUP(E54&amp;"|"&amp;B54,
        Calculate_cap_ener!$I$14:$I$21&amp;"|"&amp;Calculate_cap_ener!$L$14:$L$21,
        Calculate_cap_ener!$BG$14:$BG$21, "Not found", 0),"Rl",_xlfn.XLOOKUP(E54&amp;"|"&amp;B54,
        Calculate_cap_ener!$I$14:$I$21&amp;"|"&amp;Calculate_cap_ener!$L$14:$L$21,
        Calculate_cap_ener!$BH$14:$BH$21, "Not found", 0),"HP",_xlfn.XLOOKUP(E54&amp;"|"&amp;B54,
        Calculate_cap_ener!$I$14:$I$21&amp;"|"&amp;Calculate_cap_ener!$L$14:$L$21,
        Calculate_cap_ener!$BF$14:$BF$21, "Not found", 0),"HPl",_xlfn.XLOOKUP(E54&amp;"|"&amp;B54,
        Calculate_cap_ener!$I$14:$I$21&amp;"|"&amp;Calculate_cap_ener!$L$14:$L$21,
        Calculate_cap_ener!$BI$14:$BI$21, "Not found", 0),"Missing")</f>
        <v>12497.435928884614</v>
      </c>
    </row>
    <row r="55" spans="1:20" x14ac:dyDescent="0.25">
      <c r="A55" s="5" t="s">
        <v>8</v>
      </c>
      <c r="B55" s="5" t="str">
        <f t="shared" si="0"/>
        <v>Mod-Nom</v>
      </c>
      <c r="C55" s="5" t="str">
        <f t="shared" si="1"/>
        <v>Mod</v>
      </c>
      <c r="D55" s="5" t="str">
        <f t="shared" si="2"/>
        <v>Nom</v>
      </c>
      <c r="E55" s="5" t="s">
        <v>3</v>
      </c>
      <c r="F55" s="5" t="s">
        <v>16</v>
      </c>
      <c r="G55" s="5"/>
      <c r="H55" s="5" cm="1">
        <f t="array" ref="H55">_xlfn.SWITCH(F55,"HP",_xlfn.XLOOKUP(E55&amp;"|"&amp;B55,
        Calculate_cap_ener!$I$14:$I$21&amp;"|"&amp;Calculate_cap_ener!$L$14:$L$21,
        Calculate_cap_ener!$X$14:$X$21, "Not found", 0),"HPl",_xlfn.XLOOKUP(E55&amp;"|"&amp;B55,
        Calculate_cap_ener!$I$14:$I$21&amp;"|"&amp;Calculate_cap_ener!$L$14:$L$21,
        Calculate_cap_ener!$AA$14:$AA$21, "Not found", 0),)</f>
        <v>11</v>
      </c>
      <c r="I55" s="5"/>
      <c r="J55" s="5"/>
      <c r="K55" s="5"/>
      <c r="L55" s="5" cm="1">
        <f t="array" ref="L55">_xlfn.SWITCH(F55,"R",_xlfn.XLOOKUP(E55&amp;"|"&amp;B55,
        Calculate_cap_ener!$I$14:$I$21&amp;"|"&amp;Calculate_cap_ener!$L$14:$L$21,
        Calculate_cap_ener!$AC$14:$AC$21, "Not found", 0),"Rb",_xlfn.XLOOKUP(E55&amp;"|"&amp;B55,
        Calculate_cap_ener!$I$14:$I$21&amp;"|"&amp;Calculate_cap_ener!$L$14:$L$21,
        Calculate_cap_ener!$AE$14:$AE$21, "Not found", 0),"Rl",_xlfn.XLOOKUP(E55&amp;"|"&amp;B55,
        Calculate_cap_ener!$I$14:$I$21&amp;"|"&amp;Calculate_cap_ener!$L$14:$L$21,
        Calculate_cap_ener!$AF$14:$AF$21, "Not found", 0),"HP",_xlfn.XLOOKUP(E55&amp;"|"&amp;B55,
        Calculate_cap_ener!$I$14:$I$21&amp;"|"&amp;Calculate_cap_ener!$L$14:$L$21,
        Calculate_cap_ener!$AD$14:$AD$21, "Not found", 0),"HPl",_xlfn.XLOOKUP(E55&amp;"|"&amp;B55,
        Calculate_cap_ener!$I$14:$I$21&amp;"|"&amp;Calculate_cap_ener!$L$14:$L$21,
        Calculate_cap_ener!$AG$14:$AG$21, "Not found", 0),"Missing")</f>
        <v>53142.195095294119</v>
      </c>
      <c r="M55" s="5"/>
      <c r="N55" s="5"/>
      <c r="O55" s="5"/>
      <c r="P55" s="5"/>
      <c r="Q55" s="5" cm="1">
        <f t="array" ref="Q55">_xlfn.SWITCH(F55,"R",_xlfn.XLOOKUP(E55&amp;"|"&amp;B55,
        Calculate_cap_ener!$I$14:$I$21&amp;"|"&amp;Calculate_cap_ener!$L$14:$L$21,
        Calculate_cap_ener!$AJ$14:$AJ$21, "Not found", 0),"Rb",_xlfn.XLOOKUP(E55&amp;"|"&amp;B55,
        Calculate_cap_ener!$I$14:$I$21&amp;"|"&amp;Calculate_cap_ener!$L$14:$L$21,
        Calculate_cap_ener!$AL$14:$AL$21, "Not found", 0),"Rl",_xlfn.XLOOKUP(E55&amp;"|"&amp;B55,
        Calculate_cap_ener!$I$14:$I$21&amp;"|"&amp;Calculate_cap_ener!$L$14:$L$21,
        Calculate_cap_ener!$AM$14:$AM$21, "Not found", 0),"HP",_xlfn.XLOOKUP(E55&amp;"|"&amp;B55,
        Calculate_cap_ener!$I$14:$I$21&amp;"|"&amp;Calculate_cap_ener!$L$14:$L$21,
        Calculate_cap_ener!$AK$14:$AK$21, "Not found", 0),"HPl",_xlfn.XLOOKUP(E55&amp;"|"&amp;B55,
        Calculate_cap_ener!$I$14:$I$21&amp;"|"&amp;Calculate_cap_ener!$L$14:$L$21,
        Calculate_cap_ener!$AN$14:$AN$21, "Not found", 0),"Missing")</f>
        <v>932.80892943064509</v>
      </c>
      <c r="R55" s="5" cm="1">
        <f t="array" ref="R55">_xlfn.SWITCH(F55,"R",_xlfn.XLOOKUP(E55&amp;"|"&amp;B55,
        Calculate_cap_ener!$I$14:$I$21&amp;"|"&amp;Calculate_cap_ener!$L$14:$L$21,
        Calculate_cap_ener!$AQ$14:$AQ$21, "Not found", 0),"Rb",_xlfn.XLOOKUP(E55&amp;"|"&amp;B55,
        Calculate_cap_ener!$I$14:$I$21&amp;"|"&amp;Calculate_cap_ener!$L$14:$L$21,
        Calculate_cap_ener!$AS$14:$AS$21, "Not found", 0),"Rl",_xlfn.XLOOKUP(E55&amp;"|"&amp;B55,
        Calculate_cap_ener!$I$14:$I$21&amp;"|"&amp;Calculate_cap_ener!$L$14:$L$21,
        Calculate_cap_ener!$AT$14:$AT$21, "Not found", 0),"HP",_xlfn.XLOOKUP(E55&amp;"|"&amp;B55,
        Calculate_cap_ener!$I$14:$I$21&amp;"|"&amp;Calculate_cap_ener!$L$14:$L$21,
        Calculate_cap_ener!$AR$14:$AR$21, "Not found", 0),"HPl",_xlfn.XLOOKUP(E55&amp;"|"&amp;B55,
        Calculate_cap_ener!$I$14:$I$21&amp;"|"&amp;Calculate_cap_ener!$L$14:$L$21,
        Calculate_cap_ener!$AU$14:$AU$21, "Not found", 0),"Missing")</f>
        <v>2422.4803875176467</v>
      </c>
      <c r="S55" s="5" cm="1">
        <f t="array" ref="S55">_xlfn.SWITCH(F55,"R",_xlfn.XLOOKUP(E55&amp;"|"&amp;B55,
        Calculate_cap_ener!$I$14:$I$21&amp;"|"&amp;Calculate_cap_ener!$L$14:$L$21,
        Calculate_cap_ener!$AX$14:$AX$21, "Not found", 0),"Rb",_xlfn.XLOOKUP(E55&amp;"|"&amp;B55,
        Calculate_cap_ener!$I$14:$I$21&amp;"|"&amp;Calculate_cap_ener!$L$14:$L$21,
        Calculate_cap_ener!$AZ$14:$AZ$21, "Not found", 0),"Rl",_xlfn.XLOOKUP(E55&amp;"|"&amp;B55,
        Calculate_cap_ener!$I$14:$I$21&amp;"|"&amp;Calculate_cap_ener!$L$14:$L$21,
        Calculate_cap_ener!$BA$14:$BA$21, "Not found", 0),"HP",_xlfn.XLOOKUP(E55&amp;"|"&amp;B55,
        Calculate_cap_ener!$I$14:$I$21&amp;"|"&amp;Calculate_cap_ener!$L$14:$L$21,
        Calculate_cap_ener!$AY$14:$AY$21, "Not found", 0),"HPl",_xlfn.XLOOKUP(E55&amp;"|"&amp;B55,
        Calculate_cap_ener!$I$14:$I$21&amp;"|"&amp;Calculate_cap_ener!$L$14:$L$21,
        Calculate_cap_ener!$BB$14:$BB$21, "Not found", 0),"Missing")</f>
        <v>13297.161322117647</v>
      </c>
      <c r="T55" s="5" cm="1">
        <f t="array" ref="T55">_xlfn.SWITCH(F55,"R",_xlfn.XLOOKUP(E55&amp;"|"&amp;B55,
        Calculate_cap_ener!$I$14:$I$21&amp;"|"&amp;Calculate_cap_ener!$L$14:$L$21,
        Calculate_cap_ener!$BE$14:$BE$21, "Not found", 0),"Rb",_xlfn.XLOOKUP(E55&amp;"|"&amp;B55,
        Calculate_cap_ener!$I$14:$I$21&amp;"|"&amp;Calculate_cap_ener!$L$14:$L$21,
        Calculate_cap_ener!$BG$14:$BG$21, "Not found", 0),"Rl",_xlfn.XLOOKUP(E55&amp;"|"&amp;B55,
        Calculate_cap_ener!$I$14:$I$21&amp;"|"&amp;Calculate_cap_ener!$L$14:$L$21,
        Calculate_cap_ener!$BH$14:$BH$21, "Not found", 0),"HP",_xlfn.XLOOKUP(E55&amp;"|"&amp;B55,
        Calculate_cap_ener!$I$14:$I$21&amp;"|"&amp;Calculate_cap_ener!$L$14:$L$21,
        Calculate_cap_ener!$BF$14:$BF$21, "Not found", 0),"HPl",_xlfn.XLOOKUP(E55&amp;"|"&amp;B55,
        Calculate_cap_ener!$I$14:$I$21&amp;"|"&amp;Calculate_cap_ener!$L$14:$L$21,
        Calculate_cap_ener!$BI$14:$BI$21, "Not found", 0),"Missing")</f>
        <v>12497.435928884614</v>
      </c>
    </row>
    <row r="56" spans="1:20" x14ac:dyDescent="0.25">
      <c r="A56" s="5" t="s">
        <v>9</v>
      </c>
      <c r="B56" s="5" t="str">
        <f t="shared" si="0"/>
        <v>Mod-H1</v>
      </c>
      <c r="C56" s="5" t="str">
        <f t="shared" si="1"/>
        <v>Mod</v>
      </c>
      <c r="D56" s="5" t="str">
        <f t="shared" si="2"/>
        <v>H1</v>
      </c>
      <c r="E56" s="5" t="s">
        <v>3</v>
      </c>
      <c r="F56" s="5" t="s">
        <v>16</v>
      </c>
      <c r="G56" s="5"/>
      <c r="H56" s="5" cm="1">
        <f t="array" ref="H56">_xlfn.SWITCH(F56,"HP",_xlfn.XLOOKUP(E56&amp;"|"&amp;B56,
        Calculate_cap_ener!$I$14:$I$21&amp;"|"&amp;Calculate_cap_ener!$L$14:$L$21,
        Calculate_cap_ener!$X$14:$X$21, "Not found", 0),"HPl",_xlfn.XLOOKUP(E56&amp;"|"&amp;B56,
        Calculate_cap_ener!$I$14:$I$21&amp;"|"&amp;Calculate_cap_ener!$L$14:$L$21,
        Calculate_cap_ener!$AA$14:$AA$21, "Not found", 0),)</f>
        <v>6.5</v>
      </c>
      <c r="I56" s="5"/>
      <c r="J56" s="5"/>
      <c r="K56" s="5"/>
      <c r="L56" s="5" cm="1">
        <f t="array" ref="L56">_xlfn.SWITCH(F56,"R",_xlfn.XLOOKUP(E56&amp;"|"&amp;B56,
        Calculate_cap_ener!$I$14:$I$21&amp;"|"&amp;Calculate_cap_ener!$L$14:$L$21,
        Calculate_cap_ener!$AC$14:$AC$21, "Not found", 0),"Rb",_xlfn.XLOOKUP(E56&amp;"|"&amp;B56,
        Calculate_cap_ener!$I$14:$I$21&amp;"|"&amp;Calculate_cap_ener!$L$14:$L$21,
        Calculate_cap_ener!$AE$14:$AE$21, "Not found", 0),"Rl",_xlfn.XLOOKUP(E56&amp;"|"&amp;B56,
        Calculate_cap_ener!$I$14:$I$21&amp;"|"&amp;Calculate_cap_ener!$L$14:$L$21,
        Calculate_cap_ener!$AF$14:$AF$21, "Not found", 0),"HP",_xlfn.XLOOKUP(E56&amp;"|"&amp;B56,
        Calculate_cap_ener!$I$14:$I$21&amp;"|"&amp;Calculate_cap_ener!$L$14:$L$21,
        Calculate_cap_ener!$AD$14:$AD$21, "Not found", 0),"HPl",_xlfn.XLOOKUP(E56&amp;"|"&amp;B56,
        Calculate_cap_ener!$I$14:$I$21&amp;"|"&amp;Calculate_cap_ener!$L$14:$L$21,
        Calculate_cap_ener!$AG$14:$AG$21, "Not found", 0),"Missing")</f>
        <v>46517.160504705884</v>
      </c>
      <c r="M56" s="5"/>
      <c r="N56" s="5"/>
      <c r="O56" s="5"/>
      <c r="P56" s="5"/>
      <c r="Q56" s="5" cm="1">
        <f t="array" ref="Q56">_xlfn.SWITCH(F56,"R",_xlfn.XLOOKUP(E56&amp;"|"&amp;B56,
        Calculate_cap_ener!$I$14:$I$21&amp;"|"&amp;Calculate_cap_ener!$L$14:$L$21,
        Calculate_cap_ener!$AJ$14:$AJ$21, "Not found", 0),"Rb",_xlfn.XLOOKUP(E56&amp;"|"&amp;B56,
        Calculate_cap_ener!$I$14:$I$21&amp;"|"&amp;Calculate_cap_ener!$L$14:$L$21,
        Calculate_cap_ener!$AL$14:$AL$21, "Not found", 0),"Rl",_xlfn.XLOOKUP(E56&amp;"|"&amp;B56,
        Calculate_cap_ener!$I$14:$I$21&amp;"|"&amp;Calculate_cap_ener!$L$14:$L$21,
        Calculate_cap_ener!$AM$14:$AM$21, "Not found", 0),"HP",_xlfn.XLOOKUP(E56&amp;"|"&amp;B56,
        Calculate_cap_ener!$I$14:$I$21&amp;"|"&amp;Calculate_cap_ener!$L$14:$L$21,
        Calculate_cap_ener!$AK$14:$AK$21, "Not found", 0),"HPl",_xlfn.XLOOKUP(E56&amp;"|"&amp;B56,
        Calculate_cap_ener!$I$14:$I$21&amp;"|"&amp;Calculate_cap_ener!$L$14:$L$21,
        Calculate_cap_ener!$AN$14:$AN$21, "Not found", 0),"Missing")</f>
        <v>809.13514517218232</v>
      </c>
      <c r="R56" s="5" cm="1">
        <f t="array" ref="R56">_xlfn.SWITCH(F56,"R",_xlfn.XLOOKUP(E56&amp;"|"&amp;B56,
        Calculate_cap_ener!$I$14:$I$21&amp;"|"&amp;Calculate_cap_ener!$L$14:$L$21,
        Calculate_cap_ener!$AQ$14:$AQ$21, "Not found", 0),"Rb",_xlfn.XLOOKUP(E56&amp;"|"&amp;B56,
        Calculate_cap_ener!$I$14:$I$21&amp;"|"&amp;Calculate_cap_ener!$L$14:$L$21,
        Calculate_cap_ener!$AS$14:$AS$21, "Not found", 0),"Rl",_xlfn.XLOOKUP(E56&amp;"|"&amp;B56,
        Calculate_cap_ener!$I$14:$I$21&amp;"|"&amp;Calculate_cap_ener!$L$14:$L$21,
        Calculate_cap_ener!$AT$14:$AT$21, "Not found", 0),"HP",_xlfn.XLOOKUP(E56&amp;"|"&amp;B56,
        Calculate_cap_ener!$I$14:$I$21&amp;"|"&amp;Calculate_cap_ener!$L$14:$L$21,
        Calculate_cap_ener!$AR$14:$AR$21, "Not found", 0),"HPl",_xlfn.XLOOKUP(E56&amp;"|"&amp;B56,
        Calculate_cap_ener!$I$14:$I$21&amp;"|"&amp;Calculate_cap_ener!$L$14:$L$21,
        Calculate_cap_ener!$AU$14:$AU$21, "Not found", 0),"Missing")</f>
        <v>1997.2897765058824</v>
      </c>
      <c r="S56" s="5" cm="1">
        <f t="array" ref="S56">_xlfn.SWITCH(F56,"R",_xlfn.XLOOKUP(E56&amp;"|"&amp;B56,
        Calculate_cap_ener!$I$14:$I$21&amp;"|"&amp;Calculate_cap_ener!$L$14:$L$21,
        Calculate_cap_ener!$AX$14:$AX$21, "Not found", 0),"Rb",_xlfn.XLOOKUP(E56&amp;"|"&amp;B56,
        Calculate_cap_ener!$I$14:$I$21&amp;"|"&amp;Calculate_cap_ener!$L$14:$L$21,
        Calculate_cap_ener!$AZ$14:$AZ$21, "Not found", 0),"Rl",_xlfn.XLOOKUP(E56&amp;"|"&amp;B56,
        Calculate_cap_ener!$I$14:$I$21&amp;"|"&amp;Calculate_cap_ener!$L$14:$L$21,
        Calculate_cap_ener!$BA$14:$BA$21, "Not found", 0),"HP",_xlfn.XLOOKUP(E56&amp;"|"&amp;B56,
        Calculate_cap_ener!$I$14:$I$21&amp;"|"&amp;Calculate_cap_ener!$L$14:$L$21,
        Calculate_cap_ener!$AY$14:$AY$21, "Not found", 0),"HPl",_xlfn.XLOOKUP(E56&amp;"|"&amp;B56,
        Calculate_cap_ener!$I$14:$I$21&amp;"|"&amp;Calculate_cap_ener!$L$14:$L$21,
        Calculate_cap_ener!$BB$14:$BB$21, "Not found", 0),"Missing")</f>
        <v>10953.395899117648</v>
      </c>
      <c r="T56" s="5" cm="1">
        <f t="array" ref="T56">_xlfn.SWITCH(F56,"R",_xlfn.XLOOKUP(E56&amp;"|"&amp;B56,
        Calculate_cap_ener!$I$14:$I$21&amp;"|"&amp;Calculate_cap_ener!$L$14:$L$21,
        Calculate_cap_ener!$BE$14:$BE$21, "Not found", 0),"Rb",_xlfn.XLOOKUP(E56&amp;"|"&amp;B56,
        Calculate_cap_ener!$I$14:$I$21&amp;"|"&amp;Calculate_cap_ener!$L$14:$L$21,
        Calculate_cap_ener!$BG$14:$BG$21, "Not found", 0),"Rl",_xlfn.XLOOKUP(E56&amp;"|"&amp;B56,
        Calculate_cap_ener!$I$14:$I$21&amp;"|"&amp;Calculate_cap_ener!$L$14:$L$21,
        Calculate_cap_ener!$BH$14:$BH$21, "Not found", 0),"HP",_xlfn.XLOOKUP(E56&amp;"|"&amp;B56,
        Calculate_cap_ener!$I$14:$I$21&amp;"|"&amp;Calculate_cap_ener!$L$14:$L$21,
        Calculate_cap_ener!$BF$14:$BF$21, "Not found", 0),"HPl",_xlfn.XLOOKUP(E56&amp;"|"&amp;B56,
        Calculate_cap_ener!$I$14:$I$21&amp;"|"&amp;Calculate_cap_ener!$L$14:$L$21,
        Calculate_cap_ener!$BI$14:$BI$21, "Not found", 0),"Missing")</f>
        <v>11241.14637317873</v>
      </c>
    </row>
    <row r="57" spans="1:20" x14ac:dyDescent="0.25">
      <c r="A57" s="5" t="s">
        <v>10</v>
      </c>
      <c r="B57" s="5" t="str">
        <f t="shared" si="0"/>
        <v>Mod-H1</v>
      </c>
      <c r="C57" s="5" t="str">
        <f t="shared" si="1"/>
        <v>Mod</v>
      </c>
      <c r="D57" s="5" t="str">
        <f t="shared" si="2"/>
        <v>H1</v>
      </c>
      <c r="E57" s="5" t="s">
        <v>3</v>
      </c>
      <c r="F57" s="5" t="s">
        <v>16</v>
      </c>
      <c r="G57" s="5"/>
      <c r="H57" s="5" cm="1">
        <f t="array" ref="H57">_xlfn.SWITCH(F57,"HP",_xlfn.XLOOKUP(E57&amp;"|"&amp;B57,
        Calculate_cap_ener!$I$14:$I$21&amp;"|"&amp;Calculate_cap_ener!$L$14:$L$21,
        Calculate_cap_ener!$X$14:$X$21, "Not found", 0),"HPl",_xlfn.XLOOKUP(E57&amp;"|"&amp;B57,
        Calculate_cap_ener!$I$14:$I$21&amp;"|"&amp;Calculate_cap_ener!$L$14:$L$21,
        Calculate_cap_ener!$AA$14:$AA$21, "Not found", 0),)</f>
        <v>6.5</v>
      </c>
      <c r="I57" s="5"/>
      <c r="J57" s="5"/>
      <c r="K57" s="5"/>
      <c r="L57" s="5" cm="1">
        <f t="array" ref="L57">_xlfn.SWITCH(F57,"R",_xlfn.XLOOKUP(E57&amp;"|"&amp;B57,
        Calculate_cap_ener!$I$14:$I$21&amp;"|"&amp;Calculate_cap_ener!$L$14:$L$21,
        Calculate_cap_ener!$AC$14:$AC$21, "Not found", 0),"Rb",_xlfn.XLOOKUP(E57&amp;"|"&amp;B57,
        Calculate_cap_ener!$I$14:$I$21&amp;"|"&amp;Calculate_cap_ener!$L$14:$L$21,
        Calculate_cap_ener!$AE$14:$AE$21, "Not found", 0),"Rl",_xlfn.XLOOKUP(E57&amp;"|"&amp;B57,
        Calculate_cap_ener!$I$14:$I$21&amp;"|"&amp;Calculate_cap_ener!$L$14:$L$21,
        Calculate_cap_ener!$AF$14:$AF$21, "Not found", 0),"HP",_xlfn.XLOOKUP(E57&amp;"|"&amp;B57,
        Calculate_cap_ener!$I$14:$I$21&amp;"|"&amp;Calculate_cap_ener!$L$14:$L$21,
        Calculate_cap_ener!$AD$14:$AD$21, "Not found", 0),"HPl",_xlfn.XLOOKUP(E57&amp;"|"&amp;B57,
        Calculate_cap_ener!$I$14:$I$21&amp;"|"&amp;Calculate_cap_ener!$L$14:$L$21,
        Calculate_cap_ener!$AG$14:$AG$21, "Not found", 0),"Missing")</f>
        <v>46517.160504705884</v>
      </c>
      <c r="M57" s="5"/>
      <c r="N57" s="5"/>
      <c r="O57" s="5"/>
      <c r="P57" s="5"/>
      <c r="Q57" s="5" cm="1">
        <f t="array" ref="Q57">_xlfn.SWITCH(F57,"R",_xlfn.XLOOKUP(E57&amp;"|"&amp;B57,
        Calculate_cap_ener!$I$14:$I$21&amp;"|"&amp;Calculate_cap_ener!$L$14:$L$21,
        Calculate_cap_ener!$AJ$14:$AJ$21, "Not found", 0),"Rb",_xlfn.XLOOKUP(E57&amp;"|"&amp;B57,
        Calculate_cap_ener!$I$14:$I$21&amp;"|"&amp;Calculate_cap_ener!$L$14:$L$21,
        Calculate_cap_ener!$AL$14:$AL$21, "Not found", 0),"Rl",_xlfn.XLOOKUP(E57&amp;"|"&amp;B57,
        Calculate_cap_ener!$I$14:$I$21&amp;"|"&amp;Calculate_cap_ener!$L$14:$L$21,
        Calculate_cap_ener!$AM$14:$AM$21, "Not found", 0),"HP",_xlfn.XLOOKUP(E57&amp;"|"&amp;B57,
        Calculate_cap_ener!$I$14:$I$21&amp;"|"&amp;Calculate_cap_ener!$L$14:$L$21,
        Calculate_cap_ener!$AK$14:$AK$21, "Not found", 0),"HPl",_xlfn.XLOOKUP(E57&amp;"|"&amp;B57,
        Calculate_cap_ener!$I$14:$I$21&amp;"|"&amp;Calculate_cap_ener!$L$14:$L$21,
        Calculate_cap_ener!$AN$14:$AN$21, "Not found", 0),"Missing")</f>
        <v>809.13514517218232</v>
      </c>
      <c r="R57" s="5" cm="1">
        <f t="array" ref="R57">_xlfn.SWITCH(F57,"R",_xlfn.XLOOKUP(E57&amp;"|"&amp;B57,
        Calculate_cap_ener!$I$14:$I$21&amp;"|"&amp;Calculate_cap_ener!$L$14:$L$21,
        Calculate_cap_ener!$AQ$14:$AQ$21, "Not found", 0),"Rb",_xlfn.XLOOKUP(E57&amp;"|"&amp;B57,
        Calculate_cap_ener!$I$14:$I$21&amp;"|"&amp;Calculate_cap_ener!$L$14:$L$21,
        Calculate_cap_ener!$AS$14:$AS$21, "Not found", 0),"Rl",_xlfn.XLOOKUP(E57&amp;"|"&amp;B57,
        Calculate_cap_ener!$I$14:$I$21&amp;"|"&amp;Calculate_cap_ener!$L$14:$L$21,
        Calculate_cap_ener!$AT$14:$AT$21, "Not found", 0),"HP",_xlfn.XLOOKUP(E57&amp;"|"&amp;B57,
        Calculate_cap_ener!$I$14:$I$21&amp;"|"&amp;Calculate_cap_ener!$L$14:$L$21,
        Calculate_cap_ener!$AR$14:$AR$21, "Not found", 0),"HPl",_xlfn.XLOOKUP(E57&amp;"|"&amp;B57,
        Calculate_cap_ener!$I$14:$I$21&amp;"|"&amp;Calculate_cap_ener!$L$14:$L$21,
        Calculate_cap_ener!$AU$14:$AU$21, "Not found", 0),"Missing")</f>
        <v>1997.2897765058824</v>
      </c>
      <c r="S57" s="5" cm="1">
        <f t="array" ref="S57">_xlfn.SWITCH(F57,"R",_xlfn.XLOOKUP(E57&amp;"|"&amp;B57,
        Calculate_cap_ener!$I$14:$I$21&amp;"|"&amp;Calculate_cap_ener!$L$14:$L$21,
        Calculate_cap_ener!$AX$14:$AX$21, "Not found", 0),"Rb",_xlfn.XLOOKUP(E57&amp;"|"&amp;B57,
        Calculate_cap_ener!$I$14:$I$21&amp;"|"&amp;Calculate_cap_ener!$L$14:$L$21,
        Calculate_cap_ener!$AZ$14:$AZ$21, "Not found", 0),"Rl",_xlfn.XLOOKUP(E57&amp;"|"&amp;B57,
        Calculate_cap_ener!$I$14:$I$21&amp;"|"&amp;Calculate_cap_ener!$L$14:$L$21,
        Calculate_cap_ener!$BA$14:$BA$21, "Not found", 0),"HP",_xlfn.XLOOKUP(E57&amp;"|"&amp;B57,
        Calculate_cap_ener!$I$14:$I$21&amp;"|"&amp;Calculate_cap_ener!$L$14:$L$21,
        Calculate_cap_ener!$AY$14:$AY$21, "Not found", 0),"HPl",_xlfn.XLOOKUP(E57&amp;"|"&amp;B57,
        Calculate_cap_ener!$I$14:$I$21&amp;"|"&amp;Calculate_cap_ener!$L$14:$L$21,
        Calculate_cap_ener!$BB$14:$BB$21, "Not found", 0),"Missing")</f>
        <v>10953.395899117648</v>
      </c>
      <c r="T57" s="5" cm="1">
        <f t="array" ref="T57">_xlfn.SWITCH(F57,"R",_xlfn.XLOOKUP(E57&amp;"|"&amp;B57,
        Calculate_cap_ener!$I$14:$I$21&amp;"|"&amp;Calculate_cap_ener!$L$14:$L$21,
        Calculate_cap_ener!$BE$14:$BE$21, "Not found", 0),"Rb",_xlfn.XLOOKUP(E57&amp;"|"&amp;B57,
        Calculate_cap_ener!$I$14:$I$21&amp;"|"&amp;Calculate_cap_ener!$L$14:$L$21,
        Calculate_cap_ener!$BG$14:$BG$21, "Not found", 0),"Rl",_xlfn.XLOOKUP(E57&amp;"|"&amp;B57,
        Calculate_cap_ener!$I$14:$I$21&amp;"|"&amp;Calculate_cap_ener!$L$14:$L$21,
        Calculate_cap_ener!$BH$14:$BH$21, "Not found", 0),"HP",_xlfn.XLOOKUP(E57&amp;"|"&amp;B57,
        Calculate_cap_ener!$I$14:$I$21&amp;"|"&amp;Calculate_cap_ener!$L$14:$L$21,
        Calculate_cap_ener!$BF$14:$BF$21, "Not found", 0),"HPl",_xlfn.XLOOKUP(E57&amp;"|"&amp;B57,
        Calculate_cap_ener!$I$14:$I$21&amp;"|"&amp;Calculate_cap_ener!$L$14:$L$21,
        Calculate_cap_ener!$BI$14:$BI$21, "Not found", 0),"Missing")</f>
        <v>11241.14637317873</v>
      </c>
    </row>
    <row r="58" spans="1:20" x14ac:dyDescent="0.25">
      <c r="A58" s="5" t="s">
        <v>4</v>
      </c>
      <c r="B58" s="5" t="str">
        <f t="shared" si="0"/>
        <v>Mass-Nom</v>
      </c>
      <c r="C58" s="5" t="str">
        <f t="shared" si="1"/>
        <v>Mass</v>
      </c>
      <c r="D58" s="5" t="str">
        <f t="shared" si="2"/>
        <v>Nom</v>
      </c>
      <c r="E58" s="5" t="s">
        <v>11</v>
      </c>
      <c r="F58" s="5" t="s">
        <v>16</v>
      </c>
      <c r="G58" s="5"/>
      <c r="H58" s="5" cm="1">
        <f t="array" ref="H58">_xlfn.SWITCH(F58,"HP",_xlfn.XLOOKUP(E58&amp;"|"&amp;B58,
        Calculate_cap_ener!$I$14:$I$21&amp;"|"&amp;Calculate_cap_ener!$L$14:$L$21,
        Calculate_cap_ener!$X$14:$X$21, "Not found", 0),"HPl",_xlfn.XLOOKUP(E58&amp;"|"&amp;B58,
        Calculate_cap_ener!$I$14:$I$21&amp;"|"&amp;Calculate_cap_ener!$L$14:$L$21,
        Calculate_cap_ener!$AA$14:$AA$21, "Not found", 0),)</f>
        <v>15.5</v>
      </c>
      <c r="I58" s="5"/>
      <c r="J58" s="5"/>
      <c r="K58" s="5"/>
      <c r="L58" s="5" cm="1">
        <f t="array" ref="L58">_xlfn.SWITCH(F58,"R",_xlfn.XLOOKUP(E58&amp;"|"&amp;B58,
        Calculate_cap_ener!$I$14:$I$21&amp;"|"&amp;Calculate_cap_ener!$L$14:$L$21,
        Calculate_cap_ener!$AC$14:$AC$21, "Not found", 0),"Rb",_xlfn.XLOOKUP(E58&amp;"|"&amp;B58,
        Calculate_cap_ener!$I$14:$I$21&amp;"|"&amp;Calculate_cap_ener!$L$14:$L$21,
        Calculate_cap_ener!$AE$14:$AE$21, "Not found", 0),"Rl",_xlfn.XLOOKUP(E58&amp;"|"&amp;B58,
        Calculate_cap_ener!$I$14:$I$21&amp;"|"&amp;Calculate_cap_ener!$L$14:$L$21,
        Calculate_cap_ener!$AF$14:$AF$21, "Not found", 0),"HP",_xlfn.XLOOKUP(E58&amp;"|"&amp;B58,
        Calculate_cap_ener!$I$14:$I$21&amp;"|"&amp;Calculate_cap_ener!$L$14:$L$21,
        Calculate_cap_ener!$AD$14:$AD$21, "Not found", 0),"HPl",_xlfn.XLOOKUP(E58&amp;"|"&amp;B58,
        Calculate_cap_ener!$I$14:$I$21&amp;"|"&amp;Calculate_cap_ener!$L$14:$L$21,
        Calculate_cap_ener!$AG$14:$AG$21, "Not found", 0),"Missing")</f>
        <v>50797.80507529412</v>
      </c>
      <c r="M58" s="5"/>
      <c r="N58" s="5"/>
      <c r="O58" s="5"/>
      <c r="P58" s="5"/>
      <c r="Q58" s="5" cm="1">
        <f t="array" ref="Q58">_xlfn.SWITCH(F58,"R",_xlfn.XLOOKUP(E58&amp;"|"&amp;B58,
        Calculate_cap_ener!$I$14:$I$21&amp;"|"&amp;Calculate_cap_ener!$L$14:$L$21,
        Calculate_cap_ener!$AJ$14:$AJ$21, "Not found", 0),"Rb",_xlfn.XLOOKUP(E58&amp;"|"&amp;B58,
        Calculate_cap_ener!$I$14:$I$21&amp;"|"&amp;Calculate_cap_ener!$L$14:$L$21,
        Calculate_cap_ener!$AL$14:$AL$21, "Not found", 0),"Rl",_xlfn.XLOOKUP(E58&amp;"|"&amp;B58,
        Calculate_cap_ener!$I$14:$I$21&amp;"|"&amp;Calculate_cap_ener!$L$14:$L$21,
        Calculate_cap_ener!$AM$14:$AM$21, "Not found", 0),"HP",_xlfn.XLOOKUP(E58&amp;"|"&amp;B58,
        Calculate_cap_ener!$I$14:$I$21&amp;"|"&amp;Calculate_cap_ener!$L$14:$L$21,
        Calculate_cap_ener!$AK$14:$AK$21, "Not found", 0),"HPl",_xlfn.XLOOKUP(E58&amp;"|"&amp;B58,
        Calculate_cap_ener!$I$14:$I$21&amp;"|"&amp;Calculate_cap_ener!$L$14:$L$21,
        Calculate_cap_ener!$AN$14:$AN$21, "Not found", 0),"Missing")</f>
        <v>1080.6559068775427</v>
      </c>
      <c r="R58" s="5" cm="1">
        <f t="array" ref="R58">_xlfn.SWITCH(F58,"R",_xlfn.XLOOKUP(E58&amp;"|"&amp;B58,
        Calculate_cap_ener!$I$14:$I$21&amp;"|"&amp;Calculate_cap_ener!$L$14:$L$21,
        Calculate_cap_ener!$AQ$14:$AQ$21, "Not found", 0),"Rb",_xlfn.XLOOKUP(E58&amp;"|"&amp;B58,
        Calculate_cap_ener!$I$14:$I$21&amp;"|"&amp;Calculate_cap_ener!$L$14:$L$21,
        Calculate_cap_ener!$AS$14:$AS$21, "Not found", 0),"Rl",_xlfn.XLOOKUP(E58&amp;"|"&amp;B58,
        Calculate_cap_ener!$I$14:$I$21&amp;"|"&amp;Calculate_cap_ener!$L$14:$L$21,
        Calculate_cap_ener!$AT$14:$AT$21, "Not found", 0),"HP",_xlfn.XLOOKUP(E58&amp;"|"&amp;B58,
        Calculate_cap_ener!$I$14:$I$21&amp;"|"&amp;Calculate_cap_ener!$L$14:$L$21,
        Calculate_cap_ener!$AR$14:$AR$21, "Not found", 0),"HPl",_xlfn.XLOOKUP(E58&amp;"|"&amp;B58,
        Calculate_cap_ener!$I$14:$I$21&amp;"|"&amp;Calculate_cap_ener!$L$14:$L$21,
        Calculate_cap_ener!$AU$14:$AU$21, "Not found", 0),"Missing")</f>
        <v>1890.2807267647058</v>
      </c>
      <c r="S58" s="5" cm="1">
        <f t="array" ref="S58">_xlfn.SWITCH(F58,"R",_xlfn.XLOOKUP(E58&amp;"|"&amp;B58,
        Calculate_cap_ener!$I$14:$I$21&amp;"|"&amp;Calculate_cap_ener!$L$14:$L$21,
        Calculate_cap_ener!$AX$14:$AX$21, "Not found", 0),"Rb",_xlfn.XLOOKUP(E58&amp;"|"&amp;B58,
        Calculate_cap_ener!$I$14:$I$21&amp;"|"&amp;Calculate_cap_ener!$L$14:$L$21,
        Calculate_cap_ener!$AZ$14:$AZ$21, "Not found", 0),"Rl",_xlfn.XLOOKUP(E58&amp;"|"&amp;B58,
        Calculate_cap_ener!$I$14:$I$21&amp;"|"&amp;Calculate_cap_ener!$L$14:$L$21,
        Calculate_cap_ener!$BA$14:$BA$21, "Not found", 0),"HP",_xlfn.XLOOKUP(E58&amp;"|"&amp;B58,
        Calculate_cap_ener!$I$14:$I$21&amp;"|"&amp;Calculate_cap_ener!$L$14:$L$21,
        Calculate_cap_ener!$AY$14:$AY$21, "Not found", 0),"HPl",_xlfn.XLOOKUP(E58&amp;"|"&amp;B58,
        Calculate_cap_ener!$I$14:$I$21&amp;"|"&amp;Calculate_cap_ener!$L$14:$L$21,
        Calculate_cap_ener!$BB$14:$BB$21, "Not found", 0),"Missing")</f>
        <v>15405.867306058823</v>
      </c>
      <c r="T58" s="5" cm="1">
        <f t="array" ref="T58">_xlfn.SWITCH(F58,"R",_xlfn.XLOOKUP(E58&amp;"|"&amp;B58,
        Calculate_cap_ener!$I$14:$I$21&amp;"|"&amp;Calculate_cap_ener!$L$14:$L$21,
        Calculate_cap_ener!$BE$14:$BE$21, "Not found", 0),"Rb",_xlfn.XLOOKUP(E58&amp;"|"&amp;B58,
        Calculate_cap_ener!$I$14:$I$21&amp;"|"&amp;Calculate_cap_ener!$L$14:$L$21,
        Calculate_cap_ener!$BG$14:$BG$21, "Not found", 0),"Rl",_xlfn.XLOOKUP(E58&amp;"|"&amp;B58,
        Calculate_cap_ener!$I$14:$I$21&amp;"|"&amp;Calculate_cap_ener!$L$14:$L$21,
        Calculate_cap_ener!$BH$14:$BH$21, "Not found", 0),"HP",_xlfn.XLOOKUP(E58&amp;"|"&amp;B58,
        Calculate_cap_ener!$I$14:$I$21&amp;"|"&amp;Calculate_cap_ener!$L$14:$L$21,
        Calculate_cap_ener!$BF$14:$BF$21, "Not found", 0),"HPl",_xlfn.XLOOKUP(E58&amp;"|"&amp;B58,
        Calculate_cap_ener!$I$14:$I$21&amp;"|"&amp;Calculate_cap_ener!$L$14:$L$21,
        Calculate_cap_ener!$BI$14:$BI$21, "Not found", 0),"Missing")</f>
        <v>8767.0386759717185</v>
      </c>
    </row>
    <row r="59" spans="1:20" x14ac:dyDescent="0.25">
      <c r="A59" s="5" t="s">
        <v>2</v>
      </c>
      <c r="B59" s="5" t="str">
        <f t="shared" si="0"/>
        <v>Mass-Nom</v>
      </c>
      <c r="C59" s="5" t="str">
        <f t="shared" si="1"/>
        <v>Mass</v>
      </c>
      <c r="D59" s="5" t="str">
        <f t="shared" si="2"/>
        <v>Nom</v>
      </c>
      <c r="E59" s="5" t="s">
        <v>11</v>
      </c>
      <c r="F59" s="5" t="s">
        <v>16</v>
      </c>
      <c r="G59" s="5"/>
      <c r="H59" s="5" cm="1">
        <f t="array" ref="H59">_xlfn.SWITCH(F59,"HP",_xlfn.XLOOKUP(E59&amp;"|"&amp;B59,
        Calculate_cap_ener!$I$14:$I$21&amp;"|"&amp;Calculate_cap_ener!$L$14:$L$21,
        Calculate_cap_ener!$X$14:$X$21, "Not found", 0),"HPl",_xlfn.XLOOKUP(E59&amp;"|"&amp;B59,
        Calculate_cap_ener!$I$14:$I$21&amp;"|"&amp;Calculate_cap_ener!$L$14:$L$21,
        Calculate_cap_ener!$AA$14:$AA$21, "Not found", 0),)</f>
        <v>15.5</v>
      </c>
      <c r="I59" s="5"/>
      <c r="J59" s="5"/>
      <c r="K59" s="5"/>
      <c r="L59" s="5" cm="1">
        <f t="array" ref="L59">_xlfn.SWITCH(F59,"R",_xlfn.XLOOKUP(E59&amp;"|"&amp;B59,
        Calculate_cap_ener!$I$14:$I$21&amp;"|"&amp;Calculate_cap_ener!$L$14:$L$21,
        Calculate_cap_ener!$AC$14:$AC$21, "Not found", 0),"Rb",_xlfn.XLOOKUP(E59&amp;"|"&amp;B59,
        Calculate_cap_ener!$I$14:$I$21&amp;"|"&amp;Calculate_cap_ener!$L$14:$L$21,
        Calculate_cap_ener!$AE$14:$AE$21, "Not found", 0),"Rl",_xlfn.XLOOKUP(E59&amp;"|"&amp;B59,
        Calculate_cap_ener!$I$14:$I$21&amp;"|"&amp;Calculate_cap_ener!$L$14:$L$21,
        Calculate_cap_ener!$AF$14:$AF$21, "Not found", 0),"HP",_xlfn.XLOOKUP(E59&amp;"|"&amp;B59,
        Calculate_cap_ener!$I$14:$I$21&amp;"|"&amp;Calculate_cap_ener!$L$14:$L$21,
        Calculate_cap_ener!$AD$14:$AD$21, "Not found", 0),"HPl",_xlfn.XLOOKUP(E59&amp;"|"&amp;B59,
        Calculate_cap_ener!$I$14:$I$21&amp;"|"&amp;Calculate_cap_ener!$L$14:$L$21,
        Calculate_cap_ener!$AG$14:$AG$21, "Not found", 0),"Missing")</f>
        <v>50797.80507529412</v>
      </c>
      <c r="M59" s="5"/>
      <c r="N59" s="5"/>
      <c r="O59" s="5"/>
      <c r="P59" s="5"/>
      <c r="Q59" s="5" cm="1">
        <f t="array" ref="Q59">_xlfn.SWITCH(F59,"R",_xlfn.XLOOKUP(E59&amp;"|"&amp;B59,
        Calculate_cap_ener!$I$14:$I$21&amp;"|"&amp;Calculate_cap_ener!$L$14:$L$21,
        Calculate_cap_ener!$AJ$14:$AJ$21, "Not found", 0),"Rb",_xlfn.XLOOKUP(E59&amp;"|"&amp;B59,
        Calculate_cap_ener!$I$14:$I$21&amp;"|"&amp;Calculate_cap_ener!$L$14:$L$21,
        Calculate_cap_ener!$AL$14:$AL$21, "Not found", 0),"Rl",_xlfn.XLOOKUP(E59&amp;"|"&amp;B59,
        Calculate_cap_ener!$I$14:$I$21&amp;"|"&amp;Calculate_cap_ener!$L$14:$L$21,
        Calculate_cap_ener!$AM$14:$AM$21, "Not found", 0),"HP",_xlfn.XLOOKUP(E59&amp;"|"&amp;B59,
        Calculate_cap_ener!$I$14:$I$21&amp;"|"&amp;Calculate_cap_ener!$L$14:$L$21,
        Calculate_cap_ener!$AK$14:$AK$21, "Not found", 0),"HPl",_xlfn.XLOOKUP(E59&amp;"|"&amp;B59,
        Calculate_cap_ener!$I$14:$I$21&amp;"|"&amp;Calculate_cap_ener!$L$14:$L$21,
        Calculate_cap_ener!$AN$14:$AN$21, "Not found", 0),"Missing")</f>
        <v>1080.6559068775427</v>
      </c>
      <c r="R59" s="5" cm="1">
        <f t="array" ref="R59">_xlfn.SWITCH(F59,"R",_xlfn.XLOOKUP(E59&amp;"|"&amp;B59,
        Calculate_cap_ener!$I$14:$I$21&amp;"|"&amp;Calculate_cap_ener!$L$14:$L$21,
        Calculate_cap_ener!$AQ$14:$AQ$21, "Not found", 0),"Rb",_xlfn.XLOOKUP(E59&amp;"|"&amp;B59,
        Calculate_cap_ener!$I$14:$I$21&amp;"|"&amp;Calculate_cap_ener!$L$14:$L$21,
        Calculate_cap_ener!$AS$14:$AS$21, "Not found", 0),"Rl",_xlfn.XLOOKUP(E59&amp;"|"&amp;B59,
        Calculate_cap_ener!$I$14:$I$21&amp;"|"&amp;Calculate_cap_ener!$L$14:$L$21,
        Calculate_cap_ener!$AT$14:$AT$21, "Not found", 0),"HP",_xlfn.XLOOKUP(E59&amp;"|"&amp;B59,
        Calculate_cap_ener!$I$14:$I$21&amp;"|"&amp;Calculate_cap_ener!$L$14:$L$21,
        Calculate_cap_ener!$AR$14:$AR$21, "Not found", 0),"HPl",_xlfn.XLOOKUP(E59&amp;"|"&amp;B59,
        Calculate_cap_ener!$I$14:$I$21&amp;"|"&amp;Calculate_cap_ener!$L$14:$L$21,
        Calculate_cap_ener!$AU$14:$AU$21, "Not found", 0),"Missing")</f>
        <v>1890.2807267647058</v>
      </c>
      <c r="S59" s="5" cm="1">
        <f t="array" ref="S59">_xlfn.SWITCH(F59,"R",_xlfn.XLOOKUP(E59&amp;"|"&amp;B59,
        Calculate_cap_ener!$I$14:$I$21&amp;"|"&amp;Calculate_cap_ener!$L$14:$L$21,
        Calculate_cap_ener!$AX$14:$AX$21, "Not found", 0),"Rb",_xlfn.XLOOKUP(E59&amp;"|"&amp;B59,
        Calculate_cap_ener!$I$14:$I$21&amp;"|"&amp;Calculate_cap_ener!$L$14:$L$21,
        Calculate_cap_ener!$AZ$14:$AZ$21, "Not found", 0),"Rl",_xlfn.XLOOKUP(E59&amp;"|"&amp;B59,
        Calculate_cap_ener!$I$14:$I$21&amp;"|"&amp;Calculate_cap_ener!$L$14:$L$21,
        Calculate_cap_ener!$BA$14:$BA$21, "Not found", 0),"HP",_xlfn.XLOOKUP(E59&amp;"|"&amp;B59,
        Calculate_cap_ener!$I$14:$I$21&amp;"|"&amp;Calculate_cap_ener!$L$14:$L$21,
        Calculate_cap_ener!$AY$14:$AY$21, "Not found", 0),"HPl",_xlfn.XLOOKUP(E59&amp;"|"&amp;B59,
        Calculate_cap_ener!$I$14:$I$21&amp;"|"&amp;Calculate_cap_ener!$L$14:$L$21,
        Calculate_cap_ener!$BB$14:$BB$21, "Not found", 0),"Missing")</f>
        <v>15405.867306058823</v>
      </c>
      <c r="T59" s="5" cm="1">
        <f t="array" ref="T59">_xlfn.SWITCH(F59,"R",_xlfn.XLOOKUP(E59&amp;"|"&amp;B59,
        Calculate_cap_ener!$I$14:$I$21&amp;"|"&amp;Calculate_cap_ener!$L$14:$L$21,
        Calculate_cap_ener!$BE$14:$BE$21, "Not found", 0),"Rb",_xlfn.XLOOKUP(E59&amp;"|"&amp;B59,
        Calculate_cap_ener!$I$14:$I$21&amp;"|"&amp;Calculate_cap_ener!$L$14:$L$21,
        Calculate_cap_ener!$BG$14:$BG$21, "Not found", 0),"Rl",_xlfn.XLOOKUP(E59&amp;"|"&amp;B59,
        Calculate_cap_ener!$I$14:$I$21&amp;"|"&amp;Calculate_cap_ener!$L$14:$L$21,
        Calculate_cap_ener!$BH$14:$BH$21, "Not found", 0),"HP",_xlfn.XLOOKUP(E59&amp;"|"&amp;B59,
        Calculate_cap_ener!$I$14:$I$21&amp;"|"&amp;Calculate_cap_ener!$L$14:$L$21,
        Calculate_cap_ener!$BF$14:$BF$21, "Not found", 0),"HPl",_xlfn.XLOOKUP(E59&amp;"|"&amp;B59,
        Calculate_cap_ener!$I$14:$I$21&amp;"|"&amp;Calculate_cap_ener!$L$14:$L$21,
        Calculate_cap_ener!$BI$14:$BI$21, "Not found", 0),"Missing")</f>
        <v>8767.0386759717185</v>
      </c>
    </row>
    <row r="60" spans="1:20" x14ac:dyDescent="0.25">
      <c r="A60" s="5" t="s">
        <v>5</v>
      </c>
      <c r="B60" s="5" t="str">
        <f t="shared" si="0"/>
        <v>Mass-H1</v>
      </c>
      <c r="C60" s="5" t="str">
        <f t="shared" si="1"/>
        <v>Mass</v>
      </c>
      <c r="D60" s="5" t="str">
        <f t="shared" si="2"/>
        <v>H1</v>
      </c>
      <c r="E60" s="5" t="s">
        <v>11</v>
      </c>
      <c r="F60" s="5" t="s">
        <v>16</v>
      </c>
      <c r="G60" s="5"/>
      <c r="H60" s="5" cm="1">
        <f t="array" ref="H60">_xlfn.SWITCH(F60,"HP",_xlfn.XLOOKUP(E60&amp;"|"&amp;B60,
        Calculate_cap_ener!$I$14:$I$21&amp;"|"&amp;Calculate_cap_ener!$L$14:$L$21,
        Calculate_cap_ener!$X$14:$X$21, "Not found", 0),"HPl",_xlfn.XLOOKUP(E60&amp;"|"&amp;B60,
        Calculate_cap_ener!$I$14:$I$21&amp;"|"&amp;Calculate_cap_ener!$L$14:$L$21,
        Calculate_cap_ener!$AA$14:$AA$21, "Not found", 0),)</f>
        <v>8</v>
      </c>
      <c r="I60" s="5"/>
      <c r="J60" s="5"/>
      <c r="K60" s="5"/>
      <c r="L60" s="5" cm="1">
        <f t="array" ref="L60">_xlfn.SWITCH(F60,"R",_xlfn.XLOOKUP(E60&amp;"|"&amp;B60,
        Calculate_cap_ener!$I$14:$I$21&amp;"|"&amp;Calculate_cap_ener!$L$14:$L$21,
        Calculate_cap_ener!$AC$14:$AC$21, "Not found", 0),"Rb",_xlfn.XLOOKUP(E60&amp;"|"&amp;B60,
        Calculate_cap_ener!$I$14:$I$21&amp;"|"&amp;Calculate_cap_ener!$L$14:$L$21,
        Calculate_cap_ener!$AE$14:$AE$21, "Not found", 0),"Rl",_xlfn.XLOOKUP(E60&amp;"|"&amp;B60,
        Calculate_cap_ener!$I$14:$I$21&amp;"|"&amp;Calculate_cap_ener!$L$14:$L$21,
        Calculate_cap_ener!$AF$14:$AF$21, "Not found", 0),"HP",_xlfn.XLOOKUP(E60&amp;"|"&amp;B60,
        Calculate_cap_ener!$I$14:$I$21&amp;"|"&amp;Calculate_cap_ener!$L$14:$L$21,
        Calculate_cap_ener!$AD$14:$AD$21, "Not found", 0),"HPl",_xlfn.XLOOKUP(E60&amp;"|"&amp;B60,
        Calculate_cap_ener!$I$14:$I$21&amp;"|"&amp;Calculate_cap_ener!$L$14:$L$21,
        Calculate_cap_ener!$AG$14:$AG$21, "Not found", 0),"Missing")</f>
        <v>33081.064602352941</v>
      </c>
      <c r="M60" s="5"/>
      <c r="N60" s="5"/>
      <c r="O60" s="5"/>
      <c r="P60" s="5"/>
      <c r="Q60" s="5" cm="1">
        <f t="array" ref="Q60">_xlfn.SWITCH(F60,"R",_xlfn.XLOOKUP(E60&amp;"|"&amp;B60,
        Calculate_cap_ener!$I$14:$I$21&amp;"|"&amp;Calculate_cap_ener!$L$14:$L$21,
        Calculate_cap_ener!$AJ$14:$AJ$21, "Not found", 0),"Rb",_xlfn.XLOOKUP(E60&amp;"|"&amp;B60,
        Calculate_cap_ener!$I$14:$I$21&amp;"|"&amp;Calculate_cap_ener!$L$14:$L$21,
        Calculate_cap_ener!$AL$14:$AL$21, "Not found", 0),"Rl",_xlfn.XLOOKUP(E60&amp;"|"&amp;B60,
        Calculate_cap_ener!$I$14:$I$21&amp;"|"&amp;Calculate_cap_ener!$L$14:$L$21,
        Calculate_cap_ener!$AM$14:$AM$21, "Not found", 0),"HP",_xlfn.XLOOKUP(E60&amp;"|"&amp;B60,
        Calculate_cap_ener!$I$14:$I$21&amp;"|"&amp;Calculate_cap_ener!$L$14:$L$21,
        Calculate_cap_ener!$AK$14:$AK$21, "Not found", 0),"HPl",_xlfn.XLOOKUP(E60&amp;"|"&amp;B60,
        Calculate_cap_ener!$I$14:$I$21&amp;"|"&amp;Calculate_cap_ener!$L$14:$L$21,
        Calculate_cap_ener!$AN$14:$AN$21, "Not found", 0),"Missing")</f>
        <v>598.98906418416959</v>
      </c>
      <c r="R60" s="5" cm="1">
        <f t="array" ref="R60">_xlfn.SWITCH(F60,"R",_xlfn.XLOOKUP(E60&amp;"|"&amp;B60,
        Calculate_cap_ener!$I$14:$I$21&amp;"|"&amp;Calculate_cap_ener!$L$14:$L$21,
        Calculate_cap_ener!$AQ$14:$AQ$21, "Not found", 0),"Rb",_xlfn.XLOOKUP(E60&amp;"|"&amp;B60,
        Calculate_cap_ener!$I$14:$I$21&amp;"|"&amp;Calculate_cap_ener!$L$14:$L$21,
        Calculate_cap_ener!$AS$14:$AS$21, "Not found", 0),"Rl",_xlfn.XLOOKUP(E60&amp;"|"&amp;B60,
        Calculate_cap_ener!$I$14:$I$21&amp;"|"&amp;Calculate_cap_ener!$L$14:$L$21,
        Calculate_cap_ener!$AT$14:$AT$21, "Not found", 0),"HP",_xlfn.XLOOKUP(E60&amp;"|"&amp;B60,
        Calculate_cap_ener!$I$14:$I$21&amp;"|"&amp;Calculate_cap_ener!$L$14:$L$21,
        Calculate_cap_ener!$AR$14:$AR$21, "Not found", 0),"HPl",_xlfn.XLOOKUP(E60&amp;"|"&amp;B60,
        Calculate_cap_ener!$I$14:$I$21&amp;"|"&amp;Calculate_cap_ener!$L$14:$L$21,
        Calculate_cap_ener!$AU$14:$AU$21, "Not found", 0),"Missing")</f>
        <v>1446.5607041117646</v>
      </c>
      <c r="S60" s="5" cm="1">
        <f t="array" ref="S60">_xlfn.SWITCH(F60,"R",_xlfn.XLOOKUP(E60&amp;"|"&amp;B60,
        Calculate_cap_ener!$I$14:$I$21&amp;"|"&amp;Calculate_cap_ener!$L$14:$L$21,
        Calculate_cap_ener!$AX$14:$AX$21, "Not found", 0),"Rb",_xlfn.XLOOKUP(E60&amp;"|"&amp;B60,
        Calculate_cap_ener!$I$14:$I$21&amp;"|"&amp;Calculate_cap_ener!$L$14:$L$21,
        Calculate_cap_ener!$AZ$14:$AZ$21, "Not found", 0),"Rl",_xlfn.XLOOKUP(E60&amp;"|"&amp;B60,
        Calculate_cap_ener!$I$14:$I$21&amp;"|"&amp;Calculate_cap_ener!$L$14:$L$21,
        Calculate_cap_ener!$BA$14:$BA$21, "Not found", 0),"HP",_xlfn.XLOOKUP(E60&amp;"|"&amp;B60,
        Calculate_cap_ener!$I$14:$I$21&amp;"|"&amp;Calculate_cap_ener!$L$14:$L$21,
        Calculate_cap_ener!$AY$14:$AY$21, "Not found", 0),"HPl",_xlfn.XLOOKUP(E60&amp;"|"&amp;B60,
        Calculate_cap_ener!$I$14:$I$21&amp;"|"&amp;Calculate_cap_ener!$L$14:$L$21,
        Calculate_cap_ener!$BB$14:$BB$21, "Not found", 0),"Missing")</f>
        <v>7130.2195311176474</v>
      </c>
      <c r="T60" s="5" cm="1">
        <f t="array" ref="T60">_xlfn.SWITCH(F60,"R",_xlfn.XLOOKUP(E60&amp;"|"&amp;B60,
        Calculate_cap_ener!$I$14:$I$21&amp;"|"&amp;Calculate_cap_ener!$L$14:$L$21,
        Calculate_cap_ener!$BE$14:$BE$21, "Not found", 0),"Rb",_xlfn.XLOOKUP(E60&amp;"|"&amp;B60,
        Calculate_cap_ener!$I$14:$I$21&amp;"|"&amp;Calculate_cap_ener!$L$14:$L$21,
        Calculate_cap_ener!$BG$14:$BG$21, "Not found", 0),"Rl",_xlfn.XLOOKUP(E60&amp;"|"&amp;B60,
        Calculate_cap_ener!$I$14:$I$21&amp;"|"&amp;Calculate_cap_ener!$L$14:$L$21,
        Calculate_cap_ener!$BH$14:$BH$21, "Not found", 0),"HP",_xlfn.XLOOKUP(E60&amp;"|"&amp;B60,
        Calculate_cap_ener!$I$14:$I$21&amp;"|"&amp;Calculate_cap_ener!$L$14:$L$21,
        Calculate_cap_ener!$BF$14:$BF$21, "Not found", 0),"HPl",_xlfn.XLOOKUP(E60&amp;"|"&amp;B60,
        Calculate_cap_ener!$I$14:$I$21&amp;"|"&amp;Calculate_cap_ener!$L$14:$L$21,
        Calculate_cap_ener!$BI$14:$BI$21, "Not found", 0),"Missing")</f>
        <v>7510.587812823529</v>
      </c>
    </row>
    <row r="61" spans="1:20" x14ac:dyDescent="0.25">
      <c r="A61" s="5" t="s">
        <v>6</v>
      </c>
      <c r="B61" s="5" t="str">
        <f t="shared" si="0"/>
        <v>Mass-H1</v>
      </c>
      <c r="C61" s="5" t="str">
        <f t="shared" si="1"/>
        <v>Mass</v>
      </c>
      <c r="D61" s="5" t="str">
        <f t="shared" si="2"/>
        <v>H1</v>
      </c>
      <c r="E61" s="5" t="s">
        <v>11</v>
      </c>
      <c r="F61" s="5" t="s">
        <v>16</v>
      </c>
      <c r="G61" s="5"/>
      <c r="H61" s="5" cm="1">
        <f t="array" ref="H61">_xlfn.SWITCH(F61,"HP",_xlfn.XLOOKUP(E61&amp;"|"&amp;B61,
        Calculate_cap_ener!$I$14:$I$21&amp;"|"&amp;Calculate_cap_ener!$L$14:$L$21,
        Calculate_cap_ener!$X$14:$X$21, "Not found", 0),"HPl",_xlfn.XLOOKUP(E61&amp;"|"&amp;B61,
        Calculate_cap_ener!$I$14:$I$21&amp;"|"&amp;Calculate_cap_ener!$L$14:$L$21,
        Calculate_cap_ener!$AA$14:$AA$21, "Not found", 0),)</f>
        <v>8</v>
      </c>
      <c r="I61" s="5"/>
      <c r="J61" s="5"/>
      <c r="K61" s="5"/>
      <c r="L61" s="5" cm="1">
        <f t="array" ref="L61">_xlfn.SWITCH(F61,"R",_xlfn.XLOOKUP(E61&amp;"|"&amp;B61,
        Calculate_cap_ener!$I$14:$I$21&amp;"|"&amp;Calculate_cap_ener!$L$14:$L$21,
        Calculate_cap_ener!$AC$14:$AC$21, "Not found", 0),"Rb",_xlfn.XLOOKUP(E61&amp;"|"&amp;B61,
        Calculate_cap_ener!$I$14:$I$21&amp;"|"&amp;Calculate_cap_ener!$L$14:$L$21,
        Calculate_cap_ener!$AE$14:$AE$21, "Not found", 0),"Rl",_xlfn.XLOOKUP(E61&amp;"|"&amp;B61,
        Calculate_cap_ener!$I$14:$I$21&amp;"|"&amp;Calculate_cap_ener!$L$14:$L$21,
        Calculate_cap_ener!$AF$14:$AF$21, "Not found", 0),"HP",_xlfn.XLOOKUP(E61&amp;"|"&amp;B61,
        Calculate_cap_ener!$I$14:$I$21&amp;"|"&amp;Calculate_cap_ener!$L$14:$L$21,
        Calculate_cap_ener!$AD$14:$AD$21, "Not found", 0),"HPl",_xlfn.XLOOKUP(E61&amp;"|"&amp;B61,
        Calculate_cap_ener!$I$14:$I$21&amp;"|"&amp;Calculate_cap_ener!$L$14:$L$21,
        Calculate_cap_ener!$AG$14:$AG$21, "Not found", 0),"Missing")</f>
        <v>33081.064602352941</v>
      </c>
      <c r="M61" s="5"/>
      <c r="N61" s="5"/>
      <c r="O61" s="5"/>
      <c r="P61" s="5"/>
      <c r="Q61" s="5" cm="1">
        <f t="array" ref="Q61">_xlfn.SWITCH(F61,"R",_xlfn.XLOOKUP(E61&amp;"|"&amp;B61,
        Calculate_cap_ener!$I$14:$I$21&amp;"|"&amp;Calculate_cap_ener!$L$14:$L$21,
        Calculate_cap_ener!$AJ$14:$AJ$21, "Not found", 0),"Rb",_xlfn.XLOOKUP(E61&amp;"|"&amp;B61,
        Calculate_cap_ener!$I$14:$I$21&amp;"|"&amp;Calculate_cap_ener!$L$14:$L$21,
        Calculate_cap_ener!$AL$14:$AL$21, "Not found", 0),"Rl",_xlfn.XLOOKUP(E61&amp;"|"&amp;B61,
        Calculate_cap_ener!$I$14:$I$21&amp;"|"&amp;Calculate_cap_ener!$L$14:$L$21,
        Calculate_cap_ener!$AM$14:$AM$21, "Not found", 0),"HP",_xlfn.XLOOKUP(E61&amp;"|"&amp;B61,
        Calculate_cap_ener!$I$14:$I$21&amp;"|"&amp;Calculate_cap_ener!$L$14:$L$21,
        Calculate_cap_ener!$AK$14:$AK$21, "Not found", 0),"HPl",_xlfn.XLOOKUP(E61&amp;"|"&amp;B61,
        Calculate_cap_ener!$I$14:$I$21&amp;"|"&amp;Calculate_cap_ener!$L$14:$L$21,
        Calculate_cap_ener!$AN$14:$AN$21, "Not found", 0),"Missing")</f>
        <v>598.98906418416959</v>
      </c>
      <c r="R61" s="5" cm="1">
        <f t="array" ref="R61">_xlfn.SWITCH(F61,"R",_xlfn.XLOOKUP(E61&amp;"|"&amp;B61,
        Calculate_cap_ener!$I$14:$I$21&amp;"|"&amp;Calculate_cap_ener!$L$14:$L$21,
        Calculate_cap_ener!$AQ$14:$AQ$21, "Not found", 0),"Rb",_xlfn.XLOOKUP(E61&amp;"|"&amp;B61,
        Calculate_cap_ener!$I$14:$I$21&amp;"|"&amp;Calculate_cap_ener!$L$14:$L$21,
        Calculate_cap_ener!$AS$14:$AS$21, "Not found", 0),"Rl",_xlfn.XLOOKUP(E61&amp;"|"&amp;B61,
        Calculate_cap_ener!$I$14:$I$21&amp;"|"&amp;Calculate_cap_ener!$L$14:$L$21,
        Calculate_cap_ener!$AT$14:$AT$21, "Not found", 0),"HP",_xlfn.XLOOKUP(E61&amp;"|"&amp;B61,
        Calculate_cap_ener!$I$14:$I$21&amp;"|"&amp;Calculate_cap_ener!$L$14:$L$21,
        Calculate_cap_ener!$AR$14:$AR$21, "Not found", 0),"HPl",_xlfn.XLOOKUP(E61&amp;"|"&amp;B61,
        Calculate_cap_ener!$I$14:$I$21&amp;"|"&amp;Calculate_cap_ener!$L$14:$L$21,
        Calculate_cap_ener!$AU$14:$AU$21, "Not found", 0),"Missing")</f>
        <v>1446.5607041117646</v>
      </c>
      <c r="S61" s="5" cm="1">
        <f t="array" ref="S61">_xlfn.SWITCH(F61,"R",_xlfn.XLOOKUP(E61&amp;"|"&amp;B61,
        Calculate_cap_ener!$I$14:$I$21&amp;"|"&amp;Calculate_cap_ener!$L$14:$L$21,
        Calculate_cap_ener!$AX$14:$AX$21, "Not found", 0),"Rb",_xlfn.XLOOKUP(E61&amp;"|"&amp;B61,
        Calculate_cap_ener!$I$14:$I$21&amp;"|"&amp;Calculate_cap_ener!$L$14:$L$21,
        Calculate_cap_ener!$AZ$14:$AZ$21, "Not found", 0),"Rl",_xlfn.XLOOKUP(E61&amp;"|"&amp;B61,
        Calculate_cap_ener!$I$14:$I$21&amp;"|"&amp;Calculate_cap_ener!$L$14:$L$21,
        Calculate_cap_ener!$BA$14:$BA$21, "Not found", 0),"HP",_xlfn.XLOOKUP(E61&amp;"|"&amp;B61,
        Calculate_cap_ener!$I$14:$I$21&amp;"|"&amp;Calculate_cap_ener!$L$14:$L$21,
        Calculate_cap_ener!$AY$14:$AY$21, "Not found", 0),"HPl",_xlfn.XLOOKUP(E61&amp;"|"&amp;B61,
        Calculate_cap_ener!$I$14:$I$21&amp;"|"&amp;Calculate_cap_ener!$L$14:$L$21,
        Calculate_cap_ener!$BB$14:$BB$21, "Not found", 0),"Missing")</f>
        <v>7130.2195311176474</v>
      </c>
      <c r="T61" s="5" cm="1">
        <f t="array" ref="T61">_xlfn.SWITCH(F61,"R",_xlfn.XLOOKUP(E61&amp;"|"&amp;B61,
        Calculate_cap_ener!$I$14:$I$21&amp;"|"&amp;Calculate_cap_ener!$L$14:$L$21,
        Calculate_cap_ener!$BE$14:$BE$21, "Not found", 0),"Rb",_xlfn.XLOOKUP(E61&amp;"|"&amp;B61,
        Calculate_cap_ener!$I$14:$I$21&amp;"|"&amp;Calculate_cap_ener!$L$14:$L$21,
        Calculate_cap_ener!$BG$14:$BG$21, "Not found", 0),"Rl",_xlfn.XLOOKUP(E61&amp;"|"&amp;B61,
        Calculate_cap_ener!$I$14:$I$21&amp;"|"&amp;Calculate_cap_ener!$L$14:$L$21,
        Calculate_cap_ener!$BH$14:$BH$21, "Not found", 0),"HP",_xlfn.XLOOKUP(E61&amp;"|"&amp;B61,
        Calculate_cap_ener!$I$14:$I$21&amp;"|"&amp;Calculate_cap_ener!$L$14:$L$21,
        Calculate_cap_ener!$BF$14:$BF$21, "Not found", 0),"HPl",_xlfn.XLOOKUP(E61&amp;"|"&amp;B61,
        Calculate_cap_ener!$I$14:$I$21&amp;"|"&amp;Calculate_cap_ener!$L$14:$L$21,
        Calculate_cap_ener!$BI$14:$BI$21, "Not found", 0),"Missing")</f>
        <v>7510.587812823529</v>
      </c>
    </row>
    <row r="62" spans="1:20" x14ac:dyDescent="0.25">
      <c r="A62" s="5" t="s">
        <v>7</v>
      </c>
      <c r="B62" s="5" t="str">
        <f t="shared" si="0"/>
        <v>Mod-Nom</v>
      </c>
      <c r="C62" s="5" t="str">
        <f t="shared" si="1"/>
        <v>Mod</v>
      </c>
      <c r="D62" s="5" t="str">
        <f t="shared" si="2"/>
        <v>Nom</v>
      </c>
      <c r="E62" s="5" t="s">
        <v>11</v>
      </c>
      <c r="F62" s="5" t="s">
        <v>16</v>
      </c>
      <c r="G62" s="5"/>
      <c r="H62" s="5" cm="1">
        <f t="array" ref="H62">_xlfn.SWITCH(F62,"HP",_xlfn.XLOOKUP(E62&amp;"|"&amp;B62,
        Calculate_cap_ener!$I$14:$I$21&amp;"|"&amp;Calculate_cap_ener!$L$14:$L$21,
        Calculate_cap_ener!$X$14:$X$21, "Not found", 0),"HPl",_xlfn.XLOOKUP(E62&amp;"|"&amp;B62,
        Calculate_cap_ener!$I$14:$I$21&amp;"|"&amp;Calculate_cap_ener!$L$14:$L$21,
        Calculate_cap_ener!$AA$14:$AA$21, "Not found", 0),)</f>
        <v>16</v>
      </c>
      <c r="I62" s="5"/>
      <c r="J62" s="5"/>
      <c r="K62" s="5"/>
      <c r="L62" s="5" cm="1">
        <f t="array" ref="L62">_xlfn.SWITCH(F62,"R",_xlfn.XLOOKUP(E62&amp;"|"&amp;B62,
        Calculate_cap_ener!$I$14:$I$21&amp;"|"&amp;Calculate_cap_ener!$L$14:$L$21,
        Calculate_cap_ener!$AC$14:$AC$21, "Not found", 0),"Rb",_xlfn.XLOOKUP(E62&amp;"|"&amp;B62,
        Calculate_cap_ener!$I$14:$I$21&amp;"|"&amp;Calculate_cap_ener!$L$14:$L$21,
        Calculate_cap_ener!$AE$14:$AE$21, "Not found", 0),"Rl",_xlfn.XLOOKUP(E62&amp;"|"&amp;B62,
        Calculate_cap_ener!$I$14:$I$21&amp;"|"&amp;Calculate_cap_ener!$L$14:$L$21,
        Calculate_cap_ener!$AF$14:$AF$21, "Not found", 0),"HP",_xlfn.XLOOKUP(E62&amp;"|"&amp;B62,
        Calculate_cap_ener!$I$14:$I$21&amp;"|"&amp;Calculate_cap_ener!$L$14:$L$21,
        Calculate_cap_ener!$AD$14:$AD$21, "Not found", 0),"HPl",_xlfn.XLOOKUP(E62&amp;"|"&amp;B62,
        Calculate_cap_ener!$I$14:$I$21&amp;"|"&amp;Calculate_cap_ener!$L$14:$L$21,
        Calculate_cap_ener!$AG$14:$AG$21, "Not found", 0),"Missing")</f>
        <v>59252.554459411767</v>
      </c>
      <c r="M62" s="5"/>
      <c r="N62" s="5"/>
      <c r="O62" s="5"/>
      <c r="P62" s="5"/>
      <c r="Q62" s="5" cm="1">
        <f t="array" ref="Q62">_xlfn.SWITCH(F62,"R",_xlfn.XLOOKUP(E62&amp;"|"&amp;B62,
        Calculate_cap_ener!$I$14:$I$21&amp;"|"&amp;Calculate_cap_ener!$L$14:$L$21,
        Calculate_cap_ener!$AJ$14:$AJ$21, "Not found", 0),"Rb",_xlfn.XLOOKUP(E62&amp;"|"&amp;B62,
        Calculate_cap_ener!$I$14:$I$21&amp;"|"&amp;Calculate_cap_ener!$L$14:$L$21,
        Calculate_cap_ener!$AL$14:$AL$21, "Not found", 0),"Rl",_xlfn.XLOOKUP(E62&amp;"|"&amp;B62,
        Calculate_cap_ener!$I$14:$I$21&amp;"|"&amp;Calculate_cap_ener!$L$14:$L$21,
        Calculate_cap_ener!$AM$14:$AM$21, "Not found", 0),"HP",_xlfn.XLOOKUP(E62&amp;"|"&amp;B62,
        Calculate_cap_ener!$I$14:$I$21&amp;"|"&amp;Calculate_cap_ener!$L$14:$L$21,
        Calculate_cap_ener!$AK$14:$AK$21, "Not found", 0),"HPl",_xlfn.XLOOKUP(E62&amp;"|"&amp;B62,
        Calculate_cap_ener!$I$14:$I$21&amp;"|"&amp;Calculate_cap_ener!$L$14:$L$21,
        Calculate_cap_ener!$AN$14:$AN$21, "Not found", 0),"Missing")</f>
        <v>1278.7153913364277</v>
      </c>
      <c r="R62" s="5" cm="1">
        <f t="array" ref="R62">_xlfn.SWITCH(F62,"R",_xlfn.XLOOKUP(E62&amp;"|"&amp;B62,
        Calculate_cap_ener!$I$14:$I$21&amp;"|"&amp;Calculate_cap_ener!$L$14:$L$21,
        Calculate_cap_ener!$AQ$14:$AQ$21, "Not found", 0),"Rb",_xlfn.XLOOKUP(E62&amp;"|"&amp;B62,
        Calculate_cap_ener!$I$14:$I$21&amp;"|"&amp;Calculate_cap_ener!$L$14:$L$21,
        Calculate_cap_ener!$AS$14:$AS$21, "Not found", 0),"Rl",_xlfn.XLOOKUP(E62&amp;"|"&amp;B62,
        Calculate_cap_ener!$I$14:$I$21&amp;"|"&amp;Calculate_cap_ener!$L$14:$L$21,
        Calculate_cap_ener!$AT$14:$AT$21, "Not found", 0),"HP",_xlfn.XLOOKUP(E62&amp;"|"&amp;B62,
        Calculate_cap_ener!$I$14:$I$21&amp;"|"&amp;Calculate_cap_ener!$L$14:$L$21,
        Calculate_cap_ener!$AR$14:$AR$21, "Not found", 0),"HPl",_xlfn.XLOOKUP(E62&amp;"|"&amp;B62,
        Calculate_cap_ener!$I$14:$I$21&amp;"|"&amp;Calculate_cap_ener!$L$14:$L$21,
        Calculate_cap_ener!$AU$14:$AU$21, "Not found", 0),"Missing")</f>
        <v>2526.8814060000004</v>
      </c>
      <c r="S62" s="5" cm="1">
        <f t="array" ref="S62">_xlfn.SWITCH(F62,"R",_xlfn.XLOOKUP(E62&amp;"|"&amp;B62,
        Calculate_cap_ener!$I$14:$I$21&amp;"|"&amp;Calculate_cap_ener!$L$14:$L$21,
        Calculate_cap_ener!$AX$14:$AX$21, "Not found", 0),"Rb",_xlfn.XLOOKUP(E62&amp;"|"&amp;B62,
        Calculate_cap_ener!$I$14:$I$21&amp;"|"&amp;Calculate_cap_ener!$L$14:$L$21,
        Calculate_cap_ener!$AZ$14:$AZ$21, "Not found", 0),"Rl",_xlfn.XLOOKUP(E62&amp;"|"&amp;B62,
        Calculate_cap_ener!$I$14:$I$21&amp;"|"&amp;Calculate_cap_ener!$L$14:$L$21,
        Calculate_cap_ener!$BA$14:$BA$21, "Not found", 0),"HP",_xlfn.XLOOKUP(E62&amp;"|"&amp;B62,
        Calculate_cap_ener!$I$14:$I$21&amp;"|"&amp;Calculate_cap_ener!$L$14:$L$21,
        Calculate_cap_ener!$AY$14:$AY$21, "Not found", 0),"HPl",_xlfn.XLOOKUP(E62&amp;"|"&amp;B62,
        Calculate_cap_ener!$I$14:$I$21&amp;"|"&amp;Calculate_cap_ener!$L$14:$L$21,
        Calculate_cap_ener!$BB$14:$BB$21, "Not found", 0),"Missing")</f>
        <v>19899.985158294119</v>
      </c>
      <c r="T62" s="5" cm="1">
        <f t="array" ref="T62">_xlfn.SWITCH(F62,"R",_xlfn.XLOOKUP(E62&amp;"|"&amp;B62,
        Calculate_cap_ener!$I$14:$I$21&amp;"|"&amp;Calculate_cap_ener!$L$14:$L$21,
        Calculate_cap_ener!$BE$14:$BE$21, "Not found", 0),"Rb",_xlfn.XLOOKUP(E62&amp;"|"&amp;B62,
        Calculate_cap_ener!$I$14:$I$21&amp;"|"&amp;Calculate_cap_ener!$L$14:$L$21,
        Calculate_cap_ener!$BG$14:$BG$21, "Not found", 0),"Rl",_xlfn.XLOOKUP(E62&amp;"|"&amp;B62,
        Calculate_cap_ener!$I$14:$I$21&amp;"|"&amp;Calculate_cap_ener!$L$14:$L$21,
        Calculate_cap_ener!$BH$14:$BH$21, "Not found", 0),"HP",_xlfn.XLOOKUP(E62&amp;"|"&amp;B62,
        Calculate_cap_ener!$I$14:$I$21&amp;"|"&amp;Calculate_cap_ener!$L$14:$L$21,
        Calculate_cap_ener!$BF$14:$BF$21, "Not found", 0),"HPl",_xlfn.XLOOKUP(E62&amp;"|"&amp;B62,
        Calculate_cap_ener!$I$14:$I$21&amp;"|"&amp;Calculate_cap_ener!$L$14:$L$21,
        Calculate_cap_ener!$BI$14:$BI$21, "Not found", 0),"Missing")</f>
        <v>9125.8172410588231</v>
      </c>
    </row>
    <row r="63" spans="1:20" x14ac:dyDescent="0.25">
      <c r="A63" s="5" t="s">
        <v>8</v>
      </c>
      <c r="B63" s="5" t="str">
        <f t="shared" si="0"/>
        <v>Mod-Nom</v>
      </c>
      <c r="C63" s="5" t="str">
        <f t="shared" si="1"/>
        <v>Mod</v>
      </c>
      <c r="D63" s="5" t="str">
        <f t="shared" si="2"/>
        <v>Nom</v>
      </c>
      <c r="E63" s="5" t="s">
        <v>11</v>
      </c>
      <c r="F63" s="5" t="s">
        <v>16</v>
      </c>
      <c r="G63" s="5"/>
      <c r="H63" s="5" cm="1">
        <f t="array" ref="H63">_xlfn.SWITCH(F63,"HP",_xlfn.XLOOKUP(E63&amp;"|"&amp;B63,
        Calculate_cap_ener!$I$14:$I$21&amp;"|"&amp;Calculate_cap_ener!$L$14:$L$21,
        Calculate_cap_ener!$X$14:$X$21, "Not found", 0),"HPl",_xlfn.XLOOKUP(E63&amp;"|"&amp;B63,
        Calculate_cap_ener!$I$14:$I$21&amp;"|"&amp;Calculate_cap_ener!$L$14:$L$21,
        Calculate_cap_ener!$AA$14:$AA$21, "Not found", 0),)</f>
        <v>16</v>
      </c>
      <c r="I63" s="5"/>
      <c r="J63" s="5"/>
      <c r="K63" s="5"/>
      <c r="L63" s="5" cm="1">
        <f t="array" ref="L63">_xlfn.SWITCH(F63,"R",_xlfn.XLOOKUP(E63&amp;"|"&amp;B63,
        Calculate_cap_ener!$I$14:$I$21&amp;"|"&amp;Calculate_cap_ener!$L$14:$L$21,
        Calculate_cap_ener!$AC$14:$AC$21, "Not found", 0),"Rb",_xlfn.XLOOKUP(E63&amp;"|"&amp;B63,
        Calculate_cap_ener!$I$14:$I$21&amp;"|"&amp;Calculate_cap_ener!$L$14:$L$21,
        Calculate_cap_ener!$AE$14:$AE$21, "Not found", 0),"Rl",_xlfn.XLOOKUP(E63&amp;"|"&amp;B63,
        Calculate_cap_ener!$I$14:$I$21&amp;"|"&amp;Calculate_cap_ener!$L$14:$L$21,
        Calculate_cap_ener!$AF$14:$AF$21, "Not found", 0),"HP",_xlfn.XLOOKUP(E63&amp;"|"&amp;B63,
        Calculate_cap_ener!$I$14:$I$21&amp;"|"&amp;Calculate_cap_ener!$L$14:$L$21,
        Calculate_cap_ener!$AD$14:$AD$21, "Not found", 0),"HPl",_xlfn.XLOOKUP(E63&amp;"|"&amp;B63,
        Calculate_cap_ener!$I$14:$I$21&amp;"|"&amp;Calculate_cap_ener!$L$14:$L$21,
        Calculate_cap_ener!$AG$14:$AG$21, "Not found", 0),"Missing")</f>
        <v>59252.554459411767</v>
      </c>
      <c r="M63" s="5"/>
      <c r="N63" s="5"/>
      <c r="O63" s="5"/>
      <c r="P63" s="5"/>
      <c r="Q63" s="5" cm="1">
        <f t="array" ref="Q63">_xlfn.SWITCH(F63,"R",_xlfn.XLOOKUP(E63&amp;"|"&amp;B63,
        Calculate_cap_ener!$I$14:$I$21&amp;"|"&amp;Calculate_cap_ener!$L$14:$L$21,
        Calculate_cap_ener!$AJ$14:$AJ$21, "Not found", 0),"Rb",_xlfn.XLOOKUP(E63&amp;"|"&amp;B63,
        Calculate_cap_ener!$I$14:$I$21&amp;"|"&amp;Calculate_cap_ener!$L$14:$L$21,
        Calculate_cap_ener!$AL$14:$AL$21, "Not found", 0),"Rl",_xlfn.XLOOKUP(E63&amp;"|"&amp;B63,
        Calculate_cap_ener!$I$14:$I$21&amp;"|"&amp;Calculate_cap_ener!$L$14:$L$21,
        Calculate_cap_ener!$AM$14:$AM$21, "Not found", 0),"HP",_xlfn.XLOOKUP(E63&amp;"|"&amp;B63,
        Calculate_cap_ener!$I$14:$I$21&amp;"|"&amp;Calculate_cap_ener!$L$14:$L$21,
        Calculate_cap_ener!$AK$14:$AK$21, "Not found", 0),"HPl",_xlfn.XLOOKUP(E63&amp;"|"&amp;B63,
        Calculate_cap_ener!$I$14:$I$21&amp;"|"&amp;Calculate_cap_ener!$L$14:$L$21,
        Calculate_cap_ener!$AN$14:$AN$21, "Not found", 0),"Missing")</f>
        <v>1278.7153913364277</v>
      </c>
      <c r="R63" s="5" cm="1">
        <f t="array" ref="R63">_xlfn.SWITCH(F63,"R",_xlfn.XLOOKUP(E63&amp;"|"&amp;B63,
        Calculate_cap_ener!$I$14:$I$21&amp;"|"&amp;Calculate_cap_ener!$L$14:$L$21,
        Calculate_cap_ener!$AQ$14:$AQ$21, "Not found", 0),"Rb",_xlfn.XLOOKUP(E63&amp;"|"&amp;B63,
        Calculate_cap_ener!$I$14:$I$21&amp;"|"&amp;Calculate_cap_ener!$L$14:$L$21,
        Calculate_cap_ener!$AS$14:$AS$21, "Not found", 0),"Rl",_xlfn.XLOOKUP(E63&amp;"|"&amp;B63,
        Calculate_cap_ener!$I$14:$I$21&amp;"|"&amp;Calculate_cap_ener!$L$14:$L$21,
        Calculate_cap_ener!$AT$14:$AT$21, "Not found", 0),"HP",_xlfn.XLOOKUP(E63&amp;"|"&amp;B63,
        Calculate_cap_ener!$I$14:$I$21&amp;"|"&amp;Calculate_cap_ener!$L$14:$L$21,
        Calculate_cap_ener!$AR$14:$AR$21, "Not found", 0),"HPl",_xlfn.XLOOKUP(E63&amp;"|"&amp;B63,
        Calculate_cap_ener!$I$14:$I$21&amp;"|"&amp;Calculate_cap_ener!$L$14:$L$21,
        Calculate_cap_ener!$AU$14:$AU$21, "Not found", 0),"Missing")</f>
        <v>2526.8814060000004</v>
      </c>
      <c r="S63" s="5" cm="1">
        <f t="array" ref="S63">_xlfn.SWITCH(F63,"R",_xlfn.XLOOKUP(E63&amp;"|"&amp;B63,
        Calculate_cap_ener!$I$14:$I$21&amp;"|"&amp;Calculate_cap_ener!$L$14:$L$21,
        Calculate_cap_ener!$AX$14:$AX$21, "Not found", 0),"Rb",_xlfn.XLOOKUP(E63&amp;"|"&amp;B63,
        Calculate_cap_ener!$I$14:$I$21&amp;"|"&amp;Calculate_cap_ener!$L$14:$L$21,
        Calculate_cap_ener!$AZ$14:$AZ$21, "Not found", 0),"Rl",_xlfn.XLOOKUP(E63&amp;"|"&amp;B63,
        Calculate_cap_ener!$I$14:$I$21&amp;"|"&amp;Calculate_cap_ener!$L$14:$L$21,
        Calculate_cap_ener!$BA$14:$BA$21, "Not found", 0),"HP",_xlfn.XLOOKUP(E63&amp;"|"&amp;B63,
        Calculate_cap_ener!$I$14:$I$21&amp;"|"&amp;Calculate_cap_ener!$L$14:$L$21,
        Calculate_cap_ener!$AY$14:$AY$21, "Not found", 0),"HPl",_xlfn.XLOOKUP(E63&amp;"|"&amp;B63,
        Calculate_cap_ener!$I$14:$I$21&amp;"|"&amp;Calculate_cap_ener!$L$14:$L$21,
        Calculate_cap_ener!$BB$14:$BB$21, "Not found", 0),"Missing")</f>
        <v>19899.985158294119</v>
      </c>
      <c r="T63" s="5" cm="1">
        <f t="array" ref="T63">_xlfn.SWITCH(F63,"R",_xlfn.XLOOKUP(E63&amp;"|"&amp;B63,
        Calculate_cap_ener!$I$14:$I$21&amp;"|"&amp;Calculate_cap_ener!$L$14:$L$21,
        Calculate_cap_ener!$BE$14:$BE$21, "Not found", 0),"Rb",_xlfn.XLOOKUP(E63&amp;"|"&amp;B63,
        Calculate_cap_ener!$I$14:$I$21&amp;"|"&amp;Calculate_cap_ener!$L$14:$L$21,
        Calculate_cap_ener!$BG$14:$BG$21, "Not found", 0),"Rl",_xlfn.XLOOKUP(E63&amp;"|"&amp;B63,
        Calculate_cap_ener!$I$14:$I$21&amp;"|"&amp;Calculate_cap_ener!$L$14:$L$21,
        Calculate_cap_ener!$BH$14:$BH$21, "Not found", 0),"HP",_xlfn.XLOOKUP(E63&amp;"|"&amp;B63,
        Calculate_cap_ener!$I$14:$I$21&amp;"|"&amp;Calculate_cap_ener!$L$14:$L$21,
        Calculate_cap_ener!$BF$14:$BF$21, "Not found", 0),"HPl",_xlfn.XLOOKUP(E63&amp;"|"&amp;B63,
        Calculate_cap_ener!$I$14:$I$21&amp;"|"&amp;Calculate_cap_ener!$L$14:$L$21,
        Calculate_cap_ener!$BI$14:$BI$21, "Not found", 0),"Missing")</f>
        <v>9125.8172410588231</v>
      </c>
    </row>
    <row r="64" spans="1:20" x14ac:dyDescent="0.25">
      <c r="A64" s="5" t="s">
        <v>9</v>
      </c>
      <c r="B64" s="5" t="str">
        <f t="shared" si="0"/>
        <v>Mod-H1</v>
      </c>
      <c r="C64" s="5" t="str">
        <f t="shared" si="1"/>
        <v>Mod</v>
      </c>
      <c r="D64" s="5" t="str">
        <f t="shared" si="2"/>
        <v>H1</v>
      </c>
      <c r="E64" s="5" t="s">
        <v>11</v>
      </c>
      <c r="F64" s="5" t="s">
        <v>16</v>
      </c>
      <c r="G64" s="5"/>
      <c r="H64" s="5" cm="1">
        <f t="array" ref="H64">_xlfn.SWITCH(F64,"HP",_xlfn.XLOOKUP(E64&amp;"|"&amp;B64,
        Calculate_cap_ener!$I$14:$I$21&amp;"|"&amp;Calculate_cap_ener!$L$14:$L$21,
        Calculate_cap_ener!$X$14:$X$21, "Not found", 0),"HPl",_xlfn.XLOOKUP(E64&amp;"|"&amp;B64,
        Calculate_cap_ener!$I$14:$I$21&amp;"|"&amp;Calculate_cap_ener!$L$14:$L$21,
        Calculate_cap_ener!$AA$14:$AA$21, "Not found", 0),)</f>
        <v>12.5</v>
      </c>
      <c r="I64" s="5"/>
      <c r="J64" s="5"/>
      <c r="K64" s="5"/>
      <c r="L64" s="5" cm="1">
        <f t="array" ref="L64">_xlfn.SWITCH(F64,"R",_xlfn.XLOOKUP(E64&amp;"|"&amp;B64,
        Calculate_cap_ener!$I$14:$I$21&amp;"|"&amp;Calculate_cap_ener!$L$14:$L$21,
        Calculate_cap_ener!$AC$14:$AC$21, "Not found", 0),"Rb",_xlfn.XLOOKUP(E64&amp;"|"&amp;B64,
        Calculate_cap_ener!$I$14:$I$21&amp;"|"&amp;Calculate_cap_ener!$L$14:$L$21,
        Calculate_cap_ener!$AE$14:$AE$21, "Not found", 0),"Rl",_xlfn.XLOOKUP(E64&amp;"|"&amp;B64,
        Calculate_cap_ener!$I$14:$I$21&amp;"|"&amp;Calculate_cap_ener!$L$14:$L$21,
        Calculate_cap_ener!$AF$14:$AF$21, "Not found", 0),"HP",_xlfn.XLOOKUP(E64&amp;"|"&amp;B64,
        Calculate_cap_ener!$I$14:$I$21&amp;"|"&amp;Calculate_cap_ener!$L$14:$L$21,
        Calculate_cap_ener!$AD$14:$AD$21, "Not found", 0),"HPl",_xlfn.XLOOKUP(E64&amp;"|"&amp;B64,
        Calculate_cap_ener!$I$14:$I$21&amp;"|"&amp;Calculate_cap_ener!$L$14:$L$21,
        Calculate_cap_ener!$AG$14:$AG$21, "Not found", 0),"Missing")</f>
        <v>52195.761585882356</v>
      </c>
      <c r="M64" s="5"/>
      <c r="N64" s="5"/>
      <c r="O64" s="5"/>
      <c r="P64" s="5"/>
      <c r="Q64" s="5" cm="1">
        <f t="array" ref="Q64">_xlfn.SWITCH(F64,"R",_xlfn.XLOOKUP(E64&amp;"|"&amp;B64,
        Calculate_cap_ener!$I$14:$I$21&amp;"|"&amp;Calculate_cap_ener!$L$14:$L$21,
        Calculate_cap_ener!$AJ$14:$AJ$21, "Not found", 0),"Rb",_xlfn.XLOOKUP(E64&amp;"|"&amp;B64,
        Calculate_cap_ener!$I$14:$I$21&amp;"|"&amp;Calculate_cap_ener!$L$14:$L$21,
        Calculate_cap_ener!$AL$14:$AL$21, "Not found", 0),"Rl",_xlfn.XLOOKUP(E64&amp;"|"&amp;B64,
        Calculate_cap_ener!$I$14:$I$21&amp;"|"&amp;Calculate_cap_ener!$L$14:$L$21,
        Calculate_cap_ener!$AM$14:$AM$21, "Not found", 0),"HP",_xlfn.XLOOKUP(E64&amp;"|"&amp;B64,
        Calculate_cap_ener!$I$14:$I$21&amp;"|"&amp;Calculate_cap_ener!$L$14:$L$21,
        Calculate_cap_ener!$AK$14:$AK$21, "Not found", 0),"HPl",_xlfn.XLOOKUP(E64&amp;"|"&amp;B64,
        Calculate_cap_ener!$I$14:$I$21&amp;"|"&amp;Calculate_cap_ener!$L$14:$L$21,
        Calculate_cap_ener!$AN$14:$AN$21, "Not found", 0),"Missing")</f>
        <v>915.14124598374747</v>
      </c>
      <c r="R64" s="5" cm="1">
        <f t="array" ref="R64">_xlfn.SWITCH(F64,"R",_xlfn.XLOOKUP(E64&amp;"|"&amp;B64,
        Calculate_cap_ener!$I$14:$I$21&amp;"|"&amp;Calculate_cap_ener!$L$14:$L$21,
        Calculate_cap_ener!$AQ$14:$AQ$21, "Not found", 0),"Rb",_xlfn.XLOOKUP(E64&amp;"|"&amp;B64,
        Calculate_cap_ener!$I$14:$I$21&amp;"|"&amp;Calculate_cap_ener!$L$14:$L$21,
        Calculate_cap_ener!$AS$14:$AS$21, "Not found", 0),"Rl",_xlfn.XLOOKUP(E64&amp;"|"&amp;B64,
        Calculate_cap_ener!$I$14:$I$21&amp;"|"&amp;Calculate_cap_ener!$L$14:$L$21,
        Calculate_cap_ener!$AT$14:$AT$21, "Not found", 0),"HP",_xlfn.XLOOKUP(E64&amp;"|"&amp;B64,
        Calculate_cap_ener!$I$14:$I$21&amp;"|"&amp;Calculate_cap_ener!$L$14:$L$21,
        Calculate_cap_ener!$AR$14:$AR$21, "Not found", 0),"HPl",_xlfn.XLOOKUP(E64&amp;"|"&amp;B64,
        Calculate_cap_ener!$I$14:$I$21&amp;"|"&amp;Calculate_cap_ener!$L$14:$L$21,
        Calculate_cap_ener!$AU$14:$AU$21, "Not found", 0),"Missing")</f>
        <v>2361.7388716764708</v>
      </c>
      <c r="S64" s="5" cm="1">
        <f t="array" ref="S64">_xlfn.SWITCH(F64,"R",_xlfn.XLOOKUP(E64&amp;"|"&amp;B64,
        Calculate_cap_ener!$I$14:$I$21&amp;"|"&amp;Calculate_cap_ener!$L$14:$L$21,
        Calculate_cap_ener!$AX$14:$AX$21, "Not found", 0),"Rb",_xlfn.XLOOKUP(E64&amp;"|"&amp;B64,
        Calculate_cap_ener!$I$14:$I$21&amp;"|"&amp;Calculate_cap_ener!$L$14:$L$21,
        Calculate_cap_ener!$AZ$14:$AZ$21, "Not found", 0),"Rl",_xlfn.XLOOKUP(E64&amp;"|"&amp;B64,
        Calculate_cap_ener!$I$14:$I$21&amp;"|"&amp;Calculate_cap_ener!$L$14:$L$21,
        Calculate_cap_ener!$BA$14:$BA$21, "Not found", 0),"HP",_xlfn.XLOOKUP(E64&amp;"|"&amp;B64,
        Calculate_cap_ener!$I$14:$I$21&amp;"|"&amp;Calculate_cap_ener!$L$14:$L$21,
        Calculate_cap_ener!$AY$14:$AY$21, "Not found", 0),"HPl",_xlfn.XLOOKUP(E64&amp;"|"&amp;B64,
        Calculate_cap_ener!$I$14:$I$21&amp;"|"&amp;Calculate_cap_ener!$L$14:$L$21,
        Calculate_cap_ener!$BB$14:$BB$21, "Not found", 0),"Missing")</f>
        <v>12962.337690117647</v>
      </c>
      <c r="T64" s="5" cm="1">
        <f t="array" ref="T64">_xlfn.SWITCH(F64,"R",_xlfn.XLOOKUP(E64&amp;"|"&amp;B64,
        Calculate_cap_ener!$I$14:$I$21&amp;"|"&amp;Calculate_cap_ener!$L$14:$L$21,
        Calculate_cap_ener!$BE$14:$BE$21, "Not found", 0),"Rb",_xlfn.XLOOKUP(E64&amp;"|"&amp;B64,
        Calculate_cap_ener!$I$14:$I$21&amp;"|"&amp;Calculate_cap_ener!$L$14:$L$21,
        Calculate_cap_ener!$BG$14:$BG$21, "Not found", 0),"Rl",_xlfn.XLOOKUP(E64&amp;"|"&amp;B64,
        Calculate_cap_ener!$I$14:$I$21&amp;"|"&amp;Calculate_cap_ener!$L$14:$L$21,
        Calculate_cap_ener!$BH$14:$BH$21, "Not found", 0),"HP",_xlfn.XLOOKUP(E64&amp;"|"&amp;B64,
        Calculate_cap_ener!$I$14:$I$21&amp;"|"&amp;Calculate_cap_ener!$L$14:$L$21,
        Calculate_cap_ener!$BF$14:$BF$21, "Not found", 0),"HPl",_xlfn.XLOOKUP(E64&amp;"|"&amp;B64,
        Calculate_cap_ener!$I$14:$I$21&amp;"|"&amp;Calculate_cap_ener!$L$14:$L$21,
        Calculate_cap_ener!$BI$14:$BI$21, "Not found", 0),"Missing")</f>
        <v>12317.96599200226</v>
      </c>
    </row>
    <row r="65" spans="1:20" x14ac:dyDescent="0.25">
      <c r="A65" s="5" t="s">
        <v>10</v>
      </c>
      <c r="B65" s="5" t="str">
        <f t="shared" si="0"/>
        <v>Mod-H1</v>
      </c>
      <c r="C65" s="5" t="str">
        <f t="shared" si="1"/>
        <v>Mod</v>
      </c>
      <c r="D65" s="5" t="str">
        <f t="shared" si="2"/>
        <v>H1</v>
      </c>
      <c r="E65" s="5" t="s">
        <v>11</v>
      </c>
      <c r="F65" s="5" t="s">
        <v>16</v>
      </c>
      <c r="G65" s="5"/>
      <c r="H65" s="5" cm="1">
        <f t="array" ref="H65">_xlfn.SWITCH(F65,"HP",_xlfn.XLOOKUP(E65&amp;"|"&amp;B65,
        Calculate_cap_ener!$I$14:$I$21&amp;"|"&amp;Calculate_cap_ener!$L$14:$L$21,
        Calculate_cap_ener!$X$14:$X$21, "Not found", 0),"HPl",_xlfn.XLOOKUP(E65&amp;"|"&amp;B65,
        Calculate_cap_ener!$I$14:$I$21&amp;"|"&amp;Calculate_cap_ener!$L$14:$L$21,
        Calculate_cap_ener!$AA$14:$AA$21, "Not found", 0),)</f>
        <v>12.5</v>
      </c>
      <c r="I65" s="5"/>
      <c r="J65" s="5"/>
      <c r="K65" s="5"/>
      <c r="L65" s="5" cm="1">
        <f t="array" ref="L65">_xlfn.SWITCH(F65,"R",_xlfn.XLOOKUP(E65&amp;"|"&amp;B65,
        Calculate_cap_ener!$I$14:$I$21&amp;"|"&amp;Calculate_cap_ener!$L$14:$L$21,
        Calculate_cap_ener!$AC$14:$AC$21, "Not found", 0),"Rb",_xlfn.XLOOKUP(E65&amp;"|"&amp;B65,
        Calculate_cap_ener!$I$14:$I$21&amp;"|"&amp;Calculate_cap_ener!$L$14:$L$21,
        Calculate_cap_ener!$AE$14:$AE$21, "Not found", 0),"Rl",_xlfn.XLOOKUP(E65&amp;"|"&amp;B65,
        Calculate_cap_ener!$I$14:$I$21&amp;"|"&amp;Calculate_cap_ener!$L$14:$L$21,
        Calculate_cap_ener!$AF$14:$AF$21, "Not found", 0),"HP",_xlfn.XLOOKUP(E65&amp;"|"&amp;B65,
        Calculate_cap_ener!$I$14:$I$21&amp;"|"&amp;Calculate_cap_ener!$L$14:$L$21,
        Calculate_cap_ener!$AD$14:$AD$21, "Not found", 0),"HPl",_xlfn.XLOOKUP(E65&amp;"|"&amp;B65,
        Calculate_cap_ener!$I$14:$I$21&amp;"|"&amp;Calculate_cap_ener!$L$14:$L$21,
        Calculate_cap_ener!$AG$14:$AG$21, "Not found", 0),"Missing")</f>
        <v>52195.761585882356</v>
      </c>
      <c r="M65" s="5"/>
      <c r="N65" s="5"/>
      <c r="O65" s="5"/>
      <c r="P65" s="5"/>
      <c r="Q65" s="5" cm="1">
        <f t="array" ref="Q65">_xlfn.SWITCH(F65,"R",_xlfn.XLOOKUP(E65&amp;"|"&amp;B65,
        Calculate_cap_ener!$I$14:$I$21&amp;"|"&amp;Calculate_cap_ener!$L$14:$L$21,
        Calculate_cap_ener!$AJ$14:$AJ$21, "Not found", 0),"Rb",_xlfn.XLOOKUP(E65&amp;"|"&amp;B65,
        Calculate_cap_ener!$I$14:$I$21&amp;"|"&amp;Calculate_cap_ener!$L$14:$L$21,
        Calculate_cap_ener!$AL$14:$AL$21, "Not found", 0),"Rl",_xlfn.XLOOKUP(E65&amp;"|"&amp;B65,
        Calculate_cap_ener!$I$14:$I$21&amp;"|"&amp;Calculate_cap_ener!$L$14:$L$21,
        Calculate_cap_ener!$AM$14:$AM$21, "Not found", 0),"HP",_xlfn.XLOOKUP(E65&amp;"|"&amp;B65,
        Calculate_cap_ener!$I$14:$I$21&amp;"|"&amp;Calculate_cap_ener!$L$14:$L$21,
        Calculate_cap_ener!$AK$14:$AK$21, "Not found", 0),"HPl",_xlfn.XLOOKUP(E65&amp;"|"&amp;B65,
        Calculate_cap_ener!$I$14:$I$21&amp;"|"&amp;Calculate_cap_ener!$L$14:$L$21,
        Calculate_cap_ener!$AN$14:$AN$21, "Not found", 0),"Missing")</f>
        <v>915.14124598374747</v>
      </c>
      <c r="R65" s="5" cm="1">
        <f t="array" ref="R65">_xlfn.SWITCH(F65,"R",_xlfn.XLOOKUP(E65&amp;"|"&amp;B65,
        Calculate_cap_ener!$I$14:$I$21&amp;"|"&amp;Calculate_cap_ener!$L$14:$L$21,
        Calculate_cap_ener!$AQ$14:$AQ$21, "Not found", 0),"Rb",_xlfn.XLOOKUP(E65&amp;"|"&amp;B65,
        Calculate_cap_ener!$I$14:$I$21&amp;"|"&amp;Calculate_cap_ener!$L$14:$L$21,
        Calculate_cap_ener!$AS$14:$AS$21, "Not found", 0),"Rl",_xlfn.XLOOKUP(E65&amp;"|"&amp;B65,
        Calculate_cap_ener!$I$14:$I$21&amp;"|"&amp;Calculate_cap_ener!$L$14:$L$21,
        Calculate_cap_ener!$AT$14:$AT$21, "Not found", 0),"HP",_xlfn.XLOOKUP(E65&amp;"|"&amp;B65,
        Calculate_cap_ener!$I$14:$I$21&amp;"|"&amp;Calculate_cap_ener!$L$14:$L$21,
        Calculate_cap_ener!$AR$14:$AR$21, "Not found", 0),"HPl",_xlfn.XLOOKUP(E65&amp;"|"&amp;B65,
        Calculate_cap_ener!$I$14:$I$21&amp;"|"&amp;Calculate_cap_ener!$L$14:$L$21,
        Calculate_cap_ener!$AU$14:$AU$21, "Not found", 0),"Missing")</f>
        <v>2361.7388716764708</v>
      </c>
      <c r="S65" s="5" cm="1">
        <f t="array" ref="S65">_xlfn.SWITCH(F65,"R",_xlfn.XLOOKUP(E65&amp;"|"&amp;B65,
        Calculate_cap_ener!$I$14:$I$21&amp;"|"&amp;Calculate_cap_ener!$L$14:$L$21,
        Calculate_cap_ener!$AX$14:$AX$21, "Not found", 0),"Rb",_xlfn.XLOOKUP(E65&amp;"|"&amp;B65,
        Calculate_cap_ener!$I$14:$I$21&amp;"|"&amp;Calculate_cap_ener!$L$14:$L$21,
        Calculate_cap_ener!$AZ$14:$AZ$21, "Not found", 0),"Rl",_xlfn.XLOOKUP(E65&amp;"|"&amp;B65,
        Calculate_cap_ener!$I$14:$I$21&amp;"|"&amp;Calculate_cap_ener!$L$14:$L$21,
        Calculate_cap_ener!$BA$14:$BA$21, "Not found", 0),"HP",_xlfn.XLOOKUP(E65&amp;"|"&amp;B65,
        Calculate_cap_ener!$I$14:$I$21&amp;"|"&amp;Calculate_cap_ener!$L$14:$L$21,
        Calculate_cap_ener!$AY$14:$AY$21, "Not found", 0),"HPl",_xlfn.XLOOKUP(E65&amp;"|"&amp;B65,
        Calculate_cap_ener!$I$14:$I$21&amp;"|"&amp;Calculate_cap_ener!$L$14:$L$21,
        Calculate_cap_ener!$BB$14:$BB$21, "Not found", 0),"Missing")</f>
        <v>12962.337690117647</v>
      </c>
      <c r="T65" s="5" cm="1">
        <f t="array" ref="T65">_xlfn.SWITCH(F65,"R",_xlfn.XLOOKUP(E65&amp;"|"&amp;B65,
        Calculate_cap_ener!$I$14:$I$21&amp;"|"&amp;Calculate_cap_ener!$L$14:$L$21,
        Calculate_cap_ener!$BE$14:$BE$21, "Not found", 0),"Rb",_xlfn.XLOOKUP(E65&amp;"|"&amp;B65,
        Calculate_cap_ener!$I$14:$I$21&amp;"|"&amp;Calculate_cap_ener!$L$14:$L$21,
        Calculate_cap_ener!$BG$14:$BG$21, "Not found", 0),"Rl",_xlfn.XLOOKUP(E65&amp;"|"&amp;B65,
        Calculate_cap_ener!$I$14:$I$21&amp;"|"&amp;Calculate_cap_ener!$L$14:$L$21,
        Calculate_cap_ener!$BH$14:$BH$21, "Not found", 0),"HP",_xlfn.XLOOKUP(E65&amp;"|"&amp;B65,
        Calculate_cap_ener!$I$14:$I$21&amp;"|"&amp;Calculate_cap_ener!$L$14:$L$21,
        Calculate_cap_ener!$BF$14:$BF$21, "Not found", 0),"HPl",_xlfn.XLOOKUP(E65&amp;"|"&amp;B65,
        Calculate_cap_ener!$I$14:$I$21&amp;"|"&amp;Calculate_cap_ener!$L$14:$L$21,
        Calculate_cap_ener!$BI$14:$BI$21, "Not found", 0),"Missing")</f>
        <v>12317.96599200226</v>
      </c>
    </row>
    <row r="66" spans="1:20" x14ac:dyDescent="0.25">
      <c r="A66" s="5" t="s">
        <v>4</v>
      </c>
      <c r="B66" s="5" t="str">
        <f t="shared" si="0"/>
        <v>Mass-Nom</v>
      </c>
      <c r="C66" s="5" t="str">
        <f t="shared" si="1"/>
        <v>Mass</v>
      </c>
      <c r="D66" s="5" t="str">
        <f t="shared" si="2"/>
        <v>Nom</v>
      </c>
      <c r="E66" s="5" t="s">
        <v>3</v>
      </c>
      <c r="F66" s="5" t="s">
        <v>17</v>
      </c>
      <c r="G66" s="5"/>
      <c r="H66" s="5" cm="1">
        <f t="array" ref="H66">_xlfn.SWITCH(F66,"HP",_xlfn.XLOOKUP(E66&amp;"|"&amp;B66,
        Calculate_cap_ener!$I$14:$I$21&amp;"|"&amp;Calculate_cap_ener!$L$14:$L$21,
        Calculate_cap_ener!$X$14:$X$21, "Not found", 0),"HPl",_xlfn.XLOOKUP(E66&amp;"|"&amp;B66,
        Calculate_cap_ener!$I$14:$I$21&amp;"|"&amp;Calculate_cap_ener!$L$14:$L$21,
        Calculate_cap_ener!$AA$14:$AA$21, "Not found", 0),)</f>
        <v>7</v>
      </c>
      <c r="I66" s="5"/>
      <c r="J66" s="5"/>
      <c r="K66" s="5"/>
      <c r="L66" s="5" cm="1">
        <f t="array" ref="L66">_xlfn.SWITCH(F66,"R",_xlfn.XLOOKUP(E66&amp;"|"&amp;B66,
        Calculate_cap_ener!$I$14:$I$21&amp;"|"&amp;Calculate_cap_ener!$L$14:$L$21,
        Calculate_cap_ener!$AC$14:$AC$21, "Not found", 0),"Rb",_xlfn.XLOOKUP(E66&amp;"|"&amp;B66,
        Calculate_cap_ener!$I$14:$I$21&amp;"|"&amp;Calculate_cap_ener!$L$14:$L$21,
        Calculate_cap_ener!$AE$14:$AE$21, "Not found", 0),"Rl",_xlfn.XLOOKUP(E66&amp;"|"&amp;B66,
        Calculate_cap_ener!$I$14:$I$21&amp;"|"&amp;Calculate_cap_ener!$L$14:$L$21,
        Calculate_cap_ener!$AF$14:$AF$21, "Not found", 0),"HP",_xlfn.XLOOKUP(E66&amp;"|"&amp;B66,
        Calculate_cap_ener!$I$14:$I$21&amp;"|"&amp;Calculate_cap_ener!$L$14:$L$21,
        Calculate_cap_ener!$AD$14:$AD$21, "Not found", 0),"HPl",_xlfn.XLOOKUP(E66&amp;"|"&amp;B66,
        Calculate_cap_ener!$I$14:$I$21&amp;"|"&amp;Calculate_cap_ener!$L$14:$L$21,
        Calculate_cap_ener!$AG$14:$AG$21, "Not found", 0),"Missing")</f>
        <v>22484.269252941176</v>
      </c>
      <c r="M66" s="5"/>
      <c r="N66" s="5"/>
      <c r="O66" s="5"/>
      <c r="P66" s="5"/>
      <c r="Q66" s="5" cm="1">
        <f t="array" ref="Q66">_xlfn.SWITCH(F66,"R",_xlfn.XLOOKUP(E66&amp;"|"&amp;B66,
        Calculate_cap_ener!$I$14:$I$21&amp;"|"&amp;Calculate_cap_ener!$L$14:$L$21,
        Calculate_cap_ener!$AJ$14:$AJ$21, "Not found", 0),"Rb",_xlfn.XLOOKUP(E66&amp;"|"&amp;B66,
        Calculate_cap_ener!$I$14:$I$21&amp;"|"&amp;Calculate_cap_ener!$L$14:$L$21,
        Calculate_cap_ener!$AL$14:$AL$21, "Not found", 0),"Rl",_xlfn.XLOOKUP(E66&amp;"|"&amp;B66,
        Calculate_cap_ener!$I$14:$I$21&amp;"|"&amp;Calculate_cap_ener!$L$14:$L$21,
        Calculate_cap_ener!$AM$14:$AM$21, "Not found", 0),"HP",_xlfn.XLOOKUP(E66&amp;"|"&amp;B66,
        Calculate_cap_ener!$I$14:$I$21&amp;"|"&amp;Calculate_cap_ener!$L$14:$L$21,
        Calculate_cap_ener!$AK$14:$AK$21, "Not found", 0),"HPl",_xlfn.XLOOKUP(E66&amp;"|"&amp;B66,
        Calculate_cap_ener!$I$14:$I$21&amp;"|"&amp;Calculate_cap_ener!$L$14:$L$21,
        Calculate_cap_ener!$AN$14:$AN$21, "Not found", 0),"Missing")</f>
        <v>441.8460335368498</v>
      </c>
      <c r="R66" s="5" cm="1">
        <f t="array" ref="R66">_xlfn.SWITCH(F66,"R",_xlfn.XLOOKUP(E66&amp;"|"&amp;B66,
        Calculate_cap_ener!$I$14:$I$21&amp;"|"&amp;Calculate_cap_ener!$L$14:$L$21,
        Calculate_cap_ener!$AQ$14:$AQ$21, "Not found", 0),"Rb",_xlfn.XLOOKUP(E66&amp;"|"&amp;B66,
        Calculate_cap_ener!$I$14:$I$21&amp;"|"&amp;Calculate_cap_ener!$L$14:$L$21,
        Calculate_cap_ener!$AS$14:$AS$21, "Not found", 0),"Rl",_xlfn.XLOOKUP(E66&amp;"|"&amp;B66,
        Calculate_cap_ener!$I$14:$I$21&amp;"|"&amp;Calculate_cap_ener!$L$14:$L$21,
        Calculate_cap_ener!$AT$14:$AT$21, "Not found", 0),"HP",_xlfn.XLOOKUP(E66&amp;"|"&amp;B66,
        Calculate_cap_ener!$I$14:$I$21&amp;"|"&amp;Calculate_cap_ener!$L$14:$L$21,
        Calculate_cap_ener!$AR$14:$AR$21, "Not found", 0),"HPl",_xlfn.XLOOKUP(E66&amp;"|"&amp;B66,
        Calculate_cap_ener!$I$14:$I$21&amp;"|"&amp;Calculate_cap_ener!$L$14:$L$21,
        Calculate_cap_ener!$AU$14:$AU$21, "Not found", 0),"Missing")</f>
        <v>1079.291473482353</v>
      </c>
      <c r="S66" s="5" cm="1">
        <f t="array" ref="S66">_xlfn.SWITCH(F66,"R",_xlfn.XLOOKUP(E66&amp;"|"&amp;B66,
        Calculate_cap_ener!$I$14:$I$21&amp;"|"&amp;Calculate_cap_ener!$L$14:$L$21,
        Calculate_cap_ener!$AX$14:$AX$21, "Not found", 0),"Rb",_xlfn.XLOOKUP(E66&amp;"|"&amp;B66,
        Calculate_cap_ener!$I$14:$I$21&amp;"|"&amp;Calculate_cap_ener!$L$14:$L$21,
        Calculate_cap_ener!$AZ$14:$AZ$21, "Not found", 0),"Rl",_xlfn.XLOOKUP(E66&amp;"|"&amp;B66,
        Calculate_cap_ener!$I$14:$I$21&amp;"|"&amp;Calculate_cap_ener!$L$14:$L$21,
        Calculate_cap_ener!$BA$14:$BA$21, "Not found", 0),"HP",_xlfn.XLOOKUP(E66&amp;"|"&amp;B66,
        Calculate_cap_ener!$I$14:$I$21&amp;"|"&amp;Calculate_cap_ener!$L$14:$L$21,
        Calculate_cap_ener!$AY$14:$AY$21, "Not found", 0),"HPl",_xlfn.XLOOKUP(E66&amp;"|"&amp;B66,
        Calculate_cap_ener!$I$14:$I$21&amp;"|"&amp;Calculate_cap_ener!$L$14:$L$21,
        Calculate_cap_ener!$BB$14:$BB$21, "Not found", 0),"Missing")</f>
        <v>4310.2787639999997</v>
      </c>
      <c r="T66" s="5" cm="1">
        <f t="array" ref="T66">_xlfn.SWITCH(F66,"R",_xlfn.XLOOKUP(E66&amp;"|"&amp;B66,
        Calculate_cap_ener!$I$14:$I$21&amp;"|"&amp;Calculate_cap_ener!$L$14:$L$21,
        Calculate_cap_ener!$BE$14:$BE$21, "Not found", 0),"Rb",_xlfn.XLOOKUP(E66&amp;"|"&amp;B66,
        Calculate_cap_ener!$I$14:$I$21&amp;"|"&amp;Calculate_cap_ener!$L$14:$L$21,
        Calculate_cap_ener!$BG$14:$BG$21, "Not found", 0),"Rl",_xlfn.XLOOKUP(E66&amp;"|"&amp;B66,
        Calculate_cap_ener!$I$14:$I$21&amp;"|"&amp;Calculate_cap_ener!$L$14:$L$21,
        Calculate_cap_ener!$BH$14:$BH$21, "Not found", 0),"HP",_xlfn.XLOOKUP(E66&amp;"|"&amp;B66,
        Calculate_cap_ener!$I$14:$I$21&amp;"|"&amp;Calculate_cap_ener!$L$14:$L$21,
        Calculate_cap_ener!$BF$14:$BF$21, "Not found", 0),"HPl",_xlfn.XLOOKUP(E66&amp;"|"&amp;B66,
        Calculate_cap_ener!$I$14:$I$21&amp;"|"&amp;Calculate_cap_ener!$L$14:$L$21,
        Calculate_cap_ener!$BI$14:$BI$21, "Not found", 0),"Missing")</f>
        <v>4318.761676764706</v>
      </c>
    </row>
    <row r="67" spans="1:20" x14ac:dyDescent="0.25">
      <c r="A67" s="5" t="s">
        <v>2</v>
      </c>
      <c r="B67" s="5" t="str">
        <f t="shared" ref="B67:B81" si="3">_xlfn.TEXTBEFORE(A67, "-", 2)</f>
        <v>Mass-Nom</v>
      </c>
      <c r="C67" s="5" t="str">
        <f t="shared" ref="C67:C81" si="4">_xlfn.TEXTBEFORE(A67, "-", 1)</f>
        <v>Mass</v>
      </c>
      <c r="D67" s="5" t="str">
        <f t="shared" ref="D67:D81" si="5">_xlfn.TEXTAFTER(B67, "-", 1)</f>
        <v>Nom</v>
      </c>
      <c r="E67" s="5" t="s">
        <v>3</v>
      </c>
      <c r="F67" s="5" t="s">
        <v>17</v>
      </c>
      <c r="G67" s="5"/>
      <c r="H67" s="5" cm="1">
        <f t="array" ref="H67">_xlfn.SWITCH(F67,"HP",_xlfn.XLOOKUP(E67&amp;"|"&amp;B67,
        Calculate_cap_ener!$I$14:$I$21&amp;"|"&amp;Calculate_cap_ener!$L$14:$L$21,
        Calculate_cap_ener!$X$14:$X$21, "Not found", 0),"HPl",_xlfn.XLOOKUP(E67&amp;"|"&amp;B67,
        Calculate_cap_ener!$I$14:$I$21&amp;"|"&amp;Calculate_cap_ener!$L$14:$L$21,
        Calculate_cap_ener!$AA$14:$AA$21, "Not found", 0),)</f>
        <v>7</v>
      </c>
      <c r="I67" s="5"/>
      <c r="J67" s="5"/>
      <c r="K67" s="5"/>
      <c r="L67" s="5" cm="1">
        <f t="array" ref="L67">_xlfn.SWITCH(F67,"R",_xlfn.XLOOKUP(E67&amp;"|"&amp;B67,
        Calculate_cap_ener!$I$14:$I$21&amp;"|"&amp;Calculate_cap_ener!$L$14:$L$21,
        Calculate_cap_ener!$AC$14:$AC$21, "Not found", 0),"Rb",_xlfn.XLOOKUP(E67&amp;"|"&amp;B67,
        Calculate_cap_ener!$I$14:$I$21&amp;"|"&amp;Calculate_cap_ener!$L$14:$L$21,
        Calculate_cap_ener!$AE$14:$AE$21, "Not found", 0),"Rl",_xlfn.XLOOKUP(E67&amp;"|"&amp;B67,
        Calculate_cap_ener!$I$14:$I$21&amp;"|"&amp;Calculate_cap_ener!$L$14:$L$21,
        Calculate_cap_ener!$AF$14:$AF$21, "Not found", 0),"HP",_xlfn.XLOOKUP(E67&amp;"|"&amp;B67,
        Calculate_cap_ener!$I$14:$I$21&amp;"|"&amp;Calculate_cap_ener!$L$14:$L$21,
        Calculate_cap_ener!$AD$14:$AD$21, "Not found", 0),"HPl",_xlfn.XLOOKUP(E67&amp;"|"&amp;B67,
        Calculate_cap_ener!$I$14:$I$21&amp;"|"&amp;Calculate_cap_ener!$L$14:$L$21,
        Calculate_cap_ener!$AG$14:$AG$21, "Not found", 0),"Missing")</f>
        <v>22484.269252941176</v>
      </c>
      <c r="M67" s="5"/>
      <c r="N67" s="5"/>
      <c r="O67" s="5"/>
      <c r="P67" s="5"/>
      <c r="Q67" s="5" cm="1">
        <f t="array" ref="Q67">_xlfn.SWITCH(F67,"R",_xlfn.XLOOKUP(E67&amp;"|"&amp;B67,
        Calculate_cap_ener!$I$14:$I$21&amp;"|"&amp;Calculate_cap_ener!$L$14:$L$21,
        Calculate_cap_ener!$AJ$14:$AJ$21, "Not found", 0),"Rb",_xlfn.XLOOKUP(E67&amp;"|"&amp;B67,
        Calculate_cap_ener!$I$14:$I$21&amp;"|"&amp;Calculate_cap_ener!$L$14:$L$21,
        Calculate_cap_ener!$AL$14:$AL$21, "Not found", 0),"Rl",_xlfn.XLOOKUP(E67&amp;"|"&amp;B67,
        Calculate_cap_ener!$I$14:$I$21&amp;"|"&amp;Calculate_cap_ener!$L$14:$L$21,
        Calculate_cap_ener!$AM$14:$AM$21, "Not found", 0),"HP",_xlfn.XLOOKUP(E67&amp;"|"&amp;B67,
        Calculate_cap_ener!$I$14:$I$21&amp;"|"&amp;Calculate_cap_ener!$L$14:$L$21,
        Calculate_cap_ener!$AK$14:$AK$21, "Not found", 0),"HPl",_xlfn.XLOOKUP(E67&amp;"|"&amp;B67,
        Calculate_cap_ener!$I$14:$I$21&amp;"|"&amp;Calculate_cap_ener!$L$14:$L$21,
        Calculate_cap_ener!$AN$14:$AN$21, "Not found", 0),"Missing")</f>
        <v>441.8460335368498</v>
      </c>
      <c r="R67" s="5" cm="1">
        <f t="array" ref="R67">_xlfn.SWITCH(F67,"R",_xlfn.XLOOKUP(E67&amp;"|"&amp;B67,
        Calculate_cap_ener!$I$14:$I$21&amp;"|"&amp;Calculate_cap_ener!$L$14:$L$21,
        Calculate_cap_ener!$AQ$14:$AQ$21, "Not found", 0),"Rb",_xlfn.XLOOKUP(E67&amp;"|"&amp;B67,
        Calculate_cap_ener!$I$14:$I$21&amp;"|"&amp;Calculate_cap_ener!$L$14:$L$21,
        Calculate_cap_ener!$AS$14:$AS$21, "Not found", 0),"Rl",_xlfn.XLOOKUP(E67&amp;"|"&amp;B67,
        Calculate_cap_ener!$I$14:$I$21&amp;"|"&amp;Calculate_cap_ener!$L$14:$L$21,
        Calculate_cap_ener!$AT$14:$AT$21, "Not found", 0),"HP",_xlfn.XLOOKUP(E67&amp;"|"&amp;B67,
        Calculate_cap_ener!$I$14:$I$21&amp;"|"&amp;Calculate_cap_ener!$L$14:$L$21,
        Calculate_cap_ener!$AR$14:$AR$21, "Not found", 0),"HPl",_xlfn.XLOOKUP(E67&amp;"|"&amp;B67,
        Calculate_cap_ener!$I$14:$I$21&amp;"|"&amp;Calculate_cap_ener!$L$14:$L$21,
        Calculate_cap_ener!$AU$14:$AU$21, "Not found", 0),"Missing")</f>
        <v>1079.291473482353</v>
      </c>
      <c r="S67" s="5" cm="1">
        <f t="array" ref="S67">_xlfn.SWITCH(F67,"R",_xlfn.XLOOKUP(E67&amp;"|"&amp;B67,
        Calculate_cap_ener!$I$14:$I$21&amp;"|"&amp;Calculate_cap_ener!$L$14:$L$21,
        Calculate_cap_ener!$AX$14:$AX$21, "Not found", 0),"Rb",_xlfn.XLOOKUP(E67&amp;"|"&amp;B67,
        Calculate_cap_ener!$I$14:$I$21&amp;"|"&amp;Calculate_cap_ener!$L$14:$L$21,
        Calculate_cap_ener!$AZ$14:$AZ$21, "Not found", 0),"Rl",_xlfn.XLOOKUP(E67&amp;"|"&amp;B67,
        Calculate_cap_ener!$I$14:$I$21&amp;"|"&amp;Calculate_cap_ener!$L$14:$L$21,
        Calculate_cap_ener!$BA$14:$BA$21, "Not found", 0),"HP",_xlfn.XLOOKUP(E67&amp;"|"&amp;B67,
        Calculate_cap_ener!$I$14:$I$21&amp;"|"&amp;Calculate_cap_ener!$L$14:$L$21,
        Calculate_cap_ener!$AY$14:$AY$21, "Not found", 0),"HPl",_xlfn.XLOOKUP(E67&amp;"|"&amp;B67,
        Calculate_cap_ener!$I$14:$I$21&amp;"|"&amp;Calculate_cap_ener!$L$14:$L$21,
        Calculate_cap_ener!$BB$14:$BB$21, "Not found", 0),"Missing")</f>
        <v>4310.2787639999997</v>
      </c>
      <c r="T67" s="5" cm="1">
        <f t="array" ref="T67">_xlfn.SWITCH(F67,"R",_xlfn.XLOOKUP(E67&amp;"|"&amp;B67,
        Calculate_cap_ener!$I$14:$I$21&amp;"|"&amp;Calculate_cap_ener!$L$14:$L$21,
        Calculate_cap_ener!$BE$14:$BE$21, "Not found", 0),"Rb",_xlfn.XLOOKUP(E67&amp;"|"&amp;B67,
        Calculate_cap_ener!$I$14:$I$21&amp;"|"&amp;Calculate_cap_ener!$L$14:$L$21,
        Calculate_cap_ener!$BG$14:$BG$21, "Not found", 0),"Rl",_xlfn.XLOOKUP(E67&amp;"|"&amp;B67,
        Calculate_cap_ener!$I$14:$I$21&amp;"|"&amp;Calculate_cap_ener!$L$14:$L$21,
        Calculate_cap_ener!$BH$14:$BH$21, "Not found", 0),"HP",_xlfn.XLOOKUP(E67&amp;"|"&amp;B67,
        Calculate_cap_ener!$I$14:$I$21&amp;"|"&amp;Calculate_cap_ener!$L$14:$L$21,
        Calculate_cap_ener!$BF$14:$BF$21, "Not found", 0),"HPl",_xlfn.XLOOKUP(E67&amp;"|"&amp;B67,
        Calculate_cap_ener!$I$14:$I$21&amp;"|"&amp;Calculate_cap_ener!$L$14:$L$21,
        Calculate_cap_ener!$BI$14:$BI$21, "Not found", 0),"Missing")</f>
        <v>4318.761676764706</v>
      </c>
    </row>
    <row r="68" spans="1:20" x14ac:dyDescent="0.25">
      <c r="A68" s="5" t="s">
        <v>5</v>
      </c>
      <c r="B68" s="5" t="str">
        <f t="shared" si="3"/>
        <v>Mass-H1</v>
      </c>
      <c r="C68" s="5" t="str">
        <f t="shared" si="4"/>
        <v>Mass</v>
      </c>
      <c r="D68" s="5" t="str">
        <f t="shared" si="5"/>
        <v>H1</v>
      </c>
      <c r="E68" s="5" t="s">
        <v>3</v>
      </c>
      <c r="F68" s="5" t="s">
        <v>17</v>
      </c>
      <c r="G68" s="5"/>
      <c r="H68" s="5" cm="1">
        <f t="array" ref="H68">_xlfn.SWITCH(F68,"HP",_xlfn.XLOOKUP(E68&amp;"|"&amp;B68,
        Calculate_cap_ener!$I$14:$I$21&amp;"|"&amp;Calculate_cap_ener!$L$14:$L$21,
        Calculate_cap_ener!$X$14:$X$21, "Not found", 0),"HPl",_xlfn.XLOOKUP(E68&amp;"|"&amp;B68,
        Calculate_cap_ener!$I$14:$I$21&amp;"|"&amp;Calculate_cap_ener!$L$14:$L$21,
        Calculate_cap_ener!$AA$14:$AA$21, "Not found", 0),)</f>
        <v>4.5</v>
      </c>
      <c r="I68" s="5"/>
      <c r="J68" s="5"/>
      <c r="K68" s="5"/>
      <c r="L68" s="5" cm="1">
        <f t="array" ref="L68">_xlfn.SWITCH(F68,"R",_xlfn.XLOOKUP(E68&amp;"|"&amp;B68,
        Calculate_cap_ener!$I$14:$I$21&amp;"|"&amp;Calculate_cap_ener!$L$14:$L$21,
        Calculate_cap_ener!$AC$14:$AC$21, "Not found", 0),"Rb",_xlfn.XLOOKUP(E68&amp;"|"&amp;B68,
        Calculate_cap_ener!$I$14:$I$21&amp;"|"&amp;Calculate_cap_ener!$L$14:$L$21,
        Calculate_cap_ener!$AE$14:$AE$21, "Not found", 0),"Rl",_xlfn.XLOOKUP(E68&amp;"|"&amp;B68,
        Calculate_cap_ener!$I$14:$I$21&amp;"|"&amp;Calculate_cap_ener!$L$14:$L$21,
        Calculate_cap_ener!$AF$14:$AF$21, "Not found", 0),"HP",_xlfn.XLOOKUP(E68&amp;"|"&amp;B68,
        Calculate_cap_ener!$I$14:$I$21&amp;"|"&amp;Calculate_cap_ener!$L$14:$L$21,
        Calculate_cap_ener!$AD$14:$AD$21, "Not found", 0),"HPl",_xlfn.XLOOKUP(E68&amp;"|"&amp;B68,
        Calculate_cap_ener!$I$14:$I$21&amp;"|"&amp;Calculate_cap_ener!$L$14:$L$21,
        Calculate_cap_ener!$AG$14:$AG$21, "Not found", 0),"Missing")</f>
        <v>17752.101681176471</v>
      </c>
      <c r="M68" s="5"/>
      <c r="N68" s="5"/>
      <c r="O68" s="5"/>
      <c r="P68" s="5"/>
      <c r="Q68" s="5" cm="1">
        <f t="array" ref="Q68">_xlfn.SWITCH(F68,"R",_xlfn.XLOOKUP(E68&amp;"|"&amp;B68,
        Calculate_cap_ener!$I$14:$I$21&amp;"|"&amp;Calculate_cap_ener!$L$14:$L$21,
        Calculate_cap_ener!$AJ$14:$AJ$21, "Not found", 0),"Rb",_xlfn.XLOOKUP(E68&amp;"|"&amp;B68,
        Calculate_cap_ener!$I$14:$I$21&amp;"|"&amp;Calculate_cap_ener!$L$14:$L$21,
        Calculate_cap_ener!$AL$14:$AL$21, "Not found", 0),"Rl",_xlfn.XLOOKUP(E68&amp;"|"&amp;B68,
        Calculate_cap_ener!$I$14:$I$21&amp;"|"&amp;Calculate_cap_ener!$L$14:$L$21,
        Calculate_cap_ener!$AM$14:$AM$21, "Not found", 0),"HP",_xlfn.XLOOKUP(E68&amp;"|"&amp;B68,
        Calculate_cap_ener!$I$14:$I$21&amp;"|"&amp;Calculate_cap_ener!$L$14:$L$21,
        Calculate_cap_ener!$AK$14:$AK$21, "Not found", 0),"HPl",_xlfn.XLOOKUP(E68&amp;"|"&amp;B68,
        Calculate_cap_ener!$I$14:$I$21&amp;"|"&amp;Calculate_cap_ener!$L$14:$L$21,
        Calculate_cap_ener!$AN$14:$AN$21, "Not found", 0),"Missing")</f>
        <v>353.50761617218234</v>
      </c>
      <c r="R68" s="5" cm="1">
        <f t="array" ref="R68">_xlfn.SWITCH(F68,"R",_xlfn.XLOOKUP(E68&amp;"|"&amp;B68,
        Calculate_cap_ener!$I$14:$I$21&amp;"|"&amp;Calculate_cap_ener!$L$14:$L$21,
        Calculate_cap_ener!$AQ$14:$AQ$21, "Not found", 0),"Rb",_xlfn.XLOOKUP(E68&amp;"|"&amp;B68,
        Calculate_cap_ener!$I$14:$I$21&amp;"|"&amp;Calculate_cap_ener!$L$14:$L$21,
        Calculate_cap_ener!$AS$14:$AS$21, "Not found", 0),"Rl",_xlfn.XLOOKUP(E68&amp;"|"&amp;B68,
        Calculate_cap_ener!$I$14:$I$21&amp;"|"&amp;Calculate_cap_ener!$L$14:$L$21,
        Calculate_cap_ener!$AT$14:$AT$21, "Not found", 0),"HP",_xlfn.XLOOKUP(E68&amp;"|"&amp;B68,
        Calculate_cap_ener!$I$14:$I$21&amp;"|"&amp;Calculate_cap_ener!$L$14:$L$21,
        Calculate_cap_ener!$AR$14:$AR$21, "Not found", 0),"HPl",_xlfn.XLOOKUP(E68&amp;"|"&amp;B68,
        Calculate_cap_ener!$I$14:$I$21&amp;"|"&amp;Calculate_cap_ener!$L$14:$L$21,
        Calculate_cap_ener!$AU$14:$AU$21, "Not found", 0),"Missing")</f>
        <v>775.58389415294107</v>
      </c>
      <c r="S68" s="5" cm="1">
        <f t="array" ref="S68">_xlfn.SWITCH(F68,"R",_xlfn.XLOOKUP(E68&amp;"|"&amp;B68,
        Calculate_cap_ener!$I$14:$I$21&amp;"|"&amp;Calculate_cap_ener!$L$14:$L$21,
        Calculate_cap_ener!$AX$14:$AX$21, "Not found", 0),"Rb",_xlfn.XLOOKUP(E68&amp;"|"&amp;B68,
        Calculate_cap_ener!$I$14:$I$21&amp;"|"&amp;Calculate_cap_ener!$L$14:$L$21,
        Calculate_cap_ener!$AZ$14:$AZ$21, "Not found", 0),"Rl",_xlfn.XLOOKUP(E68&amp;"|"&amp;B68,
        Calculate_cap_ener!$I$14:$I$21&amp;"|"&amp;Calculate_cap_ener!$L$14:$L$21,
        Calculate_cap_ener!$BA$14:$BA$21, "Not found", 0),"HP",_xlfn.XLOOKUP(E68&amp;"|"&amp;B68,
        Calculate_cap_ener!$I$14:$I$21&amp;"|"&amp;Calculate_cap_ener!$L$14:$L$21,
        Calculate_cap_ener!$AY$14:$AY$21, "Not found", 0),"HPl",_xlfn.XLOOKUP(E68&amp;"|"&amp;B68,
        Calculate_cap_ener!$I$14:$I$21&amp;"|"&amp;Calculate_cap_ener!$L$14:$L$21,
        Calculate_cap_ener!$BB$14:$BB$21, "Not found", 0),"Missing")</f>
        <v>2636.160605</v>
      </c>
      <c r="T68" s="5" cm="1">
        <f t="array" ref="T68">_xlfn.SWITCH(F68,"R",_xlfn.XLOOKUP(E68&amp;"|"&amp;B68,
        Calculate_cap_ener!$I$14:$I$21&amp;"|"&amp;Calculate_cap_ener!$L$14:$L$21,
        Calculate_cap_ener!$BE$14:$BE$21, "Not found", 0),"Rb",_xlfn.XLOOKUP(E68&amp;"|"&amp;B68,
        Calculate_cap_ener!$I$14:$I$21&amp;"|"&amp;Calculate_cap_ener!$L$14:$L$21,
        Calculate_cap_ener!$BG$14:$BG$21, "Not found", 0),"Rl",_xlfn.XLOOKUP(E68&amp;"|"&amp;B68,
        Calculate_cap_ener!$I$14:$I$21&amp;"|"&amp;Calculate_cap_ener!$L$14:$L$21,
        Calculate_cap_ener!$BH$14:$BH$21, "Not found", 0),"HP",_xlfn.XLOOKUP(E68&amp;"|"&amp;B68,
        Calculate_cap_ener!$I$14:$I$21&amp;"|"&amp;Calculate_cap_ener!$L$14:$L$21,
        Calculate_cap_ener!$BF$14:$BF$21, "Not found", 0),"HPl",_xlfn.XLOOKUP(E68&amp;"|"&amp;B68,
        Calculate_cap_ener!$I$14:$I$21&amp;"|"&amp;Calculate_cap_ener!$L$14:$L$21,
        Calculate_cap_ener!$BI$14:$BI$21, "Not found", 0),"Missing")</f>
        <v>3421.411993588235</v>
      </c>
    </row>
    <row r="69" spans="1:20" x14ac:dyDescent="0.25">
      <c r="A69" s="5" t="s">
        <v>6</v>
      </c>
      <c r="B69" s="5" t="str">
        <f t="shared" si="3"/>
        <v>Mass-H1</v>
      </c>
      <c r="C69" s="5" t="str">
        <f t="shared" si="4"/>
        <v>Mass</v>
      </c>
      <c r="D69" s="5" t="str">
        <f t="shared" si="5"/>
        <v>H1</v>
      </c>
      <c r="E69" s="5" t="s">
        <v>3</v>
      </c>
      <c r="F69" s="5" t="s">
        <v>17</v>
      </c>
      <c r="G69" s="5"/>
      <c r="H69" s="5" cm="1">
        <f t="array" ref="H69">_xlfn.SWITCH(F69,"HP",_xlfn.XLOOKUP(E69&amp;"|"&amp;B69,
        Calculate_cap_ener!$I$14:$I$21&amp;"|"&amp;Calculate_cap_ener!$L$14:$L$21,
        Calculate_cap_ener!$X$14:$X$21, "Not found", 0),"HPl",_xlfn.XLOOKUP(E69&amp;"|"&amp;B69,
        Calculate_cap_ener!$I$14:$I$21&amp;"|"&amp;Calculate_cap_ener!$L$14:$L$21,
        Calculate_cap_ener!$AA$14:$AA$21, "Not found", 0),)</f>
        <v>4.5</v>
      </c>
      <c r="I69" s="5"/>
      <c r="J69" s="5"/>
      <c r="K69" s="5"/>
      <c r="L69" s="5" cm="1">
        <f t="array" ref="L69">_xlfn.SWITCH(F69,"R",_xlfn.XLOOKUP(E69&amp;"|"&amp;B69,
        Calculate_cap_ener!$I$14:$I$21&amp;"|"&amp;Calculate_cap_ener!$L$14:$L$21,
        Calculate_cap_ener!$AC$14:$AC$21, "Not found", 0),"Rb",_xlfn.XLOOKUP(E69&amp;"|"&amp;B69,
        Calculate_cap_ener!$I$14:$I$21&amp;"|"&amp;Calculate_cap_ener!$L$14:$L$21,
        Calculate_cap_ener!$AE$14:$AE$21, "Not found", 0),"Rl",_xlfn.XLOOKUP(E69&amp;"|"&amp;B69,
        Calculate_cap_ener!$I$14:$I$21&amp;"|"&amp;Calculate_cap_ener!$L$14:$L$21,
        Calculate_cap_ener!$AF$14:$AF$21, "Not found", 0),"HP",_xlfn.XLOOKUP(E69&amp;"|"&amp;B69,
        Calculate_cap_ener!$I$14:$I$21&amp;"|"&amp;Calculate_cap_ener!$L$14:$L$21,
        Calculate_cap_ener!$AD$14:$AD$21, "Not found", 0),"HPl",_xlfn.XLOOKUP(E69&amp;"|"&amp;B69,
        Calculate_cap_ener!$I$14:$I$21&amp;"|"&amp;Calculate_cap_ener!$L$14:$L$21,
        Calculate_cap_ener!$AG$14:$AG$21, "Not found", 0),"Missing")</f>
        <v>17752.101681176471</v>
      </c>
      <c r="M69" s="5"/>
      <c r="N69" s="5"/>
      <c r="O69" s="5"/>
      <c r="P69" s="5"/>
      <c r="Q69" s="5" cm="1">
        <f t="array" ref="Q69">_xlfn.SWITCH(F69,"R",_xlfn.XLOOKUP(E69&amp;"|"&amp;B69,
        Calculate_cap_ener!$I$14:$I$21&amp;"|"&amp;Calculate_cap_ener!$L$14:$L$21,
        Calculate_cap_ener!$AJ$14:$AJ$21, "Not found", 0),"Rb",_xlfn.XLOOKUP(E69&amp;"|"&amp;B69,
        Calculate_cap_ener!$I$14:$I$21&amp;"|"&amp;Calculate_cap_ener!$L$14:$L$21,
        Calculate_cap_ener!$AL$14:$AL$21, "Not found", 0),"Rl",_xlfn.XLOOKUP(E69&amp;"|"&amp;B69,
        Calculate_cap_ener!$I$14:$I$21&amp;"|"&amp;Calculate_cap_ener!$L$14:$L$21,
        Calculate_cap_ener!$AM$14:$AM$21, "Not found", 0),"HP",_xlfn.XLOOKUP(E69&amp;"|"&amp;B69,
        Calculate_cap_ener!$I$14:$I$21&amp;"|"&amp;Calculate_cap_ener!$L$14:$L$21,
        Calculate_cap_ener!$AK$14:$AK$21, "Not found", 0),"HPl",_xlfn.XLOOKUP(E69&amp;"|"&amp;B69,
        Calculate_cap_ener!$I$14:$I$21&amp;"|"&amp;Calculate_cap_ener!$L$14:$L$21,
        Calculate_cap_ener!$AN$14:$AN$21, "Not found", 0),"Missing")</f>
        <v>353.50761617218234</v>
      </c>
      <c r="R69" s="5" cm="1">
        <f t="array" ref="R69">_xlfn.SWITCH(F69,"R",_xlfn.XLOOKUP(E69&amp;"|"&amp;B69,
        Calculate_cap_ener!$I$14:$I$21&amp;"|"&amp;Calculate_cap_ener!$L$14:$L$21,
        Calculate_cap_ener!$AQ$14:$AQ$21, "Not found", 0),"Rb",_xlfn.XLOOKUP(E69&amp;"|"&amp;B69,
        Calculate_cap_ener!$I$14:$I$21&amp;"|"&amp;Calculate_cap_ener!$L$14:$L$21,
        Calculate_cap_ener!$AS$14:$AS$21, "Not found", 0),"Rl",_xlfn.XLOOKUP(E69&amp;"|"&amp;B69,
        Calculate_cap_ener!$I$14:$I$21&amp;"|"&amp;Calculate_cap_ener!$L$14:$L$21,
        Calculate_cap_ener!$AT$14:$AT$21, "Not found", 0),"HP",_xlfn.XLOOKUP(E69&amp;"|"&amp;B69,
        Calculate_cap_ener!$I$14:$I$21&amp;"|"&amp;Calculate_cap_ener!$L$14:$L$21,
        Calculate_cap_ener!$AR$14:$AR$21, "Not found", 0),"HPl",_xlfn.XLOOKUP(E69&amp;"|"&amp;B69,
        Calculate_cap_ener!$I$14:$I$21&amp;"|"&amp;Calculate_cap_ener!$L$14:$L$21,
        Calculate_cap_ener!$AU$14:$AU$21, "Not found", 0),"Missing")</f>
        <v>775.58389415294107</v>
      </c>
      <c r="S69" s="5" cm="1">
        <f t="array" ref="S69">_xlfn.SWITCH(F69,"R",_xlfn.XLOOKUP(E69&amp;"|"&amp;B69,
        Calculate_cap_ener!$I$14:$I$21&amp;"|"&amp;Calculate_cap_ener!$L$14:$L$21,
        Calculate_cap_ener!$AX$14:$AX$21, "Not found", 0),"Rb",_xlfn.XLOOKUP(E69&amp;"|"&amp;B69,
        Calculate_cap_ener!$I$14:$I$21&amp;"|"&amp;Calculate_cap_ener!$L$14:$L$21,
        Calculate_cap_ener!$AZ$14:$AZ$21, "Not found", 0),"Rl",_xlfn.XLOOKUP(E69&amp;"|"&amp;B69,
        Calculate_cap_ener!$I$14:$I$21&amp;"|"&amp;Calculate_cap_ener!$L$14:$L$21,
        Calculate_cap_ener!$BA$14:$BA$21, "Not found", 0),"HP",_xlfn.XLOOKUP(E69&amp;"|"&amp;B69,
        Calculate_cap_ener!$I$14:$I$21&amp;"|"&amp;Calculate_cap_ener!$L$14:$L$21,
        Calculate_cap_ener!$AY$14:$AY$21, "Not found", 0),"HPl",_xlfn.XLOOKUP(E69&amp;"|"&amp;B69,
        Calculate_cap_ener!$I$14:$I$21&amp;"|"&amp;Calculate_cap_ener!$L$14:$L$21,
        Calculate_cap_ener!$BB$14:$BB$21, "Not found", 0),"Missing")</f>
        <v>2636.160605</v>
      </c>
      <c r="T69" s="5" cm="1">
        <f t="array" ref="T69">_xlfn.SWITCH(F69,"R",_xlfn.XLOOKUP(E69&amp;"|"&amp;B69,
        Calculate_cap_ener!$I$14:$I$21&amp;"|"&amp;Calculate_cap_ener!$L$14:$L$21,
        Calculate_cap_ener!$BE$14:$BE$21, "Not found", 0),"Rb",_xlfn.XLOOKUP(E69&amp;"|"&amp;B69,
        Calculate_cap_ener!$I$14:$I$21&amp;"|"&amp;Calculate_cap_ener!$L$14:$L$21,
        Calculate_cap_ener!$BG$14:$BG$21, "Not found", 0),"Rl",_xlfn.XLOOKUP(E69&amp;"|"&amp;B69,
        Calculate_cap_ener!$I$14:$I$21&amp;"|"&amp;Calculate_cap_ener!$L$14:$L$21,
        Calculate_cap_ener!$BH$14:$BH$21, "Not found", 0),"HP",_xlfn.XLOOKUP(E69&amp;"|"&amp;B69,
        Calculate_cap_ener!$I$14:$I$21&amp;"|"&amp;Calculate_cap_ener!$L$14:$L$21,
        Calculate_cap_ener!$BF$14:$BF$21, "Not found", 0),"HPl",_xlfn.XLOOKUP(E69&amp;"|"&amp;B69,
        Calculate_cap_ener!$I$14:$I$21&amp;"|"&amp;Calculate_cap_ener!$L$14:$L$21,
        Calculate_cap_ener!$BI$14:$BI$21, "Not found", 0),"Missing")</f>
        <v>3421.411993588235</v>
      </c>
    </row>
    <row r="70" spans="1:20" x14ac:dyDescent="0.25">
      <c r="A70" s="5" t="s">
        <v>7</v>
      </c>
      <c r="B70" s="5" t="str">
        <f t="shared" si="3"/>
        <v>Mod-Nom</v>
      </c>
      <c r="C70" s="5" t="str">
        <f t="shared" si="4"/>
        <v>Mod</v>
      </c>
      <c r="D70" s="5" t="str">
        <f t="shared" si="5"/>
        <v>Nom</v>
      </c>
      <c r="E70" s="5" t="s">
        <v>3</v>
      </c>
      <c r="F70" s="5" t="s">
        <v>17</v>
      </c>
      <c r="G70" s="5"/>
      <c r="H70" s="5" cm="1">
        <f t="array" ref="H70">_xlfn.SWITCH(F70,"HP",_xlfn.XLOOKUP(E70&amp;"|"&amp;B70,
        Calculate_cap_ener!$I$14:$I$21&amp;"|"&amp;Calculate_cap_ener!$L$14:$L$21,
        Calculate_cap_ener!$X$14:$X$21, "Not found", 0),"HPl",_xlfn.XLOOKUP(E70&amp;"|"&amp;B70,
        Calculate_cap_ener!$I$14:$I$21&amp;"|"&amp;Calculate_cap_ener!$L$14:$L$21,
        Calculate_cap_ener!$AA$14:$AA$21, "Not found", 0),)</f>
        <v>8</v>
      </c>
      <c r="I70" s="5"/>
      <c r="J70" s="5"/>
      <c r="K70" s="5"/>
      <c r="L70" s="5" cm="1">
        <f t="array" ref="L70">_xlfn.SWITCH(F70,"R",_xlfn.XLOOKUP(E70&amp;"|"&amp;B70,
        Calculate_cap_ener!$I$14:$I$21&amp;"|"&amp;Calculate_cap_ener!$L$14:$L$21,
        Calculate_cap_ener!$AC$14:$AC$21, "Not found", 0),"Rb",_xlfn.XLOOKUP(E70&amp;"|"&amp;B70,
        Calculate_cap_ener!$I$14:$I$21&amp;"|"&amp;Calculate_cap_ener!$L$14:$L$21,
        Calculate_cap_ener!$AE$14:$AE$21, "Not found", 0),"Rl",_xlfn.XLOOKUP(E70&amp;"|"&amp;B70,
        Calculate_cap_ener!$I$14:$I$21&amp;"|"&amp;Calculate_cap_ener!$L$14:$L$21,
        Calculate_cap_ener!$AF$14:$AF$21, "Not found", 0),"HP",_xlfn.XLOOKUP(E70&amp;"|"&amp;B70,
        Calculate_cap_ener!$I$14:$I$21&amp;"|"&amp;Calculate_cap_ener!$L$14:$L$21,
        Calculate_cap_ener!$AD$14:$AD$21, "Not found", 0),"HPl",_xlfn.XLOOKUP(E70&amp;"|"&amp;B70,
        Calculate_cap_ener!$I$14:$I$21&amp;"|"&amp;Calculate_cap_ener!$L$14:$L$21,
        Calculate_cap_ener!$AG$14:$AG$21, "Not found", 0),"Missing")</f>
        <v>24377.136271764706</v>
      </c>
      <c r="M70" s="5"/>
      <c r="N70" s="5"/>
      <c r="O70" s="5"/>
      <c r="P70" s="5"/>
      <c r="Q70" s="5" cm="1">
        <f t="array" ref="Q70">_xlfn.SWITCH(F70,"R",_xlfn.XLOOKUP(E70&amp;"|"&amp;B70,
        Calculate_cap_ener!$I$14:$I$21&amp;"|"&amp;Calculate_cap_ener!$L$14:$L$21,
        Calculate_cap_ener!$AJ$14:$AJ$21, "Not found", 0),"Rb",_xlfn.XLOOKUP(E70&amp;"|"&amp;B70,
        Calculate_cap_ener!$I$14:$I$21&amp;"|"&amp;Calculate_cap_ener!$L$14:$L$21,
        Calculate_cap_ener!$AL$14:$AL$21, "Not found", 0),"Rl",_xlfn.XLOOKUP(E70&amp;"|"&amp;B70,
        Calculate_cap_ener!$I$14:$I$21&amp;"|"&amp;Calculate_cap_ener!$L$14:$L$21,
        Calculate_cap_ener!$AM$14:$AM$21, "Not found", 0),"HP",_xlfn.XLOOKUP(E70&amp;"|"&amp;B70,
        Calculate_cap_ener!$I$14:$I$21&amp;"|"&amp;Calculate_cap_ener!$L$14:$L$21,
        Calculate_cap_ener!$AK$14:$AK$21, "Not found", 0),"HPl",_xlfn.XLOOKUP(E70&amp;"|"&amp;B70,
        Calculate_cap_ener!$I$14:$I$21&amp;"|"&amp;Calculate_cap_ener!$L$14:$L$21,
        Calculate_cap_ener!$AN$14:$AN$21, "Not found", 0),"Missing")</f>
        <v>477.18140043064511</v>
      </c>
      <c r="R70" s="5" cm="1">
        <f t="array" ref="R70">_xlfn.SWITCH(F70,"R",_xlfn.XLOOKUP(E70&amp;"|"&amp;B70,
        Calculate_cap_ener!$I$14:$I$21&amp;"|"&amp;Calculate_cap_ener!$L$14:$L$21,
        Calculate_cap_ener!$AQ$14:$AQ$21, "Not found", 0),"Rb",_xlfn.XLOOKUP(E70&amp;"|"&amp;B70,
        Calculate_cap_ener!$I$14:$I$21&amp;"|"&amp;Calculate_cap_ener!$L$14:$L$21,
        Calculate_cap_ener!$AS$14:$AS$21, "Not found", 0),"Rl",_xlfn.XLOOKUP(E70&amp;"|"&amp;B70,
        Calculate_cap_ener!$I$14:$I$21&amp;"|"&amp;Calculate_cap_ener!$L$14:$L$21,
        Calculate_cap_ener!$AT$14:$AT$21, "Not found", 0),"HP",_xlfn.XLOOKUP(E70&amp;"|"&amp;B70,
        Calculate_cap_ener!$I$14:$I$21&amp;"|"&amp;Calculate_cap_ener!$L$14:$L$21,
        Calculate_cap_ener!$AR$14:$AR$21, "Not found", 0),"HPl",_xlfn.XLOOKUP(E70&amp;"|"&amp;B70,
        Calculate_cap_ener!$I$14:$I$21&amp;"|"&amp;Calculate_cap_ener!$L$14:$L$21,
        Calculate_cap_ener!$AU$14:$AU$21, "Not found", 0),"Missing")</f>
        <v>1200.7745051647057</v>
      </c>
      <c r="S70" s="5" cm="1">
        <f t="array" ref="S70">_xlfn.SWITCH(F70,"R",_xlfn.XLOOKUP(E70&amp;"|"&amp;B70,
        Calculate_cap_ener!$I$14:$I$21&amp;"|"&amp;Calculate_cap_ener!$L$14:$L$21,
        Calculate_cap_ener!$AX$14:$AX$21, "Not found", 0),"Rb",_xlfn.XLOOKUP(E70&amp;"|"&amp;B70,
        Calculate_cap_ener!$I$14:$I$21&amp;"|"&amp;Calculate_cap_ener!$L$14:$L$21,
        Calculate_cap_ener!$AZ$14:$AZ$21, "Not found", 0),"Rl",_xlfn.XLOOKUP(E70&amp;"|"&amp;B70,
        Calculate_cap_ener!$I$14:$I$21&amp;"|"&amp;Calculate_cap_ener!$L$14:$L$21,
        Calculate_cap_ener!$BA$14:$BA$21, "Not found", 0),"HP",_xlfn.XLOOKUP(E70&amp;"|"&amp;B70,
        Calculate_cap_ener!$I$14:$I$21&amp;"|"&amp;Calculate_cap_ener!$L$14:$L$21,
        Calculate_cap_ener!$AY$14:$AY$21, "Not found", 0),"HPl",_xlfn.XLOOKUP(E70&amp;"|"&amp;B70,
        Calculate_cap_ener!$I$14:$I$21&amp;"|"&amp;Calculate_cap_ener!$L$14:$L$21,
        Calculate_cap_ener!$BB$14:$BB$21, "Not found", 0),"Missing")</f>
        <v>4979.9260279999999</v>
      </c>
      <c r="T70" s="5" cm="1">
        <f t="array" ref="T70">_xlfn.SWITCH(F70,"R",_xlfn.XLOOKUP(E70&amp;"|"&amp;B70,
        Calculate_cap_ener!$I$14:$I$21&amp;"|"&amp;Calculate_cap_ener!$L$14:$L$21,
        Calculate_cap_ener!$BE$14:$BE$21, "Not found", 0),"Rb",_xlfn.XLOOKUP(E70&amp;"|"&amp;B70,
        Calculate_cap_ener!$I$14:$I$21&amp;"|"&amp;Calculate_cap_ener!$L$14:$L$21,
        Calculate_cap_ener!$BG$14:$BG$21, "Not found", 0),"Rl",_xlfn.XLOOKUP(E70&amp;"|"&amp;B70,
        Calculate_cap_ener!$I$14:$I$21&amp;"|"&amp;Calculate_cap_ener!$L$14:$L$21,
        Calculate_cap_ener!$BH$14:$BH$21, "Not found", 0),"HP",_xlfn.XLOOKUP(E70&amp;"|"&amp;B70,
        Calculate_cap_ener!$I$14:$I$21&amp;"|"&amp;Calculate_cap_ener!$L$14:$L$21,
        Calculate_cap_ener!$BF$14:$BF$21, "Not found", 0),"HPl",_xlfn.XLOOKUP(E70&amp;"|"&amp;B70,
        Calculate_cap_ener!$I$14:$I$21&amp;"|"&amp;Calculate_cap_ener!$L$14:$L$21,
        Calculate_cap_ener!$BI$14:$BI$21, "Not found", 0),"Missing")</f>
        <v>4677.7015492941182</v>
      </c>
    </row>
    <row r="71" spans="1:20" x14ac:dyDescent="0.25">
      <c r="A71" s="5" t="s">
        <v>8</v>
      </c>
      <c r="B71" s="5" t="str">
        <f t="shared" si="3"/>
        <v>Mod-Nom</v>
      </c>
      <c r="C71" s="5" t="str">
        <f t="shared" si="4"/>
        <v>Mod</v>
      </c>
      <c r="D71" s="5" t="str">
        <f t="shared" si="5"/>
        <v>Nom</v>
      </c>
      <c r="E71" s="5" t="s">
        <v>3</v>
      </c>
      <c r="F71" s="5" t="s">
        <v>17</v>
      </c>
      <c r="G71" s="5"/>
      <c r="H71" s="5" cm="1">
        <f t="array" ref="H71">_xlfn.SWITCH(F71,"HP",_xlfn.XLOOKUP(E71&amp;"|"&amp;B71,
        Calculate_cap_ener!$I$14:$I$21&amp;"|"&amp;Calculate_cap_ener!$L$14:$L$21,
        Calculate_cap_ener!$X$14:$X$21, "Not found", 0),"HPl",_xlfn.XLOOKUP(E71&amp;"|"&amp;B71,
        Calculate_cap_ener!$I$14:$I$21&amp;"|"&amp;Calculate_cap_ener!$L$14:$L$21,
        Calculate_cap_ener!$AA$14:$AA$21, "Not found", 0),)</f>
        <v>8</v>
      </c>
      <c r="I71" s="5"/>
      <c r="J71" s="5"/>
      <c r="K71" s="5"/>
      <c r="L71" s="5" cm="1">
        <f t="array" ref="L71">_xlfn.SWITCH(F71,"R",_xlfn.XLOOKUP(E71&amp;"|"&amp;B71,
        Calculate_cap_ener!$I$14:$I$21&amp;"|"&amp;Calculate_cap_ener!$L$14:$L$21,
        Calculate_cap_ener!$AC$14:$AC$21, "Not found", 0),"Rb",_xlfn.XLOOKUP(E71&amp;"|"&amp;B71,
        Calculate_cap_ener!$I$14:$I$21&amp;"|"&amp;Calculate_cap_ener!$L$14:$L$21,
        Calculate_cap_ener!$AE$14:$AE$21, "Not found", 0),"Rl",_xlfn.XLOOKUP(E71&amp;"|"&amp;B71,
        Calculate_cap_ener!$I$14:$I$21&amp;"|"&amp;Calculate_cap_ener!$L$14:$L$21,
        Calculate_cap_ener!$AF$14:$AF$21, "Not found", 0),"HP",_xlfn.XLOOKUP(E71&amp;"|"&amp;B71,
        Calculate_cap_ener!$I$14:$I$21&amp;"|"&amp;Calculate_cap_ener!$L$14:$L$21,
        Calculate_cap_ener!$AD$14:$AD$21, "Not found", 0),"HPl",_xlfn.XLOOKUP(E71&amp;"|"&amp;B71,
        Calculate_cap_ener!$I$14:$I$21&amp;"|"&amp;Calculate_cap_ener!$L$14:$L$21,
        Calculate_cap_ener!$AG$14:$AG$21, "Not found", 0),"Missing")</f>
        <v>24377.136271764706</v>
      </c>
      <c r="M71" s="5"/>
      <c r="N71" s="5"/>
      <c r="O71" s="5"/>
      <c r="P71" s="5"/>
      <c r="Q71" s="5" cm="1">
        <f t="array" ref="Q71">_xlfn.SWITCH(F71,"R",_xlfn.XLOOKUP(E71&amp;"|"&amp;B71,
        Calculate_cap_ener!$I$14:$I$21&amp;"|"&amp;Calculate_cap_ener!$L$14:$L$21,
        Calculate_cap_ener!$AJ$14:$AJ$21, "Not found", 0),"Rb",_xlfn.XLOOKUP(E71&amp;"|"&amp;B71,
        Calculate_cap_ener!$I$14:$I$21&amp;"|"&amp;Calculate_cap_ener!$L$14:$L$21,
        Calculate_cap_ener!$AL$14:$AL$21, "Not found", 0),"Rl",_xlfn.XLOOKUP(E71&amp;"|"&amp;B71,
        Calculate_cap_ener!$I$14:$I$21&amp;"|"&amp;Calculate_cap_ener!$L$14:$L$21,
        Calculate_cap_ener!$AM$14:$AM$21, "Not found", 0),"HP",_xlfn.XLOOKUP(E71&amp;"|"&amp;B71,
        Calculate_cap_ener!$I$14:$I$21&amp;"|"&amp;Calculate_cap_ener!$L$14:$L$21,
        Calculate_cap_ener!$AK$14:$AK$21, "Not found", 0),"HPl",_xlfn.XLOOKUP(E71&amp;"|"&amp;B71,
        Calculate_cap_ener!$I$14:$I$21&amp;"|"&amp;Calculate_cap_ener!$L$14:$L$21,
        Calculate_cap_ener!$AN$14:$AN$21, "Not found", 0),"Missing")</f>
        <v>477.18140043064511</v>
      </c>
      <c r="R71" s="5" cm="1">
        <f t="array" ref="R71">_xlfn.SWITCH(F71,"R",_xlfn.XLOOKUP(E71&amp;"|"&amp;B71,
        Calculate_cap_ener!$I$14:$I$21&amp;"|"&amp;Calculate_cap_ener!$L$14:$L$21,
        Calculate_cap_ener!$AQ$14:$AQ$21, "Not found", 0),"Rb",_xlfn.XLOOKUP(E71&amp;"|"&amp;B71,
        Calculate_cap_ener!$I$14:$I$21&amp;"|"&amp;Calculate_cap_ener!$L$14:$L$21,
        Calculate_cap_ener!$AS$14:$AS$21, "Not found", 0),"Rl",_xlfn.XLOOKUP(E71&amp;"|"&amp;B71,
        Calculate_cap_ener!$I$14:$I$21&amp;"|"&amp;Calculate_cap_ener!$L$14:$L$21,
        Calculate_cap_ener!$AT$14:$AT$21, "Not found", 0),"HP",_xlfn.XLOOKUP(E71&amp;"|"&amp;B71,
        Calculate_cap_ener!$I$14:$I$21&amp;"|"&amp;Calculate_cap_ener!$L$14:$L$21,
        Calculate_cap_ener!$AR$14:$AR$21, "Not found", 0),"HPl",_xlfn.XLOOKUP(E71&amp;"|"&amp;B71,
        Calculate_cap_ener!$I$14:$I$21&amp;"|"&amp;Calculate_cap_ener!$L$14:$L$21,
        Calculate_cap_ener!$AU$14:$AU$21, "Not found", 0),"Missing")</f>
        <v>1200.7745051647057</v>
      </c>
      <c r="S71" s="5" cm="1">
        <f t="array" ref="S71">_xlfn.SWITCH(F71,"R",_xlfn.XLOOKUP(E71&amp;"|"&amp;B71,
        Calculate_cap_ener!$I$14:$I$21&amp;"|"&amp;Calculate_cap_ener!$L$14:$L$21,
        Calculate_cap_ener!$AX$14:$AX$21, "Not found", 0),"Rb",_xlfn.XLOOKUP(E71&amp;"|"&amp;B71,
        Calculate_cap_ener!$I$14:$I$21&amp;"|"&amp;Calculate_cap_ener!$L$14:$L$21,
        Calculate_cap_ener!$AZ$14:$AZ$21, "Not found", 0),"Rl",_xlfn.XLOOKUP(E71&amp;"|"&amp;B71,
        Calculate_cap_ener!$I$14:$I$21&amp;"|"&amp;Calculate_cap_ener!$L$14:$L$21,
        Calculate_cap_ener!$BA$14:$BA$21, "Not found", 0),"HP",_xlfn.XLOOKUP(E71&amp;"|"&amp;B71,
        Calculate_cap_ener!$I$14:$I$21&amp;"|"&amp;Calculate_cap_ener!$L$14:$L$21,
        Calculate_cap_ener!$AY$14:$AY$21, "Not found", 0),"HPl",_xlfn.XLOOKUP(E71&amp;"|"&amp;B71,
        Calculate_cap_ener!$I$14:$I$21&amp;"|"&amp;Calculate_cap_ener!$L$14:$L$21,
        Calculate_cap_ener!$BB$14:$BB$21, "Not found", 0),"Missing")</f>
        <v>4979.9260279999999</v>
      </c>
      <c r="T71" s="5" cm="1">
        <f t="array" ref="T71">_xlfn.SWITCH(F71,"R",_xlfn.XLOOKUP(E71&amp;"|"&amp;B71,
        Calculate_cap_ener!$I$14:$I$21&amp;"|"&amp;Calculate_cap_ener!$L$14:$L$21,
        Calculate_cap_ener!$BE$14:$BE$21, "Not found", 0),"Rb",_xlfn.XLOOKUP(E71&amp;"|"&amp;B71,
        Calculate_cap_ener!$I$14:$I$21&amp;"|"&amp;Calculate_cap_ener!$L$14:$L$21,
        Calculate_cap_ener!$BG$14:$BG$21, "Not found", 0),"Rl",_xlfn.XLOOKUP(E71&amp;"|"&amp;B71,
        Calculate_cap_ener!$I$14:$I$21&amp;"|"&amp;Calculate_cap_ener!$L$14:$L$21,
        Calculate_cap_ener!$BH$14:$BH$21, "Not found", 0),"HP",_xlfn.XLOOKUP(E71&amp;"|"&amp;B71,
        Calculate_cap_ener!$I$14:$I$21&amp;"|"&amp;Calculate_cap_ener!$L$14:$L$21,
        Calculate_cap_ener!$BF$14:$BF$21, "Not found", 0),"HPl",_xlfn.XLOOKUP(E71&amp;"|"&amp;B71,
        Calculate_cap_ener!$I$14:$I$21&amp;"|"&amp;Calculate_cap_ener!$L$14:$L$21,
        Calculate_cap_ener!$BI$14:$BI$21, "Not found", 0),"Missing")</f>
        <v>4677.7015492941182</v>
      </c>
    </row>
    <row r="72" spans="1:20" x14ac:dyDescent="0.25">
      <c r="A72" s="5" t="s">
        <v>9</v>
      </c>
      <c r="B72" s="5" t="str">
        <f t="shared" si="3"/>
        <v>Mod-H1</v>
      </c>
      <c r="C72" s="5" t="str">
        <f t="shared" si="4"/>
        <v>Mod</v>
      </c>
      <c r="D72" s="5" t="str">
        <f t="shared" si="5"/>
        <v>H1</v>
      </c>
      <c r="E72" s="5" t="s">
        <v>3</v>
      </c>
      <c r="F72" s="5" t="s">
        <v>17</v>
      </c>
      <c r="G72" s="5"/>
      <c r="H72" s="5" cm="1">
        <f t="array" ref="H72">_xlfn.SWITCH(F72,"HP",_xlfn.XLOOKUP(E72&amp;"|"&amp;B72,
        Calculate_cap_ener!$I$14:$I$21&amp;"|"&amp;Calculate_cap_ener!$L$14:$L$21,
        Calculate_cap_ener!$X$14:$X$21, "Not found", 0),"HPl",_xlfn.XLOOKUP(E72&amp;"|"&amp;B72,
        Calculate_cap_ener!$I$14:$I$21&amp;"|"&amp;Calculate_cap_ener!$L$14:$L$21,
        Calculate_cap_ener!$AA$14:$AA$21, "Not found", 0),)</f>
        <v>4.5</v>
      </c>
      <c r="I72" s="5"/>
      <c r="J72" s="5"/>
      <c r="K72" s="5"/>
      <c r="L72" s="5" cm="1">
        <f t="array" ref="L72">_xlfn.SWITCH(F72,"R",_xlfn.XLOOKUP(E72&amp;"|"&amp;B72,
        Calculate_cap_ener!$I$14:$I$21&amp;"|"&amp;Calculate_cap_ener!$L$14:$L$21,
        Calculate_cap_ener!$AC$14:$AC$21, "Not found", 0),"Rb",_xlfn.XLOOKUP(E72&amp;"|"&amp;B72,
        Calculate_cap_ener!$I$14:$I$21&amp;"|"&amp;Calculate_cap_ener!$L$14:$L$21,
        Calculate_cap_ener!$AE$14:$AE$21, "Not found", 0),"Rl",_xlfn.XLOOKUP(E72&amp;"|"&amp;B72,
        Calculate_cap_ener!$I$14:$I$21&amp;"|"&amp;Calculate_cap_ener!$L$14:$L$21,
        Calculate_cap_ener!$AF$14:$AF$21, "Not found", 0),"HP",_xlfn.XLOOKUP(E72&amp;"|"&amp;B72,
        Calculate_cap_ener!$I$14:$I$21&amp;"|"&amp;Calculate_cap_ener!$L$14:$L$21,
        Calculate_cap_ener!$AD$14:$AD$21, "Not found", 0),"HPl",_xlfn.XLOOKUP(E72&amp;"|"&amp;B72,
        Calculate_cap_ener!$I$14:$I$21&amp;"|"&amp;Calculate_cap_ener!$L$14:$L$21,
        Calculate_cap_ener!$AG$14:$AG$21, "Not found", 0),"Missing")</f>
        <v>17752.101681176471</v>
      </c>
      <c r="M72" s="5"/>
      <c r="N72" s="5"/>
      <c r="O72" s="5"/>
      <c r="P72" s="5"/>
      <c r="Q72" s="5" cm="1">
        <f t="array" ref="Q72">_xlfn.SWITCH(F72,"R",_xlfn.XLOOKUP(E72&amp;"|"&amp;B72,
        Calculate_cap_ener!$I$14:$I$21&amp;"|"&amp;Calculate_cap_ener!$L$14:$L$21,
        Calculate_cap_ener!$AJ$14:$AJ$21, "Not found", 0),"Rb",_xlfn.XLOOKUP(E72&amp;"|"&amp;B72,
        Calculate_cap_ener!$I$14:$I$21&amp;"|"&amp;Calculate_cap_ener!$L$14:$L$21,
        Calculate_cap_ener!$AL$14:$AL$21, "Not found", 0),"Rl",_xlfn.XLOOKUP(E72&amp;"|"&amp;B72,
        Calculate_cap_ener!$I$14:$I$21&amp;"|"&amp;Calculate_cap_ener!$L$14:$L$21,
        Calculate_cap_ener!$AM$14:$AM$21, "Not found", 0),"HP",_xlfn.XLOOKUP(E72&amp;"|"&amp;B72,
        Calculate_cap_ener!$I$14:$I$21&amp;"|"&amp;Calculate_cap_ener!$L$14:$L$21,
        Calculate_cap_ener!$AK$14:$AK$21, "Not found", 0),"HPl",_xlfn.XLOOKUP(E72&amp;"|"&amp;B72,
        Calculate_cap_ener!$I$14:$I$21&amp;"|"&amp;Calculate_cap_ener!$L$14:$L$21,
        Calculate_cap_ener!$AN$14:$AN$21, "Not found", 0),"Missing")</f>
        <v>353.50761617218234</v>
      </c>
      <c r="R72" s="5" cm="1">
        <f t="array" ref="R72">_xlfn.SWITCH(F72,"R",_xlfn.XLOOKUP(E72&amp;"|"&amp;B72,
        Calculate_cap_ener!$I$14:$I$21&amp;"|"&amp;Calculate_cap_ener!$L$14:$L$21,
        Calculate_cap_ener!$AQ$14:$AQ$21, "Not found", 0),"Rb",_xlfn.XLOOKUP(E72&amp;"|"&amp;B72,
        Calculate_cap_ener!$I$14:$I$21&amp;"|"&amp;Calculate_cap_ener!$L$14:$L$21,
        Calculate_cap_ener!$AS$14:$AS$21, "Not found", 0),"Rl",_xlfn.XLOOKUP(E72&amp;"|"&amp;B72,
        Calculate_cap_ener!$I$14:$I$21&amp;"|"&amp;Calculate_cap_ener!$L$14:$L$21,
        Calculate_cap_ener!$AT$14:$AT$21, "Not found", 0),"HP",_xlfn.XLOOKUP(E72&amp;"|"&amp;B72,
        Calculate_cap_ener!$I$14:$I$21&amp;"|"&amp;Calculate_cap_ener!$L$14:$L$21,
        Calculate_cap_ener!$AR$14:$AR$21, "Not found", 0),"HPl",_xlfn.XLOOKUP(E72&amp;"|"&amp;B72,
        Calculate_cap_ener!$I$14:$I$21&amp;"|"&amp;Calculate_cap_ener!$L$14:$L$21,
        Calculate_cap_ener!$AU$14:$AU$21, "Not found", 0),"Missing")</f>
        <v>775.58389415294107</v>
      </c>
      <c r="S72" s="5" cm="1">
        <f t="array" ref="S72">_xlfn.SWITCH(F72,"R",_xlfn.XLOOKUP(E72&amp;"|"&amp;B72,
        Calculate_cap_ener!$I$14:$I$21&amp;"|"&amp;Calculate_cap_ener!$L$14:$L$21,
        Calculate_cap_ener!$AX$14:$AX$21, "Not found", 0),"Rb",_xlfn.XLOOKUP(E72&amp;"|"&amp;B72,
        Calculate_cap_ener!$I$14:$I$21&amp;"|"&amp;Calculate_cap_ener!$L$14:$L$21,
        Calculate_cap_ener!$AZ$14:$AZ$21, "Not found", 0),"Rl",_xlfn.XLOOKUP(E72&amp;"|"&amp;B72,
        Calculate_cap_ener!$I$14:$I$21&amp;"|"&amp;Calculate_cap_ener!$L$14:$L$21,
        Calculate_cap_ener!$BA$14:$BA$21, "Not found", 0),"HP",_xlfn.XLOOKUP(E72&amp;"|"&amp;B72,
        Calculate_cap_ener!$I$14:$I$21&amp;"|"&amp;Calculate_cap_ener!$L$14:$L$21,
        Calculate_cap_ener!$AY$14:$AY$21, "Not found", 0),"HPl",_xlfn.XLOOKUP(E72&amp;"|"&amp;B72,
        Calculate_cap_ener!$I$14:$I$21&amp;"|"&amp;Calculate_cap_ener!$L$14:$L$21,
        Calculate_cap_ener!$BB$14:$BB$21, "Not found", 0),"Missing")</f>
        <v>2636.160605</v>
      </c>
      <c r="T72" s="5" cm="1">
        <f t="array" ref="T72">_xlfn.SWITCH(F72,"R",_xlfn.XLOOKUP(E72&amp;"|"&amp;B72,
        Calculate_cap_ener!$I$14:$I$21&amp;"|"&amp;Calculate_cap_ener!$L$14:$L$21,
        Calculate_cap_ener!$BE$14:$BE$21, "Not found", 0),"Rb",_xlfn.XLOOKUP(E72&amp;"|"&amp;B72,
        Calculate_cap_ener!$I$14:$I$21&amp;"|"&amp;Calculate_cap_ener!$L$14:$L$21,
        Calculate_cap_ener!$BG$14:$BG$21, "Not found", 0),"Rl",_xlfn.XLOOKUP(E72&amp;"|"&amp;B72,
        Calculate_cap_ener!$I$14:$I$21&amp;"|"&amp;Calculate_cap_ener!$L$14:$L$21,
        Calculate_cap_ener!$BH$14:$BH$21, "Not found", 0),"HP",_xlfn.XLOOKUP(E72&amp;"|"&amp;B72,
        Calculate_cap_ener!$I$14:$I$21&amp;"|"&amp;Calculate_cap_ener!$L$14:$L$21,
        Calculate_cap_ener!$BF$14:$BF$21, "Not found", 0),"HPl",_xlfn.XLOOKUP(E72&amp;"|"&amp;B72,
        Calculate_cap_ener!$I$14:$I$21&amp;"|"&amp;Calculate_cap_ener!$L$14:$L$21,
        Calculate_cap_ener!$BI$14:$BI$21, "Not found", 0),"Missing")</f>
        <v>3421.411993588235</v>
      </c>
    </row>
    <row r="73" spans="1:20" x14ac:dyDescent="0.25">
      <c r="A73" s="5" t="s">
        <v>10</v>
      </c>
      <c r="B73" s="5" t="str">
        <f t="shared" si="3"/>
        <v>Mod-H1</v>
      </c>
      <c r="C73" s="5" t="str">
        <f t="shared" si="4"/>
        <v>Mod</v>
      </c>
      <c r="D73" s="5" t="str">
        <f t="shared" si="5"/>
        <v>H1</v>
      </c>
      <c r="E73" s="5" t="s">
        <v>3</v>
      </c>
      <c r="F73" s="5" t="s">
        <v>17</v>
      </c>
      <c r="G73" s="5"/>
      <c r="H73" s="5" cm="1">
        <f t="array" ref="H73">_xlfn.SWITCH(F73,"HP",_xlfn.XLOOKUP(E73&amp;"|"&amp;B73,
        Calculate_cap_ener!$I$14:$I$21&amp;"|"&amp;Calculate_cap_ener!$L$14:$L$21,
        Calculate_cap_ener!$X$14:$X$21, "Not found", 0),"HPl",_xlfn.XLOOKUP(E73&amp;"|"&amp;B73,
        Calculate_cap_ener!$I$14:$I$21&amp;"|"&amp;Calculate_cap_ener!$L$14:$L$21,
        Calculate_cap_ener!$AA$14:$AA$21, "Not found", 0),)</f>
        <v>4.5</v>
      </c>
      <c r="I73" s="5"/>
      <c r="J73" s="5"/>
      <c r="K73" s="5"/>
      <c r="L73" s="5" cm="1">
        <f t="array" ref="L73">_xlfn.SWITCH(F73,"R",_xlfn.XLOOKUP(E73&amp;"|"&amp;B73,
        Calculate_cap_ener!$I$14:$I$21&amp;"|"&amp;Calculate_cap_ener!$L$14:$L$21,
        Calculate_cap_ener!$AC$14:$AC$21, "Not found", 0),"Rb",_xlfn.XLOOKUP(E73&amp;"|"&amp;B73,
        Calculate_cap_ener!$I$14:$I$21&amp;"|"&amp;Calculate_cap_ener!$L$14:$L$21,
        Calculate_cap_ener!$AE$14:$AE$21, "Not found", 0),"Rl",_xlfn.XLOOKUP(E73&amp;"|"&amp;B73,
        Calculate_cap_ener!$I$14:$I$21&amp;"|"&amp;Calculate_cap_ener!$L$14:$L$21,
        Calculate_cap_ener!$AF$14:$AF$21, "Not found", 0),"HP",_xlfn.XLOOKUP(E73&amp;"|"&amp;B73,
        Calculate_cap_ener!$I$14:$I$21&amp;"|"&amp;Calculate_cap_ener!$L$14:$L$21,
        Calculate_cap_ener!$AD$14:$AD$21, "Not found", 0),"HPl",_xlfn.XLOOKUP(E73&amp;"|"&amp;B73,
        Calculate_cap_ener!$I$14:$I$21&amp;"|"&amp;Calculate_cap_ener!$L$14:$L$21,
        Calculate_cap_ener!$AG$14:$AG$21, "Not found", 0),"Missing")</f>
        <v>17752.101681176471</v>
      </c>
      <c r="M73" s="5"/>
      <c r="N73" s="5"/>
      <c r="O73" s="5"/>
      <c r="P73" s="5"/>
      <c r="Q73" s="5" cm="1">
        <f t="array" ref="Q73">_xlfn.SWITCH(F73,"R",_xlfn.XLOOKUP(E73&amp;"|"&amp;B73,
        Calculate_cap_ener!$I$14:$I$21&amp;"|"&amp;Calculate_cap_ener!$L$14:$L$21,
        Calculate_cap_ener!$AJ$14:$AJ$21, "Not found", 0),"Rb",_xlfn.XLOOKUP(E73&amp;"|"&amp;B73,
        Calculate_cap_ener!$I$14:$I$21&amp;"|"&amp;Calculate_cap_ener!$L$14:$L$21,
        Calculate_cap_ener!$AL$14:$AL$21, "Not found", 0),"Rl",_xlfn.XLOOKUP(E73&amp;"|"&amp;B73,
        Calculate_cap_ener!$I$14:$I$21&amp;"|"&amp;Calculate_cap_ener!$L$14:$L$21,
        Calculate_cap_ener!$AM$14:$AM$21, "Not found", 0),"HP",_xlfn.XLOOKUP(E73&amp;"|"&amp;B73,
        Calculate_cap_ener!$I$14:$I$21&amp;"|"&amp;Calculate_cap_ener!$L$14:$L$21,
        Calculate_cap_ener!$AK$14:$AK$21, "Not found", 0),"HPl",_xlfn.XLOOKUP(E73&amp;"|"&amp;B73,
        Calculate_cap_ener!$I$14:$I$21&amp;"|"&amp;Calculate_cap_ener!$L$14:$L$21,
        Calculate_cap_ener!$AN$14:$AN$21, "Not found", 0),"Missing")</f>
        <v>353.50761617218234</v>
      </c>
      <c r="R73" s="5" cm="1">
        <f t="array" ref="R73">_xlfn.SWITCH(F73,"R",_xlfn.XLOOKUP(E73&amp;"|"&amp;B73,
        Calculate_cap_ener!$I$14:$I$21&amp;"|"&amp;Calculate_cap_ener!$L$14:$L$21,
        Calculate_cap_ener!$AQ$14:$AQ$21, "Not found", 0),"Rb",_xlfn.XLOOKUP(E73&amp;"|"&amp;B73,
        Calculate_cap_ener!$I$14:$I$21&amp;"|"&amp;Calculate_cap_ener!$L$14:$L$21,
        Calculate_cap_ener!$AS$14:$AS$21, "Not found", 0),"Rl",_xlfn.XLOOKUP(E73&amp;"|"&amp;B73,
        Calculate_cap_ener!$I$14:$I$21&amp;"|"&amp;Calculate_cap_ener!$L$14:$L$21,
        Calculate_cap_ener!$AT$14:$AT$21, "Not found", 0),"HP",_xlfn.XLOOKUP(E73&amp;"|"&amp;B73,
        Calculate_cap_ener!$I$14:$I$21&amp;"|"&amp;Calculate_cap_ener!$L$14:$L$21,
        Calculate_cap_ener!$AR$14:$AR$21, "Not found", 0),"HPl",_xlfn.XLOOKUP(E73&amp;"|"&amp;B73,
        Calculate_cap_ener!$I$14:$I$21&amp;"|"&amp;Calculate_cap_ener!$L$14:$L$21,
        Calculate_cap_ener!$AU$14:$AU$21, "Not found", 0),"Missing")</f>
        <v>775.58389415294107</v>
      </c>
      <c r="S73" s="5" cm="1">
        <f t="array" ref="S73">_xlfn.SWITCH(F73,"R",_xlfn.XLOOKUP(E73&amp;"|"&amp;B73,
        Calculate_cap_ener!$I$14:$I$21&amp;"|"&amp;Calculate_cap_ener!$L$14:$L$21,
        Calculate_cap_ener!$AX$14:$AX$21, "Not found", 0),"Rb",_xlfn.XLOOKUP(E73&amp;"|"&amp;B73,
        Calculate_cap_ener!$I$14:$I$21&amp;"|"&amp;Calculate_cap_ener!$L$14:$L$21,
        Calculate_cap_ener!$AZ$14:$AZ$21, "Not found", 0),"Rl",_xlfn.XLOOKUP(E73&amp;"|"&amp;B73,
        Calculate_cap_ener!$I$14:$I$21&amp;"|"&amp;Calculate_cap_ener!$L$14:$L$21,
        Calculate_cap_ener!$BA$14:$BA$21, "Not found", 0),"HP",_xlfn.XLOOKUP(E73&amp;"|"&amp;B73,
        Calculate_cap_ener!$I$14:$I$21&amp;"|"&amp;Calculate_cap_ener!$L$14:$L$21,
        Calculate_cap_ener!$AY$14:$AY$21, "Not found", 0),"HPl",_xlfn.XLOOKUP(E73&amp;"|"&amp;B73,
        Calculate_cap_ener!$I$14:$I$21&amp;"|"&amp;Calculate_cap_ener!$L$14:$L$21,
        Calculate_cap_ener!$BB$14:$BB$21, "Not found", 0),"Missing")</f>
        <v>2636.160605</v>
      </c>
      <c r="T73" s="5" cm="1">
        <f t="array" ref="T73">_xlfn.SWITCH(F73,"R",_xlfn.XLOOKUP(E73&amp;"|"&amp;B73,
        Calculate_cap_ener!$I$14:$I$21&amp;"|"&amp;Calculate_cap_ener!$L$14:$L$21,
        Calculate_cap_ener!$BE$14:$BE$21, "Not found", 0),"Rb",_xlfn.XLOOKUP(E73&amp;"|"&amp;B73,
        Calculate_cap_ener!$I$14:$I$21&amp;"|"&amp;Calculate_cap_ener!$L$14:$L$21,
        Calculate_cap_ener!$BG$14:$BG$21, "Not found", 0),"Rl",_xlfn.XLOOKUP(E73&amp;"|"&amp;B73,
        Calculate_cap_ener!$I$14:$I$21&amp;"|"&amp;Calculate_cap_ener!$L$14:$L$21,
        Calculate_cap_ener!$BH$14:$BH$21, "Not found", 0),"HP",_xlfn.XLOOKUP(E73&amp;"|"&amp;B73,
        Calculate_cap_ener!$I$14:$I$21&amp;"|"&amp;Calculate_cap_ener!$L$14:$L$21,
        Calculate_cap_ener!$BF$14:$BF$21, "Not found", 0),"HPl",_xlfn.XLOOKUP(E73&amp;"|"&amp;B73,
        Calculate_cap_ener!$I$14:$I$21&amp;"|"&amp;Calculate_cap_ener!$L$14:$L$21,
        Calculate_cap_ener!$BI$14:$BI$21, "Not found", 0),"Missing")</f>
        <v>3421.411993588235</v>
      </c>
    </row>
    <row r="74" spans="1:20" x14ac:dyDescent="0.25">
      <c r="A74" s="5" t="s">
        <v>4</v>
      </c>
      <c r="B74" s="5" t="str">
        <f t="shared" si="3"/>
        <v>Mass-Nom</v>
      </c>
      <c r="C74" s="5" t="str">
        <f t="shared" si="4"/>
        <v>Mass</v>
      </c>
      <c r="D74" s="5" t="str">
        <f t="shared" si="5"/>
        <v>Nom</v>
      </c>
      <c r="E74" s="5" t="s">
        <v>11</v>
      </c>
      <c r="F74" s="5" t="s">
        <v>17</v>
      </c>
      <c r="G74" s="5"/>
      <c r="H74" s="5" cm="1">
        <f t="array" ref="H74">_xlfn.SWITCH(F74,"HP",_xlfn.XLOOKUP(E74&amp;"|"&amp;B74,
        Calculate_cap_ener!$I$14:$I$21&amp;"|"&amp;Calculate_cap_ener!$L$14:$L$21,
        Calculate_cap_ener!$X$14:$X$21, "Not found", 0),"HPl",_xlfn.XLOOKUP(E74&amp;"|"&amp;B74,
        Calculate_cap_ener!$I$14:$I$21&amp;"|"&amp;Calculate_cap_ener!$L$14:$L$21,
        Calculate_cap_ener!$AA$14:$AA$21, "Not found", 0),)</f>
        <v>8.5</v>
      </c>
      <c r="I74" s="5"/>
      <c r="J74" s="5"/>
      <c r="K74" s="5"/>
      <c r="L74" s="5" cm="1">
        <f t="array" ref="L74">_xlfn.SWITCH(F74,"R",_xlfn.XLOOKUP(E74&amp;"|"&amp;B74,
        Calculate_cap_ener!$I$14:$I$21&amp;"|"&amp;Calculate_cap_ener!$L$14:$L$21,
        Calculate_cap_ener!$AC$14:$AC$21, "Not found", 0),"Rb",_xlfn.XLOOKUP(E74&amp;"|"&amp;B74,
        Calculate_cap_ener!$I$14:$I$21&amp;"|"&amp;Calculate_cap_ener!$L$14:$L$21,
        Calculate_cap_ener!$AE$14:$AE$21, "Not found", 0),"Rl",_xlfn.XLOOKUP(E74&amp;"|"&amp;B74,
        Calculate_cap_ener!$I$14:$I$21&amp;"|"&amp;Calculate_cap_ener!$L$14:$L$21,
        Calculate_cap_ener!$AF$14:$AF$21, "Not found", 0),"HP",_xlfn.XLOOKUP(E74&amp;"|"&amp;B74,
        Calculate_cap_ener!$I$14:$I$21&amp;"|"&amp;Calculate_cap_ener!$L$14:$L$21,
        Calculate_cap_ener!$AD$14:$AD$21, "Not found", 0),"HPl",_xlfn.XLOOKUP(E74&amp;"|"&amp;B74,
        Calculate_cap_ener!$I$14:$I$21&amp;"|"&amp;Calculate_cap_ener!$L$14:$L$21,
        Calculate_cap_ener!$AG$14:$AG$21, "Not found", 0),"Missing")</f>
        <v>25323.569781176473</v>
      </c>
      <c r="M74" s="5"/>
      <c r="N74" s="5"/>
      <c r="O74" s="5"/>
      <c r="P74" s="5"/>
      <c r="Q74" s="5" cm="1">
        <f t="array" ref="Q74">_xlfn.SWITCH(F74,"R",_xlfn.XLOOKUP(E74&amp;"|"&amp;B74,
        Calculate_cap_ener!$I$14:$I$21&amp;"|"&amp;Calculate_cap_ener!$L$14:$L$21,
        Calculate_cap_ener!$AJ$14:$AJ$21, "Not found", 0),"Rb",_xlfn.XLOOKUP(E74&amp;"|"&amp;B74,
        Calculate_cap_ener!$I$14:$I$21&amp;"|"&amp;Calculate_cap_ener!$L$14:$L$21,
        Calculate_cap_ener!$AL$14:$AL$21, "Not found", 0),"Rl",_xlfn.XLOOKUP(E74&amp;"|"&amp;B74,
        Calculate_cap_ener!$I$14:$I$21&amp;"|"&amp;Calculate_cap_ener!$L$14:$L$21,
        Calculate_cap_ener!$AM$14:$AM$21, "Not found", 0),"HP",_xlfn.XLOOKUP(E74&amp;"|"&amp;B74,
        Calculate_cap_ener!$I$14:$I$21&amp;"|"&amp;Calculate_cap_ener!$L$14:$L$21,
        Calculate_cap_ener!$AK$14:$AK$21, "Not found", 0),"HPl",_xlfn.XLOOKUP(E74&amp;"|"&amp;B74,
        Calculate_cap_ener!$I$14:$I$21&amp;"|"&amp;Calculate_cap_ener!$L$14:$L$21,
        Calculate_cap_ener!$AN$14:$AN$21, "Not found", 0),"Missing")</f>
        <v>494.84908387754268</v>
      </c>
      <c r="R74" s="5" cm="1">
        <f t="array" ref="R74">_xlfn.SWITCH(F74,"R",_xlfn.XLOOKUP(E74&amp;"|"&amp;B74,
        Calculate_cap_ener!$I$14:$I$21&amp;"|"&amp;Calculate_cap_ener!$L$14:$L$21,
        Calculate_cap_ener!$AQ$14:$AQ$21, "Not found", 0),"Rb",_xlfn.XLOOKUP(E74&amp;"|"&amp;B74,
        Calculate_cap_ener!$I$14:$I$21&amp;"|"&amp;Calculate_cap_ener!$L$14:$L$21,
        Calculate_cap_ener!$AS$14:$AS$21, "Not found", 0),"Rl",_xlfn.XLOOKUP(E74&amp;"|"&amp;B74,
        Calculate_cap_ener!$I$14:$I$21&amp;"|"&amp;Calculate_cap_ener!$L$14:$L$21,
        Calculate_cap_ener!$AT$14:$AT$21, "Not found", 0),"HP",_xlfn.XLOOKUP(E74&amp;"|"&amp;B74,
        Calculate_cap_ener!$I$14:$I$21&amp;"|"&amp;Calculate_cap_ener!$L$14:$L$21,
        Calculate_cap_ener!$AR$14:$AR$21, "Not found", 0),"HPl",_xlfn.XLOOKUP(E74&amp;"|"&amp;B74,
        Calculate_cap_ener!$I$14:$I$21&amp;"|"&amp;Calculate_cap_ener!$L$14:$L$21,
        Calculate_cap_ener!$AU$14:$AU$21, "Not found", 0),"Missing")</f>
        <v>1261.5160208823529</v>
      </c>
      <c r="S74" s="5" cm="1">
        <f t="array" ref="S74">_xlfn.SWITCH(F74,"R",_xlfn.XLOOKUP(E74&amp;"|"&amp;B74,
        Calculate_cap_ener!$I$14:$I$21&amp;"|"&amp;Calculate_cap_ener!$L$14:$L$21,
        Calculate_cap_ener!$AX$14:$AX$21, "Not found", 0),"Rb",_xlfn.XLOOKUP(E74&amp;"|"&amp;B74,
        Calculate_cap_ener!$I$14:$I$21&amp;"|"&amp;Calculate_cap_ener!$L$14:$L$21,
        Calculate_cap_ener!$AZ$14:$AZ$21, "Not found", 0),"Rl",_xlfn.XLOOKUP(E74&amp;"|"&amp;B74,
        Calculate_cap_ener!$I$14:$I$21&amp;"|"&amp;Calculate_cap_ener!$L$14:$L$21,
        Calculate_cap_ener!$BA$14:$BA$21, "Not found", 0),"HP",_xlfn.XLOOKUP(E74&amp;"|"&amp;B74,
        Calculate_cap_ener!$I$14:$I$21&amp;"|"&amp;Calculate_cap_ener!$L$14:$L$21,
        Calculate_cap_ener!$AY$14:$AY$21, "Not found", 0),"HPl",_xlfn.XLOOKUP(E74&amp;"|"&amp;B74,
        Calculate_cap_ener!$I$14:$I$21&amp;"|"&amp;Calculate_cap_ener!$L$14:$L$21,
        Calculate_cap_ener!$BB$14:$BB$21, "Not found", 0),"Missing")</f>
        <v>5314.7496590000001</v>
      </c>
      <c r="T74" s="5" cm="1">
        <f t="array" ref="T74">_xlfn.SWITCH(F74,"R",_xlfn.XLOOKUP(E74&amp;"|"&amp;B74,
        Calculate_cap_ener!$I$14:$I$21&amp;"|"&amp;Calculate_cap_ener!$L$14:$L$21,
        Calculate_cap_ener!$BE$14:$BE$21, "Not found", 0),"Rb",_xlfn.XLOOKUP(E74&amp;"|"&amp;B74,
        Calculate_cap_ener!$I$14:$I$21&amp;"|"&amp;Calculate_cap_ener!$L$14:$L$21,
        Calculate_cap_ener!$BG$14:$BG$21, "Not found", 0),"Rl",_xlfn.XLOOKUP(E74&amp;"|"&amp;B74,
        Calculate_cap_ener!$I$14:$I$21&amp;"|"&amp;Calculate_cap_ener!$L$14:$L$21,
        Calculate_cap_ener!$BH$14:$BH$21, "Not found", 0),"HP",_xlfn.XLOOKUP(E74&amp;"|"&amp;B74,
        Calculate_cap_ener!$I$14:$I$21&amp;"|"&amp;Calculate_cap_ener!$L$14:$L$21,
        Calculate_cap_ener!$BF$14:$BF$21, "Not found", 0),"HPl",_xlfn.XLOOKUP(E74&amp;"|"&amp;B74,
        Calculate_cap_ener!$I$14:$I$21&amp;"|"&amp;Calculate_cap_ener!$L$14:$L$21,
        Calculate_cap_ener!$BI$14:$BI$21, "Not found", 0),"Missing")</f>
        <v>4857.1714861764704</v>
      </c>
    </row>
    <row r="75" spans="1:20" x14ac:dyDescent="0.25">
      <c r="A75" s="5" t="s">
        <v>2</v>
      </c>
      <c r="B75" s="5" t="str">
        <f t="shared" si="3"/>
        <v>Mass-Nom</v>
      </c>
      <c r="C75" s="5" t="str">
        <f t="shared" si="4"/>
        <v>Mass</v>
      </c>
      <c r="D75" s="5" t="str">
        <f t="shared" si="5"/>
        <v>Nom</v>
      </c>
      <c r="E75" s="5" t="s">
        <v>11</v>
      </c>
      <c r="F75" s="5" t="s">
        <v>17</v>
      </c>
      <c r="G75" s="5"/>
      <c r="H75" s="5" cm="1">
        <f t="array" ref="H75">_xlfn.SWITCH(F75,"HP",_xlfn.XLOOKUP(E75&amp;"|"&amp;B75,
        Calculate_cap_ener!$I$14:$I$21&amp;"|"&amp;Calculate_cap_ener!$L$14:$L$21,
        Calculate_cap_ener!$X$14:$X$21, "Not found", 0),"HPl",_xlfn.XLOOKUP(E75&amp;"|"&amp;B75,
        Calculate_cap_ener!$I$14:$I$21&amp;"|"&amp;Calculate_cap_ener!$L$14:$L$21,
        Calculate_cap_ener!$AA$14:$AA$21, "Not found", 0),)</f>
        <v>8.5</v>
      </c>
      <c r="I75" s="5"/>
      <c r="J75" s="5"/>
      <c r="K75" s="5"/>
      <c r="L75" s="5" cm="1">
        <f t="array" ref="L75">_xlfn.SWITCH(F75,"R",_xlfn.XLOOKUP(E75&amp;"|"&amp;B75,
        Calculate_cap_ener!$I$14:$I$21&amp;"|"&amp;Calculate_cap_ener!$L$14:$L$21,
        Calculate_cap_ener!$AC$14:$AC$21, "Not found", 0),"Rb",_xlfn.XLOOKUP(E75&amp;"|"&amp;B75,
        Calculate_cap_ener!$I$14:$I$21&amp;"|"&amp;Calculate_cap_ener!$L$14:$L$21,
        Calculate_cap_ener!$AE$14:$AE$21, "Not found", 0),"Rl",_xlfn.XLOOKUP(E75&amp;"|"&amp;B75,
        Calculate_cap_ener!$I$14:$I$21&amp;"|"&amp;Calculate_cap_ener!$L$14:$L$21,
        Calculate_cap_ener!$AF$14:$AF$21, "Not found", 0),"HP",_xlfn.XLOOKUP(E75&amp;"|"&amp;B75,
        Calculate_cap_ener!$I$14:$I$21&amp;"|"&amp;Calculate_cap_ener!$L$14:$L$21,
        Calculate_cap_ener!$AD$14:$AD$21, "Not found", 0),"HPl",_xlfn.XLOOKUP(E75&amp;"|"&amp;B75,
        Calculate_cap_ener!$I$14:$I$21&amp;"|"&amp;Calculate_cap_ener!$L$14:$L$21,
        Calculate_cap_ener!$AG$14:$AG$21, "Not found", 0),"Missing")</f>
        <v>25323.569781176473</v>
      </c>
      <c r="M75" s="5"/>
      <c r="N75" s="5"/>
      <c r="O75" s="5"/>
      <c r="P75" s="5"/>
      <c r="Q75" s="5" cm="1">
        <f t="array" ref="Q75">_xlfn.SWITCH(F75,"R",_xlfn.XLOOKUP(E75&amp;"|"&amp;B75,
        Calculate_cap_ener!$I$14:$I$21&amp;"|"&amp;Calculate_cap_ener!$L$14:$L$21,
        Calculate_cap_ener!$AJ$14:$AJ$21, "Not found", 0),"Rb",_xlfn.XLOOKUP(E75&amp;"|"&amp;B75,
        Calculate_cap_ener!$I$14:$I$21&amp;"|"&amp;Calculate_cap_ener!$L$14:$L$21,
        Calculate_cap_ener!$AL$14:$AL$21, "Not found", 0),"Rl",_xlfn.XLOOKUP(E75&amp;"|"&amp;B75,
        Calculate_cap_ener!$I$14:$I$21&amp;"|"&amp;Calculate_cap_ener!$L$14:$L$21,
        Calculate_cap_ener!$AM$14:$AM$21, "Not found", 0),"HP",_xlfn.XLOOKUP(E75&amp;"|"&amp;B75,
        Calculate_cap_ener!$I$14:$I$21&amp;"|"&amp;Calculate_cap_ener!$L$14:$L$21,
        Calculate_cap_ener!$AK$14:$AK$21, "Not found", 0),"HPl",_xlfn.XLOOKUP(E75&amp;"|"&amp;B75,
        Calculate_cap_ener!$I$14:$I$21&amp;"|"&amp;Calculate_cap_ener!$L$14:$L$21,
        Calculate_cap_ener!$AN$14:$AN$21, "Not found", 0),"Missing")</f>
        <v>494.84908387754268</v>
      </c>
      <c r="R75" s="5" cm="1">
        <f t="array" ref="R75">_xlfn.SWITCH(F75,"R",_xlfn.XLOOKUP(E75&amp;"|"&amp;B75,
        Calculate_cap_ener!$I$14:$I$21&amp;"|"&amp;Calculate_cap_ener!$L$14:$L$21,
        Calculate_cap_ener!$AQ$14:$AQ$21, "Not found", 0),"Rb",_xlfn.XLOOKUP(E75&amp;"|"&amp;B75,
        Calculate_cap_ener!$I$14:$I$21&amp;"|"&amp;Calculate_cap_ener!$L$14:$L$21,
        Calculate_cap_ener!$AS$14:$AS$21, "Not found", 0),"Rl",_xlfn.XLOOKUP(E75&amp;"|"&amp;B75,
        Calculate_cap_ener!$I$14:$I$21&amp;"|"&amp;Calculate_cap_ener!$L$14:$L$21,
        Calculate_cap_ener!$AT$14:$AT$21, "Not found", 0),"HP",_xlfn.XLOOKUP(E75&amp;"|"&amp;B75,
        Calculate_cap_ener!$I$14:$I$21&amp;"|"&amp;Calculate_cap_ener!$L$14:$L$21,
        Calculate_cap_ener!$AR$14:$AR$21, "Not found", 0),"HPl",_xlfn.XLOOKUP(E75&amp;"|"&amp;B75,
        Calculate_cap_ener!$I$14:$I$21&amp;"|"&amp;Calculate_cap_ener!$L$14:$L$21,
        Calculate_cap_ener!$AU$14:$AU$21, "Not found", 0),"Missing")</f>
        <v>1261.5160208823529</v>
      </c>
      <c r="S75" s="5" cm="1">
        <f t="array" ref="S75">_xlfn.SWITCH(F75,"R",_xlfn.XLOOKUP(E75&amp;"|"&amp;B75,
        Calculate_cap_ener!$I$14:$I$21&amp;"|"&amp;Calculate_cap_ener!$L$14:$L$21,
        Calculate_cap_ener!$AX$14:$AX$21, "Not found", 0),"Rb",_xlfn.XLOOKUP(E75&amp;"|"&amp;B75,
        Calculate_cap_ener!$I$14:$I$21&amp;"|"&amp;Calculate_cap_ener!$L$14:$L$21,
        Calculate_cap_ener!$AZ$14:$AZ$21, "Not found", 0),"Rl",_xlfn.XLOOKUP(E75&amp;"|"&amp;B75,
        Calculate_cap_ener!$I$14:$I$21&amp;"|"&amp;Calculate_cap_ener!$L$14:$L$21,
        Calculate_cap_ener!$BA$14:$BA$21, "Not found", 0),"HP",_xlfn.XLOOKUP(E75&amp;"|"&amp;B75,
        Calculate_cap_ener!$I$14:$I$21&amp;"|"&amp;Calculate_cap_ener!$L$14:$L$21,
        Calculate_cap_ener!$AY$14:$AY$21, "Not found", 0),"HPl",_xlfn.XLOOKUP(E75&amp;"|"&amp;B75,
        Calculate_cap_ener!$I$14:$I$21&amp;"|"&amp;Calculate_cap_ener!$L$14:$L$21,
        Calculate_cap_ener!$BB$14:$BB$21, "Not found", 0),"Missing")</f>
        <v>5314.7496590000001</v>
      </c>
      <c r="T75" s="5" cm="1">
        <f t="array" ref="T75">_xlfn.SWITCH(F75,"R",_xlfn.XLOOKUP(E75&amp;"|"&amp;B75,
        Calculate_cap_ener!$I$14:$I$21&amp;"|"&amp;Calculate_cap_ener!$L$14:$L$21,
        Calculate_cap_ener!$BE$14:$BE$21, "Not found", 0),"Rb",_xlfn.XLOOKUP(E75&amp;"|"&amp;B75,
        Calculate_cap_ener!$I$14:$I$21&amp;"|"&amp;Calculate_cap_ener!$L$14:$L$21,
        Calculate_cap_ener!$BG$14:$BG$21, "Not found", 0),"Rl",_xlfn.XLOOKUP(E75&amp;"|"&amp;B75,
        Calculate_cap_ener!$I$14:$I$21&amp;"|"&amp;Calculate_cap_ener!$L$14:$L$21,
        Calculate_cap_ener!$BH$14:$BH$21, "Not found", 0),"HP",_xlfn.XLOOKUP(E75&amp;"|"&amp;B75,
        Calculate_cap_ener!$I$14:$I$21&amp;"|"&amp;Calculate_cap_ener!$L$14:$L$21,
        Calculate_cap_ener!$BF$14:$BF$21, "Not found", 0),"HPl",_xlfn.XLOOKUP(E75&amp;"|"&amp;B75,
        Calculate_cap_ener!$I$14:$I$21&amp;"|"&amp;Calculate_cap_ener!$L$14:$L$21,
        Calculate_cap_ener!$BI$14:$BI$21, "Not found", 0),"Missing")</f>
        <v>4857.1714861764704</v>
      </c>
    </row>
    <row r="76" spans="1:20" x14ac:dyDescent="0.25">
      <c r="A76" s="5" t="s">
        <v>5</v>
      </c>
      <c r="B76" s="5" t="str">
        <f t="shared" si="3"/>
        <v>Mass-H1</v>
      </c>
      <c r="C76" s="5" t="str">
        <f t="shared" si="4"/>
        <v>Mass</v>
      </c>
      <c r="D76" s="5" t="str">
        <f t="shared" si="5"/>
        <v>H1</v>
      </c>
      <c r="E76" s="5" t="s">
        <v>11</v>
      </c>
      <c r="F76" s="5" t="s">
        <v>17</v>
      </c>
      <c r="G76" s="5"/>
      <c r="H76" s="5" cm="1">
        <f t="array" ref="H76">_xlfn.SWITCH(F76,"HP",_xlfn.XLOOKUP(E76&amp;"|"&amp;B76,
        Calculate_cap_ener!$I$14:$I$21&amp;"|"&amp;Calculate_cap_ener!$L$14:$L$21,
        Calculate_cap_ener!$X$14:$X$21, "Not found", 0),"HPl",_xlfn.XLOOKUP(E76&amp;"|"&amp;B76,
        Calculate_cap_ener!$I$14:$I$21&amp;"|"&amp;Calculate_cap_ener!$L$14:$L$21,
        Calculate_cap_ener!$AA$14:$AA$21, "Not found", 0),)</f>
        <v>5</v>
      </c>
      <c r="I76" s="5"/>
      <c r="J76" s="5"/>
      <c r="K76" s="5"/>
      <c r="L76" s="5" cm="1">
        <f t="array" ref="L76">_xlfn.SWITCH(F76,"R",_xlfn.XLOOKUP(E76&amp;"|"&amp;B76,
        Calculate_cap_ener!$I$14:$I$21&amp;"|"&amp;Calculate_cap_ener!$L$14:$L$21,
        Calculate_cap_ener!$AC$14:$AC$21, "Not found", 0),"Rb",_xlfn.XLOOKUP(E76&amp;"|"&amp;B76,
        Calculate_cap_ener!$I$14:$I$21&amp;"|"&amp;Calculate_cap_ener!$L$14:$L$21,
        Calculate_cap_ener!$AE$14:$AE$21, "Not found", 0),"Rl",_xlfn.XLOOKUP(E76&amp;"|"&amp;B76,
        Calculate_cap_ener!$I$14:$I$21&amp;"|"&amp;Calculate_cap_ener!$L$14:$L$21,
        Calculate_cap_ener!$AF$14:$AF$21, "Not found", 0),"HP",_xlfn.XLOOKUP(E76&amp;"|"&amp;B76,
        Calculate_cap_ener!$I$14:$I$21&amp;"|"&amp;Calculate_cap_ener!$L$14:$L$21,
        Calculate_cap_ener!$AD$14:$AD$21, "Not found", 0),"HPl",_xlfn.XLOOKUP(E76&amp;"|"&amp;B76,
        Calculate_cap_ener!$I$14:$I$21&amp;"|"&amp;Calculate_cap_ener!$L$14:$L$21,
        Calculate_cap_ener!$AG$14:$AG$21, "Not found", 0),"Missing")</f>
        <v>18698.535190588234</v>
      </c>
      <c r="M76" s="5"/>
      <c r="N76" s="5"/>
      <c r="O76" s="5"/>
      <c r="P76" s="5"/>
      <c r="Q76" s="5" cm="1">
        <f t="array" ref="Q76">_xlfn.SWITCH(F76,"R",_xlfn.XLOOKUP(E76&amp;"|"&amp;B76,
        Calculate_cap_ener!$I$14:$I$21&amp;"|"&amp;Calculate_cap_ener!$L$14:$L$21,
        Calculate_cap_ener!$AJ$14:$AJ$21, "Not found", 0),"Rb",_xlfn.XLOOKUP(E76&amp;"|"&amp;B76,
        Calculate_cap_ener!$I$14:$I$21&amp;"|"&amp;Calculate_cap_ener!$L$14:$L$21,
        Calculate_cap_ener!$AL$14:$AL$21, "Not found", 0),"Rl",_xlfn.XLOOKUP(E76&amp;"|"&amp;B76,
        Calculate_cap_ener!$I$14:$I$21&amp;"|"&amp;Calculate_cap_ener!$L$14:$L$21,
        Calculate_cap_ener!$AM$14:$AM$21, "Not found", 0),"HP",_xlfn.XLOOKUP(E76&amp;"|"&amp;B76,
        Calculate_cap_ener!$I$14:$I$21&amp;"|"&amp;Calculate_cap_ener!$L$14:$L$21,
        Calculate_cap_ener!$AK$14:$AK$21, "Not found", 0),"HPl",_xlfn.XLOOKUP(E76&amp;"|"&amp;B76,
        Calculate_cap_ener!$I$14:$I$21&amp;"|"&amp;Calculate_cap_ener!$L$14:$L$21,
        Calculate_cap_ener!$AN$14:$AN$21, "Not found", 0),"Missing")</f>
        <v>371.17529968416966</v>
      </c>
      <c r="R76" s="5" cm="1">
        <f t="array" ref="R76">_xlfn.SWITCH(F76,"R",_xlfn.XLOOKUP(E76&amp;"|"&amp;B76,
        Calculate_cap_ener!$I$14:$I$21&amp;"|"&amp;Calculate_cap_ener!$L$14:$L$21,
        Calculate_cap_ener!$AQ$14:$AQ$21, "Not found", 0),"Rb",_xlfn.XLOOKUP(E76&amp;"|"&amp;B76,
        Calculate_cap_ener!$I$14:$I$21&amp;"|"&amp;Calculate_cap_ener!$L$14:$L$21,
        Calculate_cap_ener!$AS$14:$AS$21, "Not found", 0),"Rl",_xlfn.XLOOKUP(E76&amp;"|"&amp;B76,
        Calculate_cap_ener!$I$14:$I$21&amp;"|"&amp;Calculate_cap_ener!$L$14:$L$21,
        Calculate_cap_ener!$AT$14:$AT$21, "Not found", 0),"HP",_xlfn.XLOOKUP(E76&amp;"|"&amp;B76,
        Calculate_cap_ener!$I$14:$I$21&amp;"|"&amp;Calculate_cap_ener!$L$14:$L$21,
        Calculate_cap_ener!$AR$14:$AR$21, "Not found", 0),"HPl",_xlfn.XLOOKUP(E76&amp;"|"&amp;B76,
        Calculate_cap_ener!$I$14:$I$21&amp;"|"&amp;Calculate_cap_ener!$L$14:$L$21,
        Calculate_cap_ener!$AU$14:$AU$21, "Not found", 0),"Missing")</f>
        <v>836.32540999411765</v>
      </c>
      <c r="S76" s="5" cm="1">
        <f t="array" ref="S76">_xlfn.SWITCH(F76,"R",_xlfn.XLOOKUP(E76&amp;"|"&amp;B76,
        Calculate_cap_ener!$I$14:$I$21&amp;"|"&amp;Calculate_cap_ener!$L$14:$L$21,
        Calculate_cap_ener!$AX$14:$AX$21, "Not found", 0),"Rb",_xlfn.XLOOKUP(E76&amp;"|"&amp;B76,
        Calculate_cap_ener!$I$14:$I$21&amp;"|"&amp;Calculate_cap_ener!$L$14:$L$21,
        Calculate_cap_ener!$AZ$14:$AZ$21, "Not found", 0),"Rl",_xlfn.XLOOKUP(E76&amp;"|"&amp;B76,
        Calculate_cap_ener!$I$14:$I$21&amp;"|"&amp;Calculate_cap_ener!$L$14:$L$21,
        Calculate_cap_ener!$BA$14:$BA$21, "Not found", 0),"HP",_xlfn.XLOOKUP(E76&amp;"|"&amp;B76,
        Calculate_cap_ener!$I$14:$I$21&amp;"|"&amp;Calculate_cap_ener!$L$14:$L$21,
        Calculate_cap_ener!$AY$14:$AY$21, "Not found", 0),"HPl",_xlfn.XLOOKUP(E76&amp;"|"&amp;B76,
        Calculate_cap_ener!$I$14:$I$21&amp;"|"&amp;Calculate_cap_ener!$L$14:$L$21,
        Calculate_cap_ener!$BB$14:$BB$21, "Not found", 0),"Missing")</f>
        <v>2970.9842370000001</v>
      </c>
      <c r="T76" s="5" cm="1">
        <f t="array" ref="T76">_xlfn.SWITCH(F76,"R",_xlfn.XLOOKUP(E76&amp;"|"&amp;B76,
        Calculate_cap_ener!$I$14:$I$21&amp;"|"&amp;Calculate_cap_ener!$L$14:$L$21,
        Calculate_cap_ener!$BE$14:$BE$21, "Not found", 0),"Rb",_xlfn.XLOOKUP(E76&amp;"|"&amp;B76,
        Calculate_cap_ener!$I$14:$I$21&amp;"|"&amp;Calculate_cap_ener!$L$14:$L$21,
        Calculate_cap_ener!$BG$14:$BG$21, "Not found", 0),"Rl",_xlfn.XLOOKUP(E76&amp;"|"&amp;B76,
        Calculate_cap_ener!$I$14:$I$21&amp;"|"&amp;Calculate_cap_ener!$L$14:$L$21,
        Calculate_cap_ener!$BH$14:$BH$21, "Not found", 0),"HP",_xlfn.XLOOKUP(E76&amp;"|"&amp;B76,
        Calculate_cap_ener!$I$14:$I$21&amp;"|"&amp;Calculate_cap_ener!$L$14:$L$21,
        Calculate_cap_ener!$BF$14:$BF$21, "Not found", 0),"HPl",_xlfn.XLOOKUP(E76&amp;"|"&amp;B76,
        Calculate_cap_ener!$I$14:$I$21&amp;"|"&amp;Calculate_cap_ener!$L$14:$L$21,
        Calculate_cap_ener!$BI$14:$BI$21, "Not found", 0),"Missing")</f>
        <v>3600.8819304705885</v>
      </c>
    </row>
    <row r="77" spans="1:20" x14ac:dyDescent="0.25">
      <c r="A77" s="5" t="s">
        <v>6</v>
      </c>
      <c r="B77" s="5" t="str">
        <f t="shared" si="3"/>
        <v>Mass-H1</v>
      </c>
      <c r="C77" s="5" t="str">
        <f t="shared" si="4"/>
        <v>Mass</v>
      </c>
      <c r="D77" s="5" t="str">
        <f t="shared" si="5"/>
        <v>H1</v>
      </c>
      <c r="E77" s="5" t="s">
        <v>11</v>
      </c>
      <c r="F77" s="5" t="s">
        <v>17</v>
      </c>
      <c r="G77" s="5"/>
      <c r="H77" s="5" cm="1">
        <f t="array" ref="H77">_xlfn.SWITCH(F77,"HP",_xlfn.XLOOKUP(E77&amp;"|"&amp;B77,
        Calculate_cap_ener!$I$14:$I$21&amp;"|"&amp;Calculate_cap_ener!$L$14:$L$21,
        Calculate_cap_ener!$X$14:$X$21, "Not found", 0),"HPl",_xlfn.XLOOKUP(E77&amp;"|"&amp;B77,
        Calculate_cap_ener!$I$14:$I$21&amp;"|"&amp;Calculate_cap_ener!$L$14:$L$21,
        Calculate_cap_ener!$AA$14:$AA$21, "Not found", 0),)</f>
        <v>5</v>
      </c>
      <c r="I77" s="5"/>
      <c r="J77" s="5"/>
      <c r="K77" s="5"/>
      <c r="L77" s="5" cm="1">
        <f t="array" ref="L77">_xlfn.SWITCH(F77,"R",_xlfn.XLOOKUP(E77&amp;"|"&amp;B77,
        Calculate_cap_ener!$I$14:$I$21&amp;"|"&amp;Calculate_cap_ener!$L$14:$L$21,
        Calculate_cap_ener!$AC$14:$AC$21, "Not found", 0),"Rb",_xlfn.XLOOKUP(E77&amp;"|"&amp;B77,
        Calculate_cap_ener!$I$14:$I$21&amp;"|"&amp;Calculate_cap_ener!$L$14:$L$21,
        Calculate_cap_ener!$AE$14:$AE$21, "Not found", 0),"Rl",_xlfn.XLOOKUP(E77&amp;"|"&amp;B77,
        Calculate_cap_ener!$I$14:$I$21&amp;"|"&amp;Calculate_cap_ener!$L$14:$L$21,
        Calculate_cap_ener!$AF$14:$AF$21, "Not found", 0),"HP",_xlfn.XLOOKUP(E77&amp;"|"&amp;B77,
        Calculate_cap_ener!$I$14:$I$21&amp;"|"&amp;Calculate_cap_ener!$L$14:$L$21,
        Calculate_cap_ener!$AD$14:$AD$21, "Not found", 0),"HPl",_xlfn.XLOOKUP(E77&amp;"|"&amp;B77,
        Calculate_cap_ener!$I$14:$I$21&amp;"|"&amp;Calculate_cap_ener!$L$14:$L$21,
        Calculate_cap_ener!$AG$14:$AG$21, "Not found", 0),"Missing")</f>
        <v>18698.535190588234</v>
      </c>
      <c r="M77" s="5"/>
      <c r="N77" s="5"/>
      <c r="O77" s="5"/>
      <c r="P77" s="5"/>
      <c r="Q77" s="5" cm="1">
        <f t="array" ref="Q77">_xlfn.SWITCH(F77,"R",_xlfn.XLOOKUP(E77&amp;"|"&amp;B77,
        Calculate_cap_ener!$I$14:$I$21&amp;"|"&amp;Calculate_cap_ener!$L$14:$L$21,
        Calculate_cap_ener!$AJ$14:$AJ$21, "Not found", 0),"Rb",_xlfn.XLOOKUP(E77&amp;"|"&amp;B77,
        Calculate_cap_ener!$I$14:$I$21&amp;"|"&amp;Calculate_cap_ener!$L$14:$L$21,
        Calculate_cap_ener!$AL$14:$AL$21, "Not found", 0),"Rl",_xlfn.XLOOKUP(E77&amp;"|"&amp;B77,
        Calculate_cap_ener!$I$14:$I$21&amp;"|"&amp;Calculate_cap_ener!$L$14:$L$21,
        Calculate_cap_ener!$AM$14:$AM$21, "Not found", 0),"HP",_xlfn.XLOOKUP(E77&amp;"|"&amp;B77,
        Calculate_cap_ener!$I$14:$I$21&amp;"|"&amp;Calculate_cap_ener!$L$14:$L$21,
        Calculate_cap_ener!$AK$14:$AK$21, "Not found", 0),"HPl",_xlfn.XLOOKUP(E77&amp;"|"&amp;B77,
        Calculate_cap_ener!$I$14:$I$21&amp;"|"&amp;Calculate_cap_ener!$L$14:$L$21,
        Calculate_cap_ener!$AN$14:$AN$21, "Not found", 0),"Missing")</f>
        <v>371.17529968416966</v>
      </c>
      <c r="R77" s="5" cm="1">
        <f t="array" ref="R77">_xlfn.SWITCH(F77,"R",_xlfn.XLOOKUP(E77&amp;"|"&amp;B77,
        Calculate_cap_ener!$I$14:$I$21&amp;"|"&amp;Calculate_cap_ener!$L$14:$L$21,
        Calculate_cap_ener!$AQ$14:$AQ$21, "Not found", 0),"Rb",_xlfn.XLOOKUP(E77&amp;"|"&amp;B77,
        Calculate_cap_ener!$I$14:$I$21&amp;"|"&amp;Calculate_cap_ener!$L$14:$L$21,
        Calculate_cap_ener!$AS$14:$AS$21, "Not found", 0),"Rl",_xlfn.XLOOKUP(E77&amp;"|"&amp;B77,
        Calculate_cap_ener!$I$14:$I$21&amp;"|"&amp;Calculate_cap_ener!$L$14:$L$21,
        Calculate_cap_ener!$AT$14:$AT$21, "Not found", 0),"HP",_xlfn.XLOOKUP(E77&amp;"|"&amp;B77,
        Calculate_cap_ener!$I$14:$I$21&amp;"|"&amp;Calculate_cap_ener!$L$14:$L$21,
        Calculate_cap_ener!$AR$14:$AR$21, "Not found", 0),"HPl",_xlfn.XLOOKUP(E77&amp;"|"&amp;B77,
        Calculate_cap_ener!$I$14:$I$21&amp;"|"&amp;Calculate_cap_ener!$L$14:$L$21,
        Calculate_cap_ener!$AU$14:$AU$21, "Not found", 0),"Missing")</f>
        <v>836.32540999411765</v>
      </c>
      <c r="S77" s="5" cm="1">
        <f t="array" ref="S77">_xlfn.SWITCH(F77,"R",_xlfn.XLOOKUP(E77&amp;"|"&amp;B77,
        Calculate_cap_ener!$I$14:$I$21&amp;"|"&amp;Calculate_cap_ener!$L$14:$L$21,
        Calculate_cap_ener!$AX$14:$AX$21, "Not found", 0),"Rb",_xlfn.XLOOKUP(E77&amp;"|"&amp;B77,
        Calculate_cap_ener!$I$14:$I$21&amp;"|"&amp;Calculate_cap_ener!$L$14:$L$21,
        Calculate_cap_ener!$AZ$14:$AZ$21, "Not found", 0),"Rl",_xlfn.XLOOKUP(E77&amp;"|"&amp;B77,
        Calculate_cap_ener!$I$14:$I$21&amp;"|"&amp;Calculate_cap_ener!$L$14:$L$21,
        Calculate_cap_ener!$BA$14:$BA$21, "Not found", 0),"HP",_xlfn.XLOOKUP(E77&amp;"|"&amp;B77,
        Calculate_cap_ener!$I$14:$I$21&amp;"|"&amp;Calculate_cap_ener!$L$14:$L$21,
        Calculate_cap_ener!$AY$14:$AY$21, "Not found", 0),"HPl",_xlfn.XLOOKUP(E77&amp;"|"&amp;B77,
        Calculate_cap_ener!$I$14:$I$21&amp;"|"&amp;Calculate_cap_ener!$L$14:$L$21,
        Calculate_cap_ener!$BB$14:$BB$21, "Not found", 0),"Missing")</f>
        <v>2970.9842370000001</v>
      </c>
      <c r="T77" s="5" cm="1">
        <f t="array" ref="T77">_xlfn.SWITCH(F77,"R",_xlfn.XLOOKUP(E77&amp;"|"&amp;B77,
        Calculate_cap_ener!$I$14:$I$21&amp;"|"&amp;Calculate_cap_ener!$L$14:$L$21,
        Calculate_cap_ener!$BE$14:$BE$21, "Not found", 0),"Rb",_xlfn.XLOOKUP(E77&amp;"|"&amp;B77,
        Calculate_cap_ener!$I$14:$I$21&amp;"|"&amp;Calculate_cap_ener!$L$14:$L$21,
        Calculate_cap_ener!$BG$14:$BG$21, "Not found", 0),"Rl",_xlfn.XLOOKUP(E77&amp;"|"&amp;B77,
        Calculate_cap_ener!$I$14:$I$21&amp;"|"&amp;Calculate_cap_ener!$L$14:$L$21,
        Calculate_cap_ener!$BH$14:$BH$21, "Not found", 0),"HP",_xlfn.XLOOKUP(E77&amp;"|"&amp;B77,
        Calculate_cap_ener!$I$14:$I$21&amp;"|"&amp;Calculate_cap_ener!$L$14:$L$21,
        Calculate_cap_ener!$BF$14:$BF$21, "Not found", 0),"HPl",_xlfn.XLOOKUP(E77&amp;"|"&amp;B77,
        Calculate_cap_ener!$I$14:$I$21&amp;"|"&amp;Calculate_cap_ener!$L$14:$L$21,
        Calculate_cap_ener!$BI$14:$BI$21, "Not found", 0),"Missing")</f>
        <v>3600.8819304705885</v>
      </c>
    </row>
    <row r="78" spans="1:20" x14ac:dyDescent="0.25">
      <c r="A78" s="5" t="s">
        <v>7</v>
      </c>
      <c r="B78" s="5" t="str">
        <f t="shared" si="3"/>
        <v>Mod-Nom</v>
      </c>
      <c r="C78" s="5" t="str">
        <f t="shared" si="4"/>
        <v>Mod</v>
      </c>
      <c r="D78" s="5" t="str">
        <f t="shared" si="5"/>
        <v>Nom</v>
      </c>
      <c r="E78" s="5" t="s">
        <v>11</v>
      </c>
      <c r="F78" s="5" t="s">
        <v>17</v>
      </c>
      <c r="G78" s="5"/>
      <c r="H78" s="5" cm="1">
        <f t="array" ref="H78">_xlfn.SWITCH(F78,"HP",_xlfn.XLOOKUP(E78&amp;"|"&amp;B78,
        Calculate_cap_ener!$I$14:$I$21&amp;"|"&amp;Calculate_cap_ener!$L$14:$L$21,
        Calculate_cap_ener!$X$14:$X$21, "Not found", 0),"HPl",_xlfn.XLOOKUP(E78&amp;"|"&amp;B78,
        Calculate_cap_ener!$I$14:$I$21&amp;"|"&amp;Calculate_cap_ener!$L$14:$L$21,
        Calculate_cap_ener!$AA$14:$AA$21, "Not found", 0),)</f>
        <v>9.5</v>
      </c>
      <c r="I78" s="5"/>
      <c r="J78" s="5"/>
      <c r="K78" s="5"/>
      <c r="L78" s="5" cm="1">
        <f t="array" ref="L78">_xlfn.SWITCH(F78,"R",_xlfn.XLOOKUP(E78&amp;"|"&amp;B78,
        Calculate_cap_ener!$I$14:$I$21&amp;"|"&amp;Calculate_cap_ener!$L$14:$L$21,
        Calculate_cap_ener!$AC$14:$AC$21, "Not found", 0),"Rb",_xlfn.XLOOKUP(E78&amp;"|"&amp;B78,
        Calculate_cap_ener!$I$14:$I$21&amp;"|"&amp;Calculate_cap_ener!$L$14:$L$21,
        Calculate_cap_ener!$AE$14:$AE$21, "Not found", 0),"Rl",_xlfn.XLOOKUP(E78&amp;"|"&amp;B78,
        Calculate_cap_ener!$I$14:$I$21&amp;"|"&amp;Calculate_cap_ener!$L$14:$L$21,
        Calculate_cap_ener!$AF$14:$AF$21, "Not found", 0),"HP",_xlfn.XLOOKUP(E78&amp;"|"&amp;B78,
        Calculate_cap_ener!$I$14:$I$21&amp;"|"&amp;Calculate_cap_ener!$L$14:$L$21,
        Calculate_cap_ener!$AD$14:$AD$21, "Not found", 0),"HPl",_xlfn.XLOOKUP(E78&amp;"|"&amp;B78,
        Calculate_cap_ener!$I$14:$I$21&amp;"|"&amp;Calculate_cap_ener!$L$14:$L$21,
        Calculate_cap_ener!$AG$14:$AG$21, "Not found", 0),"Missing")</f>
        <v>27216.436812352942</v>
      </c>
      <c r="M78" s="5"/>
      <c r="N78" s="5"/>
      <c r="O78" s="5"/>
      <c r="P78" s="5"/>
      <c r="Q78" s="5" cm="1">
        <f t="array" ref="Q78">_xlfn.SWITCH(F78,"R",_xlfn.XLOOKUP(E78&amp;"|"&amp;B78,
        Calculate_cap_ener!$I$14:$I$21&amp;"|"&amp;Calculate_cap_ener!$L$14:$L$21,
        Calculate_cap_ener!$AJ$14:$AJ$21, "Not found", 0),"Rb",_xlfn.XLOOKUP(E78&amp;"|"&amp;B78,
        Calculate_cap_ener!$I$14:$I$21&amp;"|"&amp;Calculate_cap_ener!$L$14:$L$21,
        Calculate_cap_ener!$AL$14:$AL$21, "Not found", 0),"Rl",_xlfn.XLOOKUP(E78&amp;"|"&amp;B78,
        Calculate_cap_ener!$I$14:$I$21&amp;"|"&amp;Calculate_cap_ener!$L$14:$L$21,
        Calculate_cap_ener!$AM$14:$AM$21, "Not found", 0),"HP",_xlfn.XLOOKUP(E78&amp;"|"&amp;B78,
        Calculate_cap_ener!$I$14:$I$21&amp;"|"&amp;Calculate_cap_ener!$L$14:$L$21,
        Calculate_cap_ener!$AK$14:$AK$21, "Not found", 0),"HPl",_xlfn.XLOOKUP(E78&amp;"|"&amp;B78,
        Calculate_cap_ener!$I$14:$I$21&amp;"|"&amp;Calculate_cap_ener!$L$14:$L$21,
        Calculate_cap_ener!$AN$14:$AN$21, "Not found", 0),"Missing")</f>
        <v>530.18445083642757</v>
      </c>
      <c r="R78" s="5" cm="1">
        <f t="array" ref="R78">_xlfn.SWITCH(F78,"R",_xlfn.XLOOKUP(E78&amp;"|"&amp;B78,
        Calculate_cap_ener!$I$14:$I$21&amp;"|"&amp;Calculate_cap_ener!$L$14:$L$21,
        Calculate_cap_ener!$AQ$14:$AQ$21, "Not found", 0),"Rb",_xlfn.XLOOKUP(E78&amp;"|"&amp;B78,
        Calculate_cap_ener!$I$14:$I$21&amp;"|"&amp;Calculate_cap_ener!$L$14:$L$21,
        Calculate_cap_ener!$AS$14:$AS$21, "Not found", 0),"Rl",_xlfn.XLOOKUP(E78&amp;"|"&amp;B78,
        Calculate_cap_ener!$I$14:$I$21&amp;"|"&amp;Calculate_cap_ener!$L$14:$L$21,
        Calculate_cap_ener!$AT$14:$AT$21, "Not found", 0),"HP",_xlfn.XLOOKUP(E78&amp;"|"&amp;B78,
        Calculate_cap_ener!$I$14:$I$21&amp;"|"&amp;Calculate_cap_ener!$L$14:$L$21,
        Calculate_cap_ener!$AR$14:$AR$21, "Not found", 0),"HPl",_xlfn.XLOOKUP(E78&amp;"|"&amp;B78,
        Calculate_cap_ener!$I$14:$I$21&amp;"|"&amp;Calculate_cap_ener!$L$14:$L$21,
        Calculate_cap_ener!$AU$14:$AU$21, "Not found", 0),"Missing")</f>
        <v>1382.9990530588236</v>
      </c>
      <c r="S78" s="5" cm="1">
        <f t="array" ref="S78">_xlfn.SWITCH(F78,"R",_xlfn.XLOOKUP(E78&amp;"|"&amp;B78,
        Calculate_cap_ener!$I$14:$I$21&amp;"|"&amp;Calculate_cap_ener!$L$14:$L$21,
        Calculate_cap_ener!$AX$14:$AX$21, "Not found", 0),"Rb",_xlfn.XLOOKUP(E78&amp;"|"&amp;B78,
        Calculate_cap_ener!$I$14:$I$21&amp;"|"&amp;Calculate_cap_ener!$L$14:$L$21,
        Calculate_cap_ener!$AZ$14:$AZ$21, "Not found", 0),"Rl",_xlfn.XLOOKUP(E78&amp;"|"&amp;B78,
        Calculate_cap_ener!$I$14:$I$21&amp;"|"&amp;Calculate_cap_ener!$L$14:$L$21,
        Calculate_cap_ener!$BA$14:$BA$21, "Not found", 0),"HP",_xlfn.XLOOKUP(E78&amp;"|"&amp;B78,
        Calculate_cap_ener!$I$14:$I$21&amp;"|"&amp;Calculate_cap_ener!$L$14:$L$21,
        Calculate_cap_ener!$AY$14:$AY$21, "Not found", 0),"HPl",_xlfn.XLOOKUP(E78&amp;"|"&amp;B78,
        Calculate_cap_ener!$I$14:$I$21&amp;"|"&amp;Calculate_cap_ener!$L$14:$L$21,
        Calculate_cap_ener!$BB$14:$BB$21, "Not found", 0),"Missing")</f>
        <v>5984.3969230000002</v>
      </c>
      <c r="T78" s="5" cm="1">
        <f t="array" ref="T78">_xlfn.SWITCH(F78,"R",_xlfn.XLOOKUP(E78&amp;"|"&amp;B78,
        Calculate_cap_ener!$I$14:$I$21&amp;"|"&amp;Calculate_cap_ener!$L$14:$L$21,
        Calculate_cap_ener!$BE$14:$BE$21, "Not found", 0),"Rb",_xlfn.XLOOKUP(E78&amp;"|"&amp;B78,
        Calculate_cap_ener!$I$14:$I$21&amp;"|"&amp;Calculate_cap_ener!$L$14:$L$21,
        Calculate_cap_ener!$BG$14:$BG$21, "Not found", 0),"Rl",_xlfn.XLOOKUP(E78&amp;"|"&amp;B78,
        Calculate_cap_ener!$I$14:$I$21&amp;"|"&amp;Calculate_cap_ener!$L$14:$L$21,
        Calculate_cap_ener!$BH$14:$BH$21, "Not found", 0),"HP",_xlfn.XLOOKUP(E78&amp;"|"&amp;B78,
        Calculate_cap_ener!$I$14:$I$21&amp;"|"&amp;Calculate_cap_ener!$L$14:$L$21,
        Calculate_cap_ener!$BF$14:$BF$21, "Not found", 0),"HPl",_xlfn.XLOOKUP(E78&amp;"|"&amp;B78,
        Calculate_cap_ener!$I$14:$I$21&amp;"|"&amp;Calculate_cap_ener!$L$14:$L$21,
        Calculate_cap_ener!$BI$14:$BI$21, "Not found", 0),"Missing")</f>
        <v>5216.1113587058817</v>
      </c>
    </row>
    <row r="79" spans="1:20" x14ac:dyDescent="0.25">
      <c r="A79" s="5" t="s">
        <v>8</v>
      </c>
      <c r="B79" s="5" t="str">
        <f t="shared" si="3"/>
        <v>Mod-Nom</v>
      </c>
      <c r="C79" s="5" t="str">
        <f t="shared" si="4"/>
        <v>Mod</v>
      </c>
      <c r="D79" s="5" t="str">
        <f t="shared" si="5"/>
        <v>Nom</v>
      </c>
      <c r="E79" s="5" t="s">
        <v>11</v>
      </c>
      <c r="F79" s="5" t="s">
        <v>17</v>
      </c>
      <c r="G79" s="5"/>
      <c r="H79" s="5" cm="1">
        <f t="array" ref="H79">_xlfn.SWITCH(F79,"HP",_xlfn.XLOOKUP(E79&amp;"|"&amp;B79,
        Calculate_cap_ener!$I$14:$I$21&amp;"|"&amp;Calculate_cap_ener!$L$14:$L$21,
        Calculate_cap_ener!$X$14:$X$21, "Not found", 0),"HPl",_xlfn.XLOOKUP(E79&amp;"|"&amp;B79,
        Calculate_cap_ener!$I$14:$I$21&amp;"|"&amp;Calculate_cap_ener!$L$14:$L$21,
        Calculate_cap_ener!$AA$14:$AA$21, "Not found", 0),)</f>
        <v>9.5</v>
      </c>
      <c r="I79" s="5"/>
      <c r="J79" s="5"/>
      <c r="K79" s="5"/>
      <c r="L79" s="5" cm="1">
        <f t="array" ref="L79">_xlfn.SWITCH(F79,"R",_xlfn.XLOOKUP(E79&amp;"|"&amp;B79,
        Calculate_cap_ener!$I$14:$I$21&amp;"|"&amp;Calculate_cap_ener!$L$14:$L$21,
        Calculate_cap_ener!$AC$14:$AC$21, "Not found", 0),"Rb",_xlfn.XLOOKUP(E79&amp;"|"&amp;B79,
        Calculate_cap_ener!$I$14:$I$21&amp;"|"&amp;Calculate_cap_ener!$L$14:$L$21,
        Calculate_cap_ener!$AE$14:$AE$21, "Not found", 0),"Rl",_xlfn.XLOOKUP(E79&amp;"|"&amp;B79,
        Calculate_cap_ener!$I$14:$I$21&amp;"|"&amp;Calculate_cap_ener!$L$14:$L$21,
        Calculate_cap_ener!$AF$14:$AF$21, "Not found", 0),"HP",_xlfn.XLOOKUP(E79&amp;"|"&amp;B79,
        Calculate_cap_ener!$I$14:$I$21&amp;"|"&amp;Calculate_cap_ener!$L$14:$L$21,
        Calculate_cap_ener!$AD$14:$AD$21, "Not found", 0),"HPl",_xlfn.XLOOKUP(E79&amp;"|"&amp;B79,
        Calculate_cap_ener!$I$14:$I$21&amp;"|"&amp;Calculate_cap_ener!$L$14:$L$21,
        Calculate_cap_ener!$AG$14:$AG$21, "Not found", 0),"Missing")</f>
        <v>27216.436812352942</v>
      </c>
      <c r="M79" s="5"/>
      <c r="N79" s="5"/>
      <c r="O79" s="5"/>
      <c r="P79" s="5"/>
      <c r="Q79" s="5" cm="1">
        <f t="array" ref="Q79">_xlfn.SWITCH(F79,"R",_xlfn.XLOOKUP(E79&amp;"|"&amp;B79,
        Calculate_cap_ener!$I$14:$I$21&amp;"|"&amp;Calculate_cap_ener!$L$14:$L$21,
        Calculate_cap_ener!$AJ$14:$AJ$21, "Not found", 0),"Rb",_xlfn.XLOOKUP(E79&amp;"|"&amp;B79,
        Calculate_cap_ener!$I$14:$I$21&amp;"|"&amp;Calculate_cap_ener!$L$14:$L$21,
        Calculate_cap_ener!$AL$14:$AL$21, "Not found", 0),"Rl",_xlfn.XLOOKUP(E79&amp;"|"&amp;B79,
        Calculate_cap_ener!$I$14:$I$21&amp;"|"&amp;Calculate_cap_ener!$L$14:$L$21,
        Calculate_cap_ener!$AM$14:$AM$21, "Not found", 0),"HP",_xlfn.XLOOKUP(E79&amp;"|"&amp;B79,
        Calculate_cap_ener!$I$14:$I$21&amp;"|"&amp;Calculate_cap_ener!$L$14:$L$21,
        Calculate_cap_ener!$AK$14:$AK$21, "Not found", 0),"HPl",_xlfn.XLOOKUP(E79&amp;"|"&amp;B79,
        Calculate_cap_ener!$I$14:$I$21&amp;"|"&amp;Calculate_cap_ener!$L$14:$L$21,
        Calculate_cap_ener!$AN$14:$AN$21, "Not found", 0),"Missing")</f>
        <v>530.18445083642757</v>
      </c>
      <c r="R79" s="5" cm="1">
        <f t="array" ref="R79">_xlfn.SWITCH(F79,"R",_xlfn.XLOOKUP(E79&amp;"|"&amp;B79,
        Calculate_cap_ener!$I$14:$I$21&amp;"|"&amp;Calculate_cap_ener!$L$14:$L$21,
        Calculate_cap_ener!$AQ$14:$AQ$21, "Not found", 0),"Rb",_xlfn.XLOOKUP(E79&amp;"|"&amp;B79,
        Calculate_cap_ener!$I$14:$I$21&amp;"|"&amp;Calculate_cap_ener!$L$14:$L$21,
        Calculate_cap_ener!$AS$14:$AS$21, "Not found", 0),"Rl",_xlfn.XLOOKUP(E79&amp;"|"&amp;B79,
        Calculate_cap_ener!$I$14:$I$21&amp;"|"&amp;Calculate_cap_ener!$L$14:$L$21,
        Calculate_cap_ener!$AT$14:$AT$21, "Not found", 0),"HP",_xlfn.XLOOKUP(E79&amp;"|"&amp;B79,
        Calculate_cap_ener!$I$14:$I$21&amp;"|"&amp;Calculate_cap_ener!$L$14:$L$21,
        Calculate_cap_ener!$AR$14:$AR$21, "Not found", 0),"HPl",_xlfn.XLOOKUP(E79&amp;"|"&amp;B79,
        Calculate_cap_ener!$I$14:$I$21&amp;"|"&amp;Calculate_cap_ener!$L$14:$L$21,
        Calculate_cap_ener!$AU$14:$AU$21, "Not found", 0),"Missing")</f>
        <v>1382.9990530588236</v>
      </c>
      <c r="S79" s="5" cm="1">
        <f t="array" ref="S79">_xlfn.SWITCH(F79,"R",_xlfn.XLOOKUP(E79&amp;"|"&amp;B79,
        Calculate_cap_ener!$I$14:$I$21&amp;"|"&amp;Calculate_cap_ener!$L$14:$L$21,
        Calculate_cap_ener!$AX$14:$AX$21, "Not found", 0),"Rb",_xlfn.XLOOKUP(E79&amp;"|"&amp;B79,
        Calculate_cap_ener!$I$14:$I$21&amp;"|"&amp;Calculate_cap_ener!$L$14:$L$21,
        Calculate_cap_ener!$AZ$14:$AZ$21, "Not found", 0),"Rl",_xlfn.XLOOKUP(E79&amp;"|"&amp;B79,
        Calculate_cap_ener!$I$14:$I$21&amp;"|"&amp;Calculate_cap_ener!$L$14:$L$21,
        Calculate_cap_ener!$BA$14:$BA$21, "Not found", 0),"HP",_xlfn.XLOOKUP(E79&amp;"|"&amp;B79,
        Calculate_cap_ener!$I$14:$I$21&amp;"|"&amp;Calculate_cap_ener!$L$14:$L$21,
        Calculate_cap_ener!$AY$14:$AY$21, "Not found", 0),"HPl",_xlfn.XLOOKUP(E79&amp;"|"&amp;B79,
        Calculate_cap_ener!$I$14:$I$21&amp;"|"&amp;Calculate_cap_ener!$L$14:$L$21,
        Calculate_cap_ener!$BB$14:$BB$21, "Not found", 0),"Missing")</f>
        <v>5984.3969230000002</v>
      </c>
      <c r="T79" s="5" cm="1">
        <f t="array" ref="T79">_xlfn.SWITCH(F79,"R",_xlfn.XLOOKUP(E79&amp;"|"&amp;B79,
        Calculate_cap_ener!$I$14:$I$21&amp;"|"&amp;Calculate_cap_ener!$L$14:$L$21,
        Calculate_cap_ener!$BE$14:$BE$21, "Not found", 0),"Rb",_xlfn.XLOOKUP(E79&amp;"|"&amp;B79,
        Calculate_cap_ener!$I$14:$I$21&amp;"|"&amp;Calculate_cap_ener!$L$14:$L$21,
        Calculate_cap_ener!$BG$14:$BG$21, "Not found", 0),"Rl",_xlfn.XLOOKUP(E79&amp;"|"&amp;B79,
        Calculate_cap_ener!$I$14:$I$21&amp;"|"&amp;Calculate_cap_ener!$L$14:$L$21,
        Calculate_cap_ener!$BH$14:$BH$21, "Not found", 0),"HP",_xlfn.XLOOKUP(E79&amp;"|"&amp;B79,
        Calculate_cap_ener!$I$14:$I$21&amp;"|"&amp;Calculate_cap_ener!$L$14:$L$21,
        Calculate_cap_ener!$BF$14:$BF$21, "Not found", 0),"HPl",_xlfn.XLOOKUP(E79&amp;"|"&amp;B79,
        Calculate_cap_ener!$I$14:$I$21&amp;"|"&amp;Calculate_cap_ener!$L$14:$L$21,
        Calculate_cap_ener!$BI$14:$BI$21, "Not found", 0),"Missing")</f>
        <v>5216.1113587058817</v>
      </c>
    </row>
    <row r="80" spans="1:20" x14ac:dyDescent="0.25">
      <c r="A80" s="5" t="s">
        <v>9</v>
      </c>
      <c r="B80" s="5" t="str">
        <f t="shared" si="3"/>
        <v>Mod-H1</v>
      </c>
      <c r="C80" s="5" t="str">
        <f t="shared" si="4"/>
        <v>Mod</v>
      </c>
      <c r="D80" s="5" t="str">
        <f t="shared" si="5"/>
        <v>H1</v>
      </c>
      <c r="E80" s="5" t="s">
        <v>11</v>
      </c>
      <c r="F80" s="5" t="s">
        <v>17</v>
      </c>
      <c r="G80" s="5"/>
      <c r="H80" s="5" cm="1">
        <f t="array" ref="H80">_xlfn.SWITCH(F80,"HP",_xlfn.XLOOKUP(E80&amp;"|"&amp;B80,
        Calculate_cap_ener!$I$14:$I$21&amp;"|"&amp;Calculate_cap_ener!$L$14:$L$21,
        Calculate_cap_ener!$X$14:$X$21, "Not found", 0),"HPl",_xlfn.XLOOKUP(E80&amp;"|"&amp;B80,
        Calculate_cap_ener!$I$14:$I$21&amp;"|"&amp;Calculate_cap_ener!$L$14:$L$21,
        Calculate_cap_ener!$AA$14:$AA$21, "Not found", 0),)</f>
        <v>7.5</v>
      </c>
      <c r="I80" s="5"/>
      <c r="J80" s="5"/>
      <c r="K80" s="5"/>
      <c r="L80" s="5" cm="1">
        <f t="array" ref="L80">_xlfn.SWITCH(F80,"R",_xlfn.XLOOKUP(E80&amp;"|"&amp;B80,
        Calculate_cap_ener!$I$14:$I$21&amp;"|"&amp;Calculate_cap_ener!$L$14:$L$21,
        Calculate_cap_ener!$AC$14:$AC$21, "Not found", 0),"Rb",_xlfn.XLOOKUP(E80&amp;"|"&amp;B80,
        Calculate_cap_ener!$I$14:$I$21&amp;"|"&amp;Calculate_cap_ener!$L$14:$L$21,
        Calculate_cap_ener!$AE$14:$AE$21, "Not found", 0),"Rl",_xlfn.XLOOKUP(E80&amp;"|"&amp;B80,
        Calculate_cap_ener!$I$14:$I$21&amp;"|"&amp;Calculate_cap_ener!$L$14:$L$21,
        Calculate_cap_ener!$AF$14:$AF$21, "Not found", 0),"HP",_xlfn.XLOOKUP(E80&amp;"|"&amp;B80,
        Calculate_cap_ener!$I$14:$I$21&amp;"|"&amp;Calculate_cap_ener!$L$14:$L$21,
        Calculate_cap_ener!$AD$14:$AD$21, "Not found", 0),"HPl",_xlfn.XLOOKUP(E80&amp;"|"&amp;B80,
        Calculate_cap_ener!$I$14:$I$21&amp;"|"&amp;Calculate_cap_ener!$L$14:$L$21,
        Calculate_cap_ener!$AG$14:$AG$21, "Not found", 0),"Missing")</f>
        <v>23430.702762352939</v>
      </c>
      <c r="M80" s="5"/>
      <c r="N80" s="5"/>
      <c r="O80" s="5"/>
      <c r="P80" s="5"/>
      <c r="Q80" s="5" cm="1">
        <f t="array" ref="Q80">_xlfn.SWITCH(F80,"R",_xlfn.XLOOKUP(E80&amp;"|"&amp;B80,
        Calculate_cap_ener!$I$14:$I$21&amp;"|"&amp;Calculate_cap_ener!$L$14:$L$21,
        Calculate_cap_ener!$AJ$14:$AJ$21, "Not found", 0),"Rb",_xlfn.XLOOKUP(E80&amp;"|"&amp;B80,
        Calculate_cap_ener!$I$14:$I$21&amp;"|"&amp;Calculate_cap_ener!$L$14:$L$21,
        Calculate_cap_ener!$AL$14:$AL$21, "Not found", 0),"Rl",_xlfn.XLOOKUP(E80&amp;"|"&amp;B80,
        Calculate_cap_ener!$I$14:$I$21&amp;"|"&amp;Calculate_cap_ener!$L$14:$L$21,
        Calculate_cap_ener!$AM$14:$AM$21, "Not found", 0),"HP",_xlfn.XLOOKUP(E80&amp;"|"&amp;B80,
        Calculate_cap_ener!$I$14:$I$21&amp;"|"&amp;Calculate_cap_ener!$L$14:$L$21,
        Calculate_cap_ener!$AK$14:$AK$21, "Not found", 0),"HPl",_xlfn.XLOOKUP(E80&amp;"|"&amp;B80,
        Calculate_cap_ener!$I$14:$I$21&amp;"|"&amp;Calculate_cap_ener!$L$14:$L$21,
        Calculate_cap_ener!$AN$14:$AN$21, "Not found", 0),"Missing")</f>
        <v>459.51371698374749</v>
      </c>
      <c r="R80" s="5" cm="1">
        <f t="array" ref="R80">_xlfn.SWITCH(F80,"R",_xlfn.XLOOKUP(E80&amp;"|"&amp;B80,
        Calculate_cap_ener!$I$14:$I$21&amp;"|"&amp;Calculate_cap_ener!$L$14:$L$21,
        Calculate_cap_ener!$AQ$14:$AQ$21, "Not found", 0),"Rb",_xlfn.XLOOKUP(E80&amp;"|"&amp;B80,
        Calculate_cap_ener!$I$14:$I$21&amp;"|"&amp;Calculate_cap_ener!$L$14:$L$21,
        Calculate_cap_ener!$AS$14:$AS$21, "Not found", 0),"Rl",_xlfn.XLOOKUP(E80&amp;"|"&amp;B80,
        Calculate_cap_ener!$I$14:$I$21&amp;"|"&amp;Calculate_cap_ener!$L$14:$L$21,
        Calculate_cap_ener!$AT$14:$AT$21, "Not found", 0),"HP",_xlfn.XLOOKUP(E80&amp;"|"&amp;B80,
        Calculate_cap_ener!$I$14:$I$21&amp;"|"&amp;Calculate_cap_ener!$L$14:$L$21,
        Calculate_cap_ener!$AR$14:$AR$21, "Not found", 0),"HPl",_xlfn.XLOOKUP(E80&amp;"|"&amp;B80,
        Calculate_cap_ener!$I$14:$I$21&amp;"|"&amp;Calculate_cap_ener!$L$14:$L$21,
        Calculate_cap_ener!$AU$14:$AU$21, "Not found", 0),"Missing")</f>
        <v>1140.0329893235294</v>
      </c>
      <c r="S80" s="5" cm="1">
        <f t="array" ref="S80">_xlfn.SWITCH(F80,"R",_xlfn.XLOOKUP(E80&amp;"|"&amp;B80,
        Calculate_cap_ener!$I$14:$I$21&amp;"|"&amp;Calculate_cap_ener!$L$14:$L$21,
        Calculate_cap_ener!$AX$14:$AX$21, "Not found", 0),"Rb",_xlfn.XLOOKUP(E80&amp;"|"&amp;B80,
        Calculate_cap_ener!$I$14:$I$21&amp;"|"&amp;Calculate_cap_ener!$L$14:$L$21,
        Calculate_cap_ener!$AZ$14:$AZ$21, "Not found", 0),"Rl",_xlfn.XLOOKUP(E80&amp;"|"&amp;B80,
        Calculate_cap_ener!$I$14:$I$21&amp;"|"&amp;Calculate_cap_ener!$L$14:$L$21,
        Calculate_cap_ener!$BA$14:$BA$21, "Not found", 0),"HP",_xlfn.XLOOKUP(E80&amp;"|"&amp;B80,
        Calculate_cap_ener!$I$14:$I$21&amp;"|"&amp;Calculate_cap_ener!$L$14:$L$21,
        Calculate_cap_ener!$AY$14:$AY$21, "Not found", 0),"HPl",_xlfn.XLOOKUP(E80&amp;"|"&amp;B80,
        Calculate_cap_ener!$I$14:$I$21&amp;"|"&amp;Calculate_cap_ener!$L$14:$L$21,
        Calculate_cap_ener!$BB$14:$BB$21, "Not found", 0),"Missing")</f>
        <v>4645.1023960000002</v>
      </c>
      <c r="T80" s="5" cm="1">
        <f t="array" ref="T80">_xlfn.SWITCH(F80,"R",_xlfn.XLOOKUP(E80&amp;"|"&amp;B80,
        Calculate_cap_ener!$I$14:$I$21&amp;"|"&amp;Calculate_cap_ener!$L$14:$L$21,
        Calculate_cap_ener!$BE$14:$BE$21, "Not found", 0),"Rb",_xlfn.XLOOKUP(E80&amp;"|"&amp;B80,
        Calculate_cap_ener!$I$14:$I$21&amp;"|"&amp;Calculate_cap_ener!$L$14:$L$21,
        Calculate_cap_ener!$BG$14:$BG$21, "Not found", 0),"Rl",_xlfn.XLOOKUP(E80&amp;"|"&amp;B80,
        Calculate_cap_ener!$I$14:$I$21&amp;"|"&amp;Calculate_cap_ener!$L$14:$L$21,
        Calculate_cap_ener!$BH$14:$BH$21, "Not found", 0),"HP",_xlfn.XLOOKUP(E80&amp;"|"&amp;B80,
        Calculate_cap_ener!$I$14:$I$21&amp;"|"&amp;Calculate_cap_ener!$L$14:$L$21,
        Calculate_cap_ener!$BF$14:$BF$21, "Not found", 0),"HPl",_xlfn.XLOOKUP(E80&amp;"|"&amp;B80,
        Calculate_cap_ener!$I$14:$I$21&amp;"|"&amp;Calculate_cap_ener!$L$14:$L$21,
        Calculate_cap_ener!$BI$14:$BI$21, "Not found", 0),"Missing")</f>
        <v>4498.2316124117651</v>
      </c>
    </row>
    <row r="81" spans="1:20" x14ac:dyDescent="0.25">
      <c r="A81" s="5" t="s">
        <v>10</v>
      </c>
      <c r="B81" s="5" t="str">
        <f t="shared" si="3"/>
        <v>Mod-H1</v>
      </c>
      <c r="C81" s="5" t="str">
        <f t="shared" si="4"/>
        <v>Mod</v>
      </c>
      <c r="D81" s="5" t="str">
        <f t="shared" si="5"/>
        <v>H1</v>
      </c>
      <c r="E81" s="5" t="s">
        <v>11</v>
      </c>
      <c r="F81" s="5" t="s">
        <v>17</v>
      </c>
      <c r="G81" s="5"/>
      <c r="H81" s="5" cm="1">
        <f t="array" ref="H81">_xlfn.SWITCH(F81,"HP",_xlfn.XLOOKUP(E81&amp;"|"&amp;B81,
        Calculate_cap_ener!$I$14:$I$21&amp;"|"&amp;Calculate_cap_ener!$L$14:$L$21,
        Calculate_cap_ener!$X$14:$X$21, "Not found", 0),"HPl",_xlfn.XLOOKUP(E81&amp;"|"&amp;B81,
        Calculate_cap_ener!$I$14:$I$21&amp;"|"&amp;Calculate_cap_ener!$L$14:$L$21,
        Calculate_cap_ener!$AA$14:$AA$21, "Not found", 0),)</f>
        <v>7.5</v>
      </c>
      <c r="I81" s="5"/>
      <c r="J81" s="5"/>
      <c r="K81" s="5"/>
      <c r="L81" s="5" cm="1">
        <f t="array" ref="L81">_xlfn.SWITCH(F81,"R",_xlfn.XLOOKUP(E81&amp;"|"&amp;B81,
        Calculate_cap_ener!$I$14:$I$21&amp;"|"&amp;Calculate_cap_ener!$L$14:$L$21,
        Calculate_cap_ener!$AC$14:$AC$21, "Not found", 0),"Rb",_xlfn.XLOOKUP(E81&amp;"|"&amp;B81,
        Calculate_cap_ener!$I$14:$I$21&amp;"|"&amp;Calculate_cap_ener!$L$14:$L$21,
        Calculate_cap_ener!$AE$14:$AE$21, "Not found", 0),"Rl",_xlfn.XLOOKUP(E81&amp;"|"&amp;B81,
        Calculate_cap_ener!$I$14:$I$21&amp;"|"&amp;Calculate_cap_ener!$L$14:$L$21,
        Calculate_cap_ener!$AF$14:$AF$21, "Not found", 0),"HP",_xlfn.XLOOKUP(E81&amp;"|"&amp;B81,
        Calculate_cap_ener!$I$14:$I$21&amp;"|"&amp;Calculate_cap_ener!$L$14:$L$21,
        Calculate_cap_ener!$AD$14:$AD$21, "Not found", 0),"HPl",_xlfn.XLOOKUP(E81&amp;"|"&amp;B81,
        Calculate_cap_ener!$I$14:$I$21&amp;"|"&amp;Calculate_cap_ener!$L$14:$L$21,
        Calculate_cap_ener!$AG$14:$AG$21, "Not found", 0),"Missing")</f>
        <v>23430.702762352939</v>
      </c>
      <c r="M81" s="5"/>
      <c r="N81" s="5"/>
      <c r="O81" s="5"/>
      <c r="P81" s="5"/>
      <c r="Q81" s="5" cm="1">
        <f t="array" ref="Q81">_xlfn.SWITCH(F81,"R",_xlfn.XLOOKUP(E81&amp;"|"&amp;B81,
        Calculate_cap_ener!$I$14:$I$21&amp;"|"&amp;Calculate_cap_ener!$L$14:$L$21,
        Calculate_cap_ener!$AJ$14:$AJ$21, "Not found", 0),"Rb",_xlfn.XLOOKUP(E81&amp;"|"&amp;B81,
        Calculate_cap_ener!$I$14:$I$21&amp;"|"&amp;Calculate_cap_ener!$L$14:$L$21,
        Calculate_cap_ener!$AL$14:$AL$21, "Not found", 0),"Rl",_xlfn.XLOOKUP(E81&amp;"|"&amp;B81,
        Calculate_cap_ener!$I$14:$I$21&amp;"|"&amp;Calculate_cap_ener!$L$14:$L$21,
        Calculate_cap_ener!$AM$14:$AM$21, "Not found", 0),"HP",_xlfn.XLOOKUP(E81&amp;"|"&amp;B81,
        Calculate_cap_ener!$I$14:$I$21&amp;"|"&amp;Calculate_cap_ener!$L$14:$L$21,
        Calculate_cap_ener!$AK$14:$AK$21, "Not found", 0),"HPl",_xlfn.XLOOKUP(E81&amp;"|"&amp;B81,
        Calculate_cap_ener!$I$14:$I$21&amp;"|"&amp;Calculate_cap_ener!$L$14:$L$21,
        Calculate_cap_ener!$AN$14:$AN$21, "Not found", 0),"Missing")</f>
        <v>459.51371698374749</v>
      </c>
      <c r="R81" s="5" cm="1">
        <f t="array" ref="R81">_xlfn.SWITCH(F81,"R",_xlfn.XLOOKUP(E81&amp;"|"&amp;B81,
        Calculate_cap_ener!$I$14:$I$21&amp;"|"&amp;Calculate_cap_ener!$L$14:$L$21,
        Calculate_cap_ener!$AQ$14:$AQ$21, "Not found", 0),"Rb",_xlfn.XLOOKUP(E81&amp;"|"&amp;B81,
        Calculate_cap_ener!$I$14:$I$21&amp;"|"&amp;Calculate_cap_ener!$L$14:$L$21,
        Calculate_cap_ener!$AS$14:$AS$21, "Not found", 0),"Rl",_xlfn.XLOOKUP(E81&amp;"|"&amp;B81,
        Calculate_cap_ener!$I$14:$I$21&amp;"|"&amp;Calculate_cap_ener!$L$14:$L$21,
        Calculate_cap_ener!$AT$14:$AT$21, "Not found", 0),"HP",_xlfn.XLOOKUP(E81&amp;"|"&amp;B81,
        Calculate_cap_ener!$I$14:$I$21&amp;"|"&amp;Calculate_cap_ener!$L$14:$L$21,
        Calculate_cap_ener!$AR$14:$AR$21, "Not found", 0),"HPl",_xlfn.XLOOKUP(E81&amp;"|"&amp;B81,
        Calculate_cap_ener!$I$14:$I$21&amp;"|"&amp;Calculate_cap_ener!$L$14:$L$21,
        Calculate_cap_ener!$AU$14:$AU$21, "Not found", 0),"Missing")</f>
        <v>1140.0329893235294</v>
      </c>
      <c r="S81" s="5" cm="1">
        <f t="array" ref="S81">_xlfn.SWITCH(F81,"R",_xlfn.XLOOKUP(E81&amp;"|"&amp;B81,
        Calculate_cap_ener!$I$14:$I$21&amp;"|"&amp;Calculate_cap_ener!$L$14:$L$21,
        Calculate_cap_ener!$AX$14:$AX$21, "Not found", 0),"Rb",_xlfn.XLOOKUP(E81&amp;"|"&amp;B81,
        Calculate_cap_ener!$I$14:$I$21&amp;"|"&amp;Calculate_cap_ener!$L$14:$L$21,
        Calculate_cap_ener!$AZ$14:$AZ$21, "Not found", 0),"Rl",_xlfn.XLOOKUP(E81&amp;"|"&amp;B81,
        Calculate_cap_ener!$I$14:$I$21&amp;"|"&amp;Calculate_cap_ener!$L$14:$L$21,
        Calculate_cap_ener!$BA$14:$BA$21, "Not found", 0),"HP",_xlfn.XLOOKUP(E81&amp;"|"&amp;B81,
        Calculate_cap_ener!$I$14:$I$21&amp;"|"&amp;Calculate_cap_ener!$L$14:$L$21,
        Calculate_cap_ener!$AY$14:$AY$21, "Not found", 0),"HPl",_xlfn.XLOOKUP(E81&amp;"|"&amp;B81,
        Calculate_cap_ener!$I$14:$I$21&amp;"|"&amp;Calculate_cap_ener!$L$14:$L$21,
        Calculate_cap_ener!$BB$14:$BB$21, "Not found", 0),"Missing")</f>
        <v>4645.1023960000002</v>
      </c>
      <c r="T81" s="5" cm="1">
        <f t="array" ref="T81">_xlfn.SWITCH(F81,"R",_xlfn.XLOOKUP(E81&amp;"|"&amp;B81,
        Calculate_cap_ener!$I$14:$I$21&amp;"|"&amp;Calculate_cap_ener!$L$14:$L$21,
        Calculate_cap_ener!$BE$14:$BE$21, "Not found", 0),"Rb",_xlfn.XLOOKUP(E81&amp;"|"&amp;B81,
        Calculate_cap_ener!$I$14:$I$21&amp;"|"&amp;Calculate_cap_ener!$L$14:$L$21,
        Calculate_cap_ener!$BG$14:$BG$21, "Not found", 0),"Rl",_xlfn.XLOOKUP(E81&amp;"|"&amp;B81,
        Calculate_cap_ener!$I$14:$I$21&amp;"|"&amp;Calculate_cap_ener!$L$14:$L$21,
        Calculate_cap_ener!$BH$14:$BH$21, "Not found", 0),"HP",_xlfn.XLOOKUP(E81&amp;"|"&amp;B81,
        Calculate_cap_ener!$I$14:$I$21&amp;"|"&amp;Calculate_cap_ener!$L$14:$L$21,
        Calculate_cap_ener!$BF$14:$BF$21, "Not found", 0),"HPl",_xlfn.XLOOKUP(E81&amp;"|"&amp;B81,
        Calculate_cap_ener!$I$14:$I$21&amp;"|"&amp;Calculate_cap_ener!$L$14:$L$21,
        Calculate_cap_ener!$BI$14:$BI$21, "Not found", 0),"Missing")</f>
        <v>4498.2316124117651</v>
      </c>
    </row>
    <row r="82" spans="1:20" x14ac:dyDescent="0.25">
      <c r="A82" s="5"/>
      <c r="B82" s="5"/>
      <c r="C82" s="5"/>
      <c r="D82" s="5"/>
      <c r="E82" s="5"/>
      <c r="F82" s="5"/>
      <c r="G82" s="5" t="s">
        <v>13</v>
      </c>
      <c r="H82" s="5"/>
      <c r="I82" s="5"/>
      <c r="J82" s="5"/>
      <c r="K82" s="5" cm="1">
        <f t="array" ref="K82:K87">TRANSPOSE(Manufacture_MJ!C12:H12)</f>
        <v>135</v>
      </c>
      <c r="L82" s="8">
        <f>LOOKUP(K82,Manufacture_MJ!$C$12:$H$12,Manufacture_MJ!$C$14:$H$14)</f>
        <v>3702.7095203411995</v>
      </c>
      <c r="M82" s="5"/>
      <c r="N82" s="5"/>
      <c r="O82" s="5"/>
      <c r="P82" s="5"/>
      <c r="Q82" s="5">
        <f>LOOKUP(K82,Distribution_MJ!$C$12:$H$12,Distribution_MJ!$C$14:$H$14)</f>
        <v>93.604268223529417</v>
      </c>
      <c r="R82" s="5">
        <f>LOOKUP(K82,Installation_MJ!$C$12:$H$12,Installation_MJ!$C$14:$H$14)</f>
        <v>55.690499514204312</v>
      </c>
      <c r="S82" s="5">
        <f>LOOKUP(K82,EOL_MJ!$C$12:$H$12,EOL_MJ!$C$14:$H$14)</f>
        <v>17.83232397831776</v>
      </c>
      <c r="T82" s="5">
        <f>LOOKUP(K82,Other_MJ!$C$12:$H$12,Other_MJ!$C$14:$H$14)</f>
        <v>0</v>
      </c>
    </row>
    <row r="83" spans="1:20" x14ac:dyDescent="0.25">
      <c r="A83" s="5"/>
      <c r="B83" s="5"/>
      <c r="C83" s="5"/>
      <c r="D83" s="5"/>
      <c r="E83" s="5"/>
      <c r="F83" s="5"/>
      <c r="G83" s="5" t="s">
        <v>13</v>
      </c>
      <c r="H83" s="5"/>
      <c r="I83" s="5"/>
      <c r="J83" s="5"/>
      <c r="K83" s="5">
        <v>162</v>
      </c>
      <c r="L83" s="8">
        <f>LOOKUP(K83,Manufacture_MJ!$C$12:$H$12,Manufacture_MJ!$C$14:$H$14)</f>
        <v>4192.3643317506339</v>
      </c>
      <c r="M83" s="5"/>
      <c r="N83" s="5"/>
      <c r="O83" s="5"/>
      <c r="P83" s="5"/>
      <c r="Q83" s="5">
        <f>LOOKUP(K83,Distribution_MJ!$C$12:$H$12,Distribution_MJ!$C$14:$H$14)</f>
        <v>101.85018022556753</v>
      </c>
      <c r="R83" s="5">
        <f>LOOKUP(K83,Installation_MJ!$C$12:$H$12,Installation_MJ!$C$14:$H$14)</f>
        <v>63.055139080748575</v>
      </c>
      <c r="S83" s="5">
        <f>LOOKUP(K83,EOL_MJ!$C$12:$H$12,EOL_MJ!$C$14:$H$14)</f>
        <v>20.190511458763297</v>
      </c>
      <c r="T83" s="5">
        <f>LOOKUP(K83,Other!$C$12:$H$12,Other!$C$14:$H$14)</f>
        <v>0</v>
      </c>
    </row>
    <row r="84" spans="1:20" x14ac:dyDescent="0.25">
      <c r="A84" s="5"/>
      <c r="B84" s="5"/>
      <c r="C84" s="5"/>
      <c r="D84" s="5"/>
      <c r="E84" s="5"/>
      <c r="F84" s="5"/>
      <c r="G84" s="5" t="s">
        <v>13</v>
      </c>
      <c r="H84" s="5"/>
      <c r="I84" s="5"/>
      <c r="J84" s="5"/>
      <c r="K84" s="5">
        <v>180</v>
      </c>
      <c r="L84" s="8">
        <f>LOOKUP(K84,Manufacture_MJ!$C$12:$H$12,Manufacture_MJ!$C$14:$H$14)</f>
        <v>4554.2681783863454</v>
      </c>
      <c r="M84" s="5"/>
      <c r="N84" s="5"/>
      <c r="O84" s="5"/>
      <c r="P84" s="5"/>
      <c r="Q84" s="5">
        <f>LOOKUP(K84,Distribution_MJ!$C$12:$H$12,Distribution_MJ!$C$14:$H$14)</f>
        <v>112.3251218682353</v>
      </c>
      <c r="R84" s="5">
        <f>LOOKUP(K84,Installation_MJ!$C$12:$H$12,Installation_MJ!$C$14:$H$14)</f>
        <v>68.498343816235788</v>
      </c>
      <c r="S84" s="5">
        <f>LOOKUP(K84,EOL_MJ!$C$12:$H$12,EOL_MJ!$C$14:$H$14)</f>
        <v>21.933447707678866</v>
      </c>
      <c r="T84" s="5">
        <f>LOOKUP(K84,Other!$C$12:$H$12,Other!$C$14:$H$14)</f>
        <v>0</v>
      </c>
    </row>
    <row r="85" spans="1:20" x14ac:dyDescent="0.25">
      <c r="A85" s="5"/>
      <c r="B85" s="5"/>
      <c r="C85" s="5"/>
      <c r="D85" s="5"/>
      <c r="E85" s="5"/>
      <c r="F85" s="5"/>
      <c r="G85" s="5" t="s">
        <v>13</v>
      </c>
      <c r="H85" s="5"/>
      <c r="I85" s="5"/>
      <c r="J85" s="5"/>
      <c r="K85" s="5">
        <v>216</v>
      </c>
      <c r="L85" s="8">
        <f>LOOKUP(K85,Manufacture_MJ!$C$12:$H$12,Manufacture_MJ!$C$14:$H$14)</f>
        <v>5374.4962809077833</v>
      </c>
      <c r="M85" s="5"/>
      <c r="N85" s="5"/>
      <c r="O85" s="5"/>
      <c r="P85" s="5"/>
      <c r="Q85" s="5">
        <f>LOOKUP(K85,Distribution_MJ!$C$12:$H$12,Distribution_MJ!$C$14:$H$14)</f>
        <v>127.92583323882354</v>
      </c>
      <c r="R85" s="5">
        <f>LOOKUP(K85,Installation_MJ!$C$12:$H$12,Installation_MJ!$C$14:$H$14)</f>
        <v>80.83496176967374</v>
      </c>
      <c r="S85" s="5">
        <f>LOOKUP(K85,EOL_MJ!$C$12:$H$12,EOL_MJ!$C$14:$H$14)</f>
        <v>25.883682847629913</v>
      </c>
      <c r="T85" s="5">
        <f>LOOKUP(K85,Other!$C$12:$H$12,Other!$C$14:$H$14)</f>
        <v>0</v>
      </c>
    </row>
    <row r="86" spans="1:20" x14ac:dyDescent="0.25">
      <c r="A86" s="5"/>
      <c r="B86" s="5"/>
      <c r="C86" s="5"/>
      <c r="D86" s="5"/>
      <c r="E86" s="5"/>
      <c r="F86" s="5"/>
      <c r="G86" s="5" t="s">
        <v>13</v>
      </c>
      <c r="H86" s="5"/>
      <c r="I86" s="5"/>
      <c r="J86" s="5"/>
      <c r="K86" s="5">
        <v>300</v>
      </c>
      <c r="L86" s="8">
        <f>LOOKUP(K86,Manufacture_MJ!$C$12:$H$12,Manufacture_MJ!$C$14:$H$14)</f>
        <v>7909.5022604226351</v>
      </c>
      <c r="M86" s="5"/>
      <c r="N86" s="5"/>
      <c r="O86" s="5"/>
      <c r="P86" s="5"/>
      <c r="Q86" s="5">
        <f>LOOKUP(K86,Distribution_MJ!$C$12:$H$12,Distribution_MJ!$C$14:$H$14)</f>
        <v>162.24739825411766</v>
      </c>
      <c r="R86" s="5">
        <f>LOOKUP(K86,Installation_MJ!$C$12:$H$12,Installation_MJ!$C$14:$H$14)</f>
        <v>118.96264866898731</v>
      </c>
      <c r="S86" s="5">
        <f>LOOKUP(K86,EOL_MJ!$C$12:$H$12,EOL_MJ!$C$14:$H$14)</f>
        <v>38.092322943576733</v>
      </c>
      <c r="T86" s="5">
        <f>LOOKUP(K86,Other!$C$12:$H$12,Other!$C$14:$H$14)</f>
        <v>0</v>
      </c>
    </row>
    <row r="87" spans="1:20" x14ac:dyDescent="0.25">
      <c r="A87" s="5"/>
      <c r="B87" s="5"/>
      <c r="C87" s="5"/>
      <c r="D87" s="5"/>
      <c r="E87" s="5"/>
      <c r="F87" s="5"/>
      <c r="G87" s="5" t="s">
        <v>13</v>
      </c>
      <c r="H87" s="5"/>
      <c r="I87" s="5"/>
      <c r="J87" s="5"/>
      <c r="K87" s="5">
        <v>360</v>
      </c>
      <c r="L87" s="8">
        <f>LOOKUP(K87,Manufacture_MJ!$C$12:$H$12,Manufacture_MJ!$C$14:$H$14)</f>
        <v>10423.520659417098</v>
      </c>
      <c r="M87" s="5"/>
      <c r="N87" s="5"/>
      <c r="O87" s="5"/>
      <c r="P87" s="5"/>
      <c r="Q87" s="5">
        <f>LOOKUP(K87,Distribution_MJ!$C$12:$H$12,Distribution_MJ!$C$14:$H$14)</f>
        <v>190.32867872117649</v>
      </c>
      <c r="R87" s="5">
        <f>LOOKUP(K87,Installation_MJ!$C$12:$H$12,Installation_MJ!$C$14:$H$14)</f>
        <v>156.77467244745546</v>
      </c>
      <c r="S87" s="5">
        <f>LOOKUP(K87,EOL_MJ!$C$12:$H$12,EOL_MJ!$C$14:$H$14)</f>
        <v>50.19988642703084</v>
      </c>
      <c r="T87" s="5">
        <f>LOOKUP(K87,Other!$C$12:$H$12,Other!$C$14:$H$14)</f>
        <v>0</v>
      </c>
    </row>
    <row r="88" spans="1:20" x14ac:dyDescent="0.25">
      <c r="A88" s="5"/>
      <c r="B88" s="5"/>
      <c r="C88" s="5"/>
      <c r="D88" s="5"/>
      <c r="E88" s="5"/>
      <c r="F88" s="5"/>
      <c r="G88" s="5" t="s">
        <v>64</v>
      </c>
      <c r="H88" s="5"/>
      <c r="I88" s="5"/>
      <c r="J88" s="5"/>
      <c r="K88" s="5">
        <v>162</v>
      </c>
      <c r="L88" s="8">
        <f>LOOKUP(K88,Manufacture_MJ!$C$12:$H$12,Manufacture_MJ!$C$14:$H$14)</f>
        <v>4192.3643317506339</v>
      </c>
      <c r="M88" s="5"/>
      <c r="N88" s="5"/>
      <c r="O88" s="5"/>
      <c r="P88" s="5"/>
      <c r="Q88" s="5">
        <f>LOOKUP(K88,Distribution_MJ!$C$12:$H$12,Distribution_MJ!$C$14:$H$14)</f>
        <v>101.85018022556753</v>
      </c>
      <c r="R88" s="5">
        <f>LOOKUP(K88,Installation_MJ!$C$12:$H$12,Installation_MJ!$C$14:$H$14)</f>
        <v>63.055139080748575</v>
      </c>
      <c r="S88" s="5">
        <f>LOOKUP(K88,EOL_MJ!$C$12:$H$12,EOL_MJ!$C$14:$H$14)</f>
        <v>20.190511458763297</v>
      </c>
      <c r="T88" s="5">
        <f>LOOKUP(K88,Other!$C$12:$H$12,Other!$C$14:$H$14)</f>
        <v>0</v>
      </c>
    </row>
    <row r="89" spans="1:20" x14ac:dyDescent="0.25">
      <c r="A89" s="5"/>
      <c r="B89" s="5"/>
      <c r="C89" s="5"/>
      <c r="D89" s="5"/>
      <c r="E89" s="5"/>
      <c r="F89" s="5"/>
      <c r="G89" s="5" t="s">
        <v>64</v>
      </c>
      <c r="H89" s="5"/>
      <c r="I89" s="5"/>
      <c r="J89" s="5"/>
      <c r="K89" s="5">
        <v>216</v>
      </c>
      <c r="L89" s="8">
        <f>LOOKUP(K89,Manufacture_MJ!$C$12:$H$12,Manufacture_MJ!$C$14:$H$14)</f>
        <v>5374.4962809077833</v>
      </c>
      <c r="M89" s="5"/>
      <c r="N89" s="5"/>
      <c r="O89" s="5"/>
      <c r="P89" s="5"/>
      <c r="Q89" s="5">
        <f>LOOKUP(K89,Distribution_MJ!$C$12:$H$12,Distribution_MJ!$C$14:$H$14)</f>
        <v>127.92583323882354</v>
      </c>
      <c r="R89" s="5">
        <f>LOOKUP(K89,Installation_MJ!$C$12:$H$12,Installation_MJ!$C$14:$H$14)</f>
        <v>80.83496176967374</v>
      </c>
      <c r="S89" s="5">
        <f>LOOKUP(K89,EOL_MJ!$C$12:$H$12,EOL_MJ!$C$14:$H$14)</f>
        <v>25.883682847629913</v>
      </c>
      <c r="T89" s="5">
        <f>LOOKUP(K89,Other!$C$12:$H$12,Other!$C$14:$H$14)</f>
        <v>0</v>
      </c>
    </row>
    <row r="90" spans="1:20" x14ac:dyDescent="0.25">
      <c r="A90" s="5"/>
      <c r="B90" s="5"/>
      <c r="C90" s="5"/>
      <c r="D90" s="5"/>
      <c r="E90" s="5"/>
      <c r="F90" s="5"/>
      <c r="G90" s="5" t="s">
        <v>64</v>
      </c>
      <c r="H90" s="5"/>
      <c r="I90" s="5"/>
      <c r="J90" s="5"/>
      <c r="K90" s="5">
        <v>360</v>
      </c>
      <c r="L90" s="8">
        <f>LOOKUP(K90,Manufacture_MJ!$C$12:$H$12,Manufacture_MJ!$C$14:$H$14)</f>
        <v>10423.520659417098</v>
      </c>
      <c r="M90" s="5"/>
      <c r="N90" s="5"/>
      <c r="O90" s="5"/>
      <c r="P90" s="5"/>
      <c r="Q90" s="5">
        <f>LOOKUP(K90,Distribution_MJ!$C$12:$H$12,Distribution_MJ!$C$14:$H$14)</f>
        <v>190.32867872117649</v>
      </c>
      <c r="R90" s="5">
        <f>LOOKUP(K90,Installation_MJ!$C$12:$H$12,Installation_MJ!$C$14:$H$14)</f>
        <v>156.77467244745546</v>
      </c>
      <c r="S90" s="5">
        <f>LOOKUP(K90,EOL_MJ!$C$12:$H$12,EOL_MJ!$C$14:$H$14)</f>
        <v>50.19988642703084</v>
      </c>
      <c r="T90" s="5">
        <f>LOOKUP(K90,Other!$C$12:$H$12,Other!$C$14:$H$14)</f>
        <v>0</v>
      </c>
    </row>
    <row r="91" spans="1:20" x14ac:dyDescent="0.25">
      <c r="A91" s="5"/>
      <c r="B91" s="5"/>
      <c r="C91" s="5"/>
      <c r="D91" s="5"/>
      <c r="E91" s="5"/>
      <c r="F91" s="5"/>
      <c r="G91" s="5" t="s">
        <v>16</v>
      </c>
      <c r="H91" s="5"/>
      <c r="I91" s="5"/>
      <c r="J91" s="5"/>
      <c r="K91" s="5" cm="1">
        <f t="array" ref="K91:K96">TRANSPOSE(Manufacture_MJ!C15:H15)</f>
        <v>135</v>
      </c>
      <c r="L91" s="8">
        <f>LOOKUP(K91,Manufacture_MJ!$C$15:$H$15,Manufacture_MJ!$C$17:$H$17)</f>
        <v>16543.06782481787</v>
      </c>
      <c r="M91" s="5"/>
      <c r="N91" s="5"/>
      <c r="O91" s="5"/>
      <c r="P91" s="5"/>
      <c r="Q91" s="5">
        <f>LOOKUP(K91,Distribution_MJ!$C$15:$H$15,Distribution_MJ!$C$17:$H$17)</f>
        <v>409.80298553976598</v>
      </c>
      <c r="R91" s="5">
        <f>LOOKUP(K91,Installation_MJ!$C$15:$H$15,Installation_MJ!$C$17:$H$17)</f>
        <v>92.101924210757218</v>
      </c>
      <c r="S91" s="5">
        <f>LOOKUP(K91,EOL_MJ!$C$15:$H$15,EOL_MJ!$C$17:$H$17)</f>
        <v>741.17647058823525</v>
      </c>
      <c r="T91" s="5">
        <f>LOOKUP(K91,Other!$C$15:$H$15,Other!$C$17:$H$17)</f>
        <v>285.35294117647061</v>
      </c>
    </row>
    <row r="92" spans="1:20" x14ac:dyDescent="0.25">
      <c r="A92" s="5"/>
      <c r="B92" s="5"/>
      <c r="C92" s="5"/>
      <c r="D92" s="5"/>
      <c r="E92" s="5"/>
      <c r="F92" s="5"/>
      <c r="G92" s="5" t="s">
        <v>16</v>
      </c>
      <c r="H92" s="5"/>
      <c r="I92" s="5"/>
      <c r="J92" s="5"/>
      <c r="K92" s="5">
        <v>162</v>
      </c>
      <c r="L92" s="8">
        <f>LOOKUP(K92,Manufacture_MJ!$C$15:$H$15,Manufacture_MJ!$C$17:$H$17)</f>
        <v>17368.308898905492</v>
      </c>
      <c r="M92" s="5"/>
      <c r="N92" s="5"/>
      <c r="O92" s="5"/>
      <c r="P92" s="5"/>
      <c r="Q92" s="5">
        <f>LOOKUP(K92,Distribution_MJ!$C$15:$H$15,Distribution_MJ!$C$17:$H$17)</f>
        <v>474.02967399983999</v>
      </c>
      <c r="R92" s="5">
        <f>LOOKUP(K92,Installation_MJ!$C$15:$H$15,Installation_MJ!$C$17:$H$17)</f>
        <v>118.53021408420905</v>
      </c>
      <c r="S92" s="5">
        <f>LOOKUP(K92,EOL_MJ!$C$15:$H$15,EOL_MJ!$C$17:$H$17)</f>
        <v>741.17647058823525</v>
      </c>
      <c r="T92" s="5">
        <f>LOOKUP(K92,Other!$C$15:$H$15,Other!$C$17:$H$17)</f>
        <v>285.35294117647061</v>
      </c>
    </row>
    <row r="93" spans="1:20" x14ac:dyDescent="0.25">
      <c r="A93" s="5"/>
      <c r="B93" s="5"/>
      <c r="C93" s="5"/>
      <c r="D93" s="5"/>
      <c r="E93" s="5"/>
      <c r="F93" s="5"/>
      <c r="G93" s="5" t="s">
        <v>16</v>
      </c>
      <c r="H93" s="5"/>
      <c r="I93" s="5"/>
      <c r="J93" s="5"/>
      <c r="K93" s="5">
        <v>180</v>
      </c>
      <c r="L93" s="8">
        <f>LOOKUP(K93,Manufacture_MJ!$C$15:$H$15,Manufacture_MJ!$C$17:$H$17)</f>
        <v>17918.469614963906</v>
      </c>
      <c r="M93" s="5"/>
      <c r="N93" s="5"/>
      <c r="O93" s="5"/>
      <c r="P93" s="5"/>
      <c r="Q93" s="5">
        <f>LOOKUP(K93,Distribution_MJ!$C$15:$H$15,Distribution_MJ!$C$17:$H$17)</f>
        <v>516.84746630655604</v>
      </c>
      <c r="R93" s="5">
        <f>LOOKUP(K93,Installation_MJ!$C$15:$H$15,Installation_MJ!$C$17:$H$17)</f>
        <v>136.14907399984364</v>
      </c>
      <c r="S93" s="5">
        <f>LOOKUP(K93,EOL_MJ!$C$15:$H$15,EOL_MJ!$C$17:$H$17)</f>
        <v>741.17647058823525</v>
      </c>
      <c r="T93" s="5">
        <f>LOOKUP(K93,Other!$C$15:$H$15,Other!$C$17:$H$17)</f>
        <v>285.35294117647061</v>
      </c>
    </row>
    <row r="94" spans="1:20" x14ac:dyDescent="0.25">
      <c r="A94" s="5"/>
      <c r="B94" s="5"/>
      <c r="C94" s="5"/>
      <c r="D94" s="5"/>
      <c r="E94" s="5"/>
      <c r="F94" s="5"/>
      <c r="G94" s="5" t="s">
        <v>16</v>
      </c>
      <c r="H94" s="5"/>
      <c r="I94" s="5"/>
      <c r="J94" s="5"/>
      <c r="K94" s="5">
        <v>216</v>
      </c>
      <c r="L94" s="8">
        <f>LOOKUP(K94,Manufacture_MJ!$C$15:$H$15,Manufacture_MJ!$C$17:$H$17)</f>
        <v>19018.791047080736</v>
      </c>
      <c r="M94" s="5"/>
      <c r="N94" s="5"/>
      <c r="O94" s="5"/>
      <c r="P94" s="5"/>
      <c r="Q94" s="5">
        <f>LOOKUP(K94,Distribution_MJ!$C$15:$H$15,Distribution_MJ!$C$17:$H$17)</f>
        <v>602.48305091998816</v>
      </c>
      <c r="R94" s="5">
        <f>LOOKUP(K94,Installation_MJ!$C$15:$H$15,Installation_MJ!$C$17:$H$17)</f>
        <v>171.38679383111281</v>
      </c>
      <c r="S94" s="5">
        <f>LOOKUP(K94,EOL_MJ!$C$15:$H$15,EOL_MJ!$C$17:$H$17)</f>
        <v>741.17647058823525</v>
      </c>
      <c r="T94" s="5">
        <f>LOOKUP(K94,Other!$C$15:$H$15,Other!$C$17:$H$17)</f>
        <v>285.35294117647061</v>
      </c>
    </row>
    <row r="95" spans="1:20" x14ac:dyDescent="0.25">
      <c r="A95" s="5"/>
      <c r="B95" s="5"/>
      <c r="C95" s="5"/>
      <c r="D95" s="5"/>
      <c r="E95" s="5"/>
      <c r="F95" s="5"/>
      <c r="G95" s="5" t="s">
        <v>16</v>
      </c>
      <c r="H95" s="5"/>
      <c r="I95" s="5"/>
      <c r="J95" s="5"/>
      <c r="K95" s="5">
        <v>300</v>
      </c>
      <c r="L95" s="8">
        <f>LOOKUP(K95,Manufacture_MJ!$C$15:$H$15,Manufacture_MJ!$C$17:$H$17)</f>
        <v>21586.207722020004</v>
      </c>
      <c r="M95" s="5"/>
      <c r="N95" s="5"/>
      <c r="O95" s="5"/>
      <c r="P95" s="5"/>
      <c r="Q95" s="5">
        <f>LOOKUP(K95,Distribution_MJ!$C$15:$H$15,Distribution_MJ!$C$17:$H$17)</f>
        <v>802.29941501799601</v>
      </c>
      <c r="R95" s="5">
        <f>LOOKUP(K95,Installation_MJ!$C$15:$H$15,Installation_MJ!$C$17:$H$17)</f>
        <v>253.60814010407412</v>
      </c>
      <c r="S95" s="5">
        <f>LOOKUP(K95,EOL_MJ!$C$15:$H$15,EOL_MJ!$C$17:$H$17)</f>
        <v>741.17647058823525</v>
      </c>
      <c r="T95" s="5">
        <f>LOOKUP(K95,Other!$C$15:$H$15,Other!$C$17:$H$17)</f>
        <v>285.35294117647061</v>
      </c>
    </row>
    <row r="96" spans="1:20" x14ac:dyDescent="0.25">
      <c r="A96" s="5"/>
      <c r="B96" s="5"/>
      <c r="C96" s="5"/>
      <c r="D96" s="5"/>
      <c r="E96" s="5"/>
      <c r="F96" s="5"/>
      <c r="G96" s="5" t="s">
        <v>16</v>
      </c>
      <c r="H96" s="5"/>
      <c r="I96" s="5"/>
      <c r="J96" s="5"/>
      <c r="K96" s="5">
        <v>360</v>
      </c>
      <c r="L96" s="8">
        <f>LOOKUP(K96,Manufacture_MJ!$C$15:$H$15,Manufacture_MJ!$C$17:$H$17)</f>
        <v>23420.076775548048</v>
      </c>
      <c r="M96" s="5"/>
      <c r="N96" s="5"/>
      <c r="O96" s="5"/>
      <c r="P96" s="5"/>
      <c r="Q96" s="5">
        <f>LOOKUP(K96,Distribution_MJ!$C$15:$H$15,Distribution_MJ!$C$17:$H$17)</f>
        <v>945.02538937371605</v>
      </c>
      <c r="R96" s="5">
        <f>LOOKUP(K96,Installation_MJ!$C$15:$H$15,Installation_MJ!$C$17:$H$17)</f>
        <v>312.33767315618928</v>
      </c>
      <c r="S96" s="5">
        <f>LOOKUP(K96,EOL_MJ!$C$15:$H$15,EOL_MJ!$C$17:$H$17)</f>
        <v>741.17647058823525</v>
      </c>
      <c r="T96" s="5">
        <f>LOOKUP(K96,Other!$C$15:$H$15,Other!$C$17:$H$17)</f>
        <v>285.35294117647061</v>
      </c>
    </row>
    <row r="97" spans="1:20" x14ac:dyDescent="0.25">
      <c r="A97" s="5"/>
      <c r="B97" s="5"/>
      <c r="C97" s="5"/>
      <c r="D97" s="5"/>
      <c r="E97" s="5"/>
      <c r="F97" s="5"/>
      <c r="G97" s="5" t="s">
        <v>65</v>
      </c>
      <c r="H97" s="5"/>
      <c r="I97" s="5"/>
      <c r="J97" s="5"/>
      <c r="K97" s="5">
        <v>162</v>
      </c>
      <c r="L97" s="8">
        <f>LOOKUP(K97,Manufacture_MJ!$C$15:$H$15,Manufacture_MJ!$C$17:$H$17)</f>
        <v>17368.308898905492</v>
      </c>
      <c r="M97" s="5"/>
      <c r="N97" s="5"/>
      <c r="O97" s="5"/>
      <c r="P97" s="5"/>
      <c r="Q97" s="5">
        <f>LOOKUP(K97,Distribution_MJ!$C$15:$H$15,Distribution_MJ!$C$17:$H$17)</f>
        <v>474.02967399983999</v>
      </c>
      <c r="R97" s="5">
        <f>LOOKUP(K97,Installation_MJ!$C$15:$H$15,Installation_MJ!$C$17:$H$17)</f>
        <v>118.53021408420905</v>
      </c>
      <c r="S97" s="5">
        <f>LOOKUP(K97,EOL_MJ!$C$15:$H$15,EOL_MJ!$C$17:$H$17)</f>
        <v>741.17647058823525</v>
      </c>
      <c r="T97" s="5">
        <f>LOOKUP(K97,Other!$C$15:$H$15,Other!$C$17:$H$17)</f>
        <v>285.35294117647061</v>
      </c>
    </row>
    <row r="98" spans="1:20" x14ac:dyDescent="0.25">
      <c r="A98" s="5"/>
      <c r="B98" s="5"/>
      <c r="C98" s="5"/>
      <c r="D98" s="5"/>
      <c r="E98" s="5"/>
      <c r="F98" s="5"/>
      <c r="G98" s="5" t="s">
        <v>65</v>
      </c>
      <c r="H98" s="5"/>
      <c r="I98" s="5"/>
      <c r="J98" s="5"/>
      <c r="K98" s="5">
        <v>216</v>
      </c>
      <c r="L98" s="8">
        <f>LOOKUP(K98,Manufacture_MJ!$C$15:$H$15,Manufacture_MJ!$C$17:$H$17)</f>
        <v>19018.791047080736</v>
      </c>
      <c r="M98" s="5"/>
      <c r="N98" s="5"/>
      <c r="O98" s="5"/>
      <c r="P98" s="5"/>
      <c r="Q98" s="5">
        <f>LOOKUP(K98,Distribution_MJ!$C$15:$H$15,Distribution_MJ!$C$17:$H$17)</f>
        <v>602.48305091998816</v>
      </c>
      <c r="R98" s="5">
        <f>LOOKUP(K98,Installation_MJ!$C$15:$H$15,Installation_MJ!$C$17:$H$17)</f>
        <v>171.38679383111281</v>
      </c>
      <c r="S98" s="5">
        <f>LOOKUP(K98,EOL_MJ!$C$15:$H$15,EOL_MJ!$C$17:$H$17)</f>
        <v>741.17647058823525</v>
      </c>
      <c r="T98" s="5">
        <f>LOOKUP(K98,Other!$C$15:$H$15,Other!$C$17:$H$17)</f>
        <v>285.35294117647061</v>
      </c>
    </row>
    <row r="99" spans="1:20" x14ac:dyDescent="0.25">
      <c r="A99" s="5"/>
      <c r="B99" s="5"/>
      <c r="C99" s="5"/>
      <c r="D99" s="5"/>
      <c r="E99" s="5"/>
      <c r="F99" s="5"/>
      <c r="G99" s="5" t="s">
        <v>65</v>
      </c>
      <c r="H99" s="5"/>
      <c r="I99" s="5"/>
      <c r="J99" s="5"/>
      <c r="K99" s="5">
        <v>360</v>
      </c>
      <c r="L99" s="8">
        <f>LOOKUP(K99,Manufacture_MJ!$C$15:$H$15,Manufacture_MJ!$C$17:$H$17)</f>
        <v>23420.076775548048</v>
      </c>
      <c r="M99" s="5"/>
      <c r="N99" s="5"/>
      <c r="O99" s="5"/>
      <c r="P99" s="5"/>
      <c r="Q99" s="5">
        <f>LOOKUP(K99,Distribution_MJ!$C$15:$H$15,Distribution_MJ!$C$17:$H$17)</f>
        <v>945.02538937371605</v>
      </c>
      <c r="R99" s="5">
        <f>LOOKUP(K99,Installation_MJ!$C$15:$H$15,Installation_MJ!$C$17:$H$17)</f>
        <v>312.33767315618928</v>
      </c>
      <c r="S99" s="5">
        <f>LOOKUP(K99,EOL_MJ!$C$15:$H$15,EOL_MJ!$C$17:$H$17)</f>
        <v>741.17647058823525</v>
      </c>
      <c r="T99" s="5">
        <f>LOOKUP(K99,Other!$C$15:$H$15,Other!$C$17:$H$17)</f>
        <v>285.35294117647061</v>
      </c>
    </row>
    <row r="100" spans="1:20" x14ac:dyDescent="0.25">
      <c r="A100" s="5"/>
      <c r="B100" s="5" t="str">
        <f>CONCATENATE(C100, "-", "Nom")</f>
        <v>Mass-Nom</v>
      </c>
      <c r="C100" s="5" t="s">
        <v>37</v>
      </c>
      <c r="D100" s="5" t="str">
        <f t="shared" ref="D100:D126" si="6">_xlfn.TEXTAFTER(B100, "-", 1)</f>
        <v>Nom</v>
      </c>
      <c r="E100" s="5" t="s">
        <v>3</v>
      </c>
      <c r="F100" s="5" t="s">
        <v>54</v>
      </c>
      <c r="G100" s="5" t="s">
        <v>54</v>
      </c>
      <c r="H100" s="5">
        <v>8.5</v>
      </c>
      <c r="I100" s="5"/>
      <c r="J100" s="5">
        <f>_xlfn.CEILING.MATH(H100,1)</f>
        <v>9</v>
      </c>
      <c r="K100" s="5">
        <v>200</v>
      </c>
      <c r="L100" s="8" cm="1">
        <f t="array" ref="L100">_xlfn.SWITCH(K100,200,_xlfn.XLOOKUP(J100,Manufacture_MJ!$C$18:$N$18,Manufacture_MJ!$C$20:$N$20) + _xlfn.XLOOKUP(B100&amp;"|"&amp;E100,
        Calculate_cap_ener!$L$14:$L$21&amp;"|"&amp;Calculate_cap_ener!$I$14:$I$21,
        Calculate_cap_ener!$AI$14:$AI$21, "Not found", 0), LOOKUP(K100,Manufacture_MJ!$C$24:$D$24,Manufacture_MJ!$C$26:$D$26) + _xlfn.XLOOKUP(J100,Manufacture_MJ!$C$18:$N$18,Manufacture_MJ!$C$20:$N$20) + _xlfn.XLOOKUP(B100&amp;"|"&amp;E100,
        Calculate_cap_ener!$L$14:$L$21&amp;"|"&amp;Calculate_cap_ener!$I$14:$I$21,
        Calculate_cap_ener!$AI$14:$AI$21, "Not found", 0))</f>
        <v>99952.067213565591</v>
      </c>
      <c r="M100" s="8">
        <f>_xlfn.XLOOKUP(J100,Manufacture_MJ!$C$18:$N$18,Manufacture_MJ!$C$20:$N$20)</f>
        <v>49760.002199565621</v>
      </c>
      <c r="N100" s="8" cm="1">
        <f t="array" ref="N100">_xlfn.SWITCH(K100,200,0,LOOKUP(K100,Manufacture_MJ!$C$24:$D$24,Manufacture_MJ!$C$26:$D$26))</f>
        <v>0</v>
      </c>
      <c r="O100" s="5" cm="1">
        <f t="array" ref="O100">_xlfn.XLOOKUP(B100&amp;"|"&amp;E100,
        Calculate_cap_ener!$L$14:$L$21&amp;"|"&amp;Calculate_cap_ener!$I$14:$I$21,
        Calculate_cap_ener!$AI$14:$AI$21, "Not found", 0)</f>
        <v>50192.065013999971</v>
      </c>
      <c r="P100" s="8">
        <f>SUM(M100:O100)</f>
        <v>99952.067213565591</v>
      </c>
      <c r="Q100" s="8" cm="1">
        <f t="array" ref="Q100">_xlfn.SWITCH(K100,200,_xlfn.XLOOKUP(J100,Distribution_MJ!$C$18:$N$18,Distribution_MJ!$C$20:$N$20) + _xlfn.XLOOKUP(B100&amp;"|"&amp;E100,
        Calculate_cap_ener!$L$14:$L$21&amp;"|"&amp;Calculate_cap_ener!$I$14:$I$21,
        Calculate_cap_ener!$AP$14:$AP$21, "Not found", 0), LOOKUP(K100,Distribution_MJ!$C$24:$D$24,Distribution_MJ!$C$26:$D$26) + _xlfn.XLOOKUP(J100,Distribution_MJ!$C$18:$N$18,Distribution_MJ!$C$20:$N$20) + _xlfn.XLOOKUP(B100&amp;"|"&amp;E100,
        Calculate_cap_ener!$L$14:$L$21&amp;"|"&amp;Calculate_cap_ener!$I$14:$I$21,
        Calculate_cap_ener!$AP$14:$AP$21, "Not found", 0))</f>
        <v>2523.1310223164965</v>
      </c>
      <c r="R100" s="8" cm="1">
        <f t="array" ref="R100">_xlfn.SWITCH(K100,200,_xlfn.XLOOKUP(J100,Installation_MJ!$C$18:$N$18,Installation_MJ!$C$20:$N$20) + _xlfn.XLOOKUP(B100&amp;"|"&amp;E100,
        Calculate_cap_ener!$L$14:$L$21&amp;"|"&amp;Calculate_cap_ener!$I$14:$I$21,
        Calculate_cap_ener!$AW$14:$AW$21, "Not found", 0), LOOKUP(K100,Installation_MJ!$C$24:$D$24,Installation_MJ!$C$26:$D$26) + _xlfn.XLOOKUP(J100,Installation_MJ!$C$18:$N$18,Installation_MJ!$C$20:$N$20) + _xlfn.XLOOKUP(B100&amp;"|"&amp;E100,
        Calculate_cap_ener!$L$14:$L$21&amp;"|"&amp;Calculate_cap_ener!$I$14:$I$21,
        Calculate_cap_ener!$AW$14:$AW$21, "Not found", 0))</f>
        <v>223.35386017201552</v>
      </c>
      <c r="S100" s="8" cm="1">
        <f t="array" ref="S100">_xlfn.SWITCH(K100,200,_xlfn.XLOOKUP(J100,EOL_MJ!$C$18:$N$18,EOL_MJ!$C$20:$N$20) + _xlfn.XLOOKUP(B100&amp;"|"&amp;E100,
        Calculate_cap_ener!$L$14:$L$21&amp;"|"&amp;Calculate_cap_ener!$I$14:$I$21,
        Calculate_cap_ener!$BD$14:$BD$21, "Not found", 0), LOOKUP(K100,EOL_MJ!$C$24:$D$24,EOL_MJ!$C$26:$D$26) + _xlfn.XLOOKUP(J100,EOL_MJ!$C$18:$N$18,EOL_MJ!$C$20:$N$20) + _xlfn.XLOOKUP(B100&amp;"|"&amp;E100,
        Calculate_cap_ener!$L$14:$L$21&amp;"|"&amp;Calculate_cap_ener!$I$14:$I$21,
        Calculate_cap_ener!$BD$14:$BD$21, "Not found", 0))</f>
        <v>5379.0712583999994</v>
      </c>
      <c r="T100" s="8" cm="1">
        <f t="array" ref="T100">_xlfn.SWITCH(K100,200,_xlfn.XLOOKUP(J100,Other!$C$18:$N$18,Other!$C$20:$N$20) + _xlfn.XLOOKUP(B100&amp;"|"&amp;E100,
        Calculate_cap_ener!$L$14:$L$21&amp;"|"&amp;Calculate_cap_ener!$I$14:$I$21,
        Calculate_cap_ener!$BK$14:$BK$21, "Not found", 0), LOOKUP(K100,Other!$C$24:$D$24,Other!$C$26:$D$26) + _xlfn.XLOOKUP(J100,Other!$C$18:$N$18,Other!$C$20:$N$20) + _xlfn.XLOOKUP(B100&amp;"|"&amp;E100,
        Calculate_cap_ener!$L$14:$L$21&amp;"|"&amp;Calculate_cap_ener!$I$14:$I$21,
        Calculate_cap_ener!$BK$14:$BK$21, "Not found", 0))</f>
        <v>74234.7807270372</v>
      </c>
    </row>
    <row r="101" spans="1:20" x14ac:dyDescent="0.25">
      <c r="A101" s="5"/>
      <c r="B101" s="5" t="str">
        <f t="shared" ref="B101:B126" si="7">CONCATENATE(C101, "-", "Nom")</f>
        <v>Mass-Nom</v>
      </c>
      <c r="C101" s="5" t="s">
        <v>37</v>
      </c>
      <c r="D101" s="5" t="str">
        <f t="shared" si="6"/>
        <v>Nom</v>
      </c>
      <c r="E101" s="5" t="s">
        <v>3</v>
      </c>
      <c r="F101" s="5" t="s">
        <v>54</v>
      </c>
      <c r="G101" s="5" t="s">
        <v>54</v>
      </c>
      <c r="H101" s="5">
        <v>11.2</v>
      </c>
      <c r="I101" s="5"/>
      <c r="J101" s="5">
        <f t="shared" ref="J101:J147" si="8">_xlfn.CEILING.MATH(H101,1)</f>
        <v>12</v>
      </c>
      <c r="K101" s="5">
        <v>200</v>
      </c>
      <c r="L101" s="8" cm="1">
        <f t="array" ref="L101">_xlfn.SWITCH(K101,200,_xlfn.XLOOKUP(J101,Manufacture_MJ!$C$18:$N$18,Manufacture_MJ!$C$20:$N$20) + _xlfn.XLOOKUP(B101&amp;"|"&amp;E101,
        Calculate_cap_ener!$L$14:$L$21&amp;"|"&amp;Calculate_cap_ener!$I$14:$I$21,
        Calculate_cap_ener!$AI$14:$AI$21, "Not found", 0), LOOKUP(K101,Manufacture_MJ!$C$24:$D$24,Manufacture_MJ!$C$26:$D$26) + _xlfn.XLOOKUP(J101,Manufacture_MJ!$C$18:$N$18,Manufacture_MJ!$C$20:$N$20) + _xlfn.XLOOKUP(B101&amp;"|"&amp;E101,
        Calculate_cap_ener!$L$14:$L$21&amp;"|"&amp;Calculate_cap_ener!$I$14:$I$21,
        Calculate_cap_ener!$AI$14:$AI$21, "Not found", 0))</f>
        <v>101016.58301445922</v>
      </c>
      <c r="M101" s="8">
        <f>_xlfn.XLOOKUP(J101,Manufacture_MJ!$C$18:$N$18,Manufacture_MJ!$C$20:$N$20)</f>
        <v>50824.518000459248</v>
      </c>
      <c r="N101" s="8" cm="1">
        <f t="array" ref="N101">_xlfn.SWITCH(K101,200,0,LOOKUP(K101,Manufacture_MJ!$C$24:$D$24,Manufacture_MJ!$C$26:$D$26))</f>
        <v>0</v>
      </c>
      <c r="O101" s="5" cm="1">
        <f t="array" ref="O101">_xlfn.XLOOKUP(B101&amp;"|"&amp;E101,
        Calculate_cap_ener!$L$14:$L$21&amp;"|"&amp;Calculate_cap_ener!$I$14:$I$21,
        Calculate_cap_ener!$AI$14:$AI$21, "Not found", 0)</f>
        <v>50192.065013999971</v>
      </c>
      <c r="P101" s="8">
        <f t="shared" ref="P101:P106" si="9">SUM(M101:O101)</f>
        <v>101016.58301445922</v>
      </c>
      <c r="Q101" s="8" cm="1">
        <f t="array" ref="Q101">_xlfn.SWITCH(K101,200,_xlfn.XLOOKUP(J101,Distribution_MJ!$C$18:$N$18,Distribution_MJ!$C$20:$N$20) + _xlfn.XLOOKUP(B101&amp;"|"&amp;E101,
        Calculate_cap_ener!$L$14:$L$21&amp;"|"&amp;Calculate_cap_ener!$I$14:$I$21,
        Calculate_cap_ener!$AP$14:$AP$21, "Not found", 0), LOOKUP(K101,Distribution_MJ!$C$24:$D$24,Distribution_MJ!$C$26:$D$26) + _xlfn.XLOOKUP(J101,Distribution_MJ!$C$18:$N$18,Distribution_MJ!$C$20:$N$20) + _xlfn.XLOOKUP(B101&amp;"|"&amp;E101,
        Calculate_cap_ener!$L$14:$L$21&amp;"|"&amp;Calculate_cap_ener!$I$14:$I$21,
        Calculate_cap_ener!$AP$14:$AP$21, "Not found", 0))</f>
        <v>2621.2439017219467</v>
      </c>
      <c r="R101" s="8" cm="1">
        <f t="array" ref="R101">_xlfn.SWITCH(K101,200,_xlfn.XLOOKUP(J101,Installation_MJ!$C$18:$N$18,Installation_MJ!$C$20:$N$20) + _xlfn.XLOOKUP(B101&amp;"|"&amp;E101,
        Calculate_cap_ener!$L$14:$L$21&amp;"|"&amp;Calculate_cap_ener!$I$14:$I$21,
        Calculate_cap_ener!$AW$14:$AW$21, "Not found", 0), LOOKUP(K101,Installation_MJ!$C$24:$D$24,Installation_MJ!$C$26:$D$26) + _xlfn.XLOOKUP(J101,Installation_MJ!$C$18:$N$18,Installation_MJ!$C$20:$N$20) + _xlfn.XLOOKUP(B101&amp;"|"&amp;E101,
        Calculate_cap_ener!$L$14:$L$21&amp;"|"&amp;Calculate_cap_ener!$I$14:$I$21,
        Calculate_cap_ener!$AW$14:$AW$21, "Not found", 0))</f>
        <v>230.7310949520822</v>
      </c>
      <c r="S101" s="8" cm="1">
        <f t="array" ref="S101">_xlfn.SWITCH(K101,200,_xlfn.XLOOKUP(J101,EOL_MJ!$C$18:$N$18,EOL_MJ!$C$20:$N$20) + _xlfn.XLOOKUP(B101&amp;"|"&amp;E101,
        Calculate_cap_ener!$L$14:$L$21&amp;"|"&amp;Calculate_cap_ener!$I$14:$I$21,
        Calculate_cap_ener!$BD$14:$BD$21, "Not found", 0), LOOKUP(K101,EOL_MJ!$C$24:$D$24,EOL_MJ!$C$26:$D$26) + _xlfn.XLOOKUP(J101,EOL_MJ!$C$18:$N$18,EOL_MJ!$C$20:$N$20) + _xlfn.XLOOKUP(B101&amp;"|"&amp;E101,
        Calculate_cap_ener!$L$14:$L$21&amp;"|"&amp;Calculate_cap_ener!$I$14:$I$21,
        Calculate_cap_ener!$BD$14:$BD$21, "Not found", 0))</f>
        <v>5379.0712583999994</v>
      </c>
      <c r="T101" s="8" cm="1">
        <f t="array" ref="T101">_xlfn.SWITCH(K101,200,_xlfn.XLOOKUP(J101,Other!$C$18:$N$18,Other!$C$20:$N$20) + _xlfn.XLOOKUP(B101&amp;"|"&amp;E101,
        Calculate_cap_ener!$L$14:$L$21&amp;"|"&amp;Calculate_cap_ener!$I$14:$I$21,
        Calculate_cap_ener!$BK$14:$BK$21, "Not found", 0), LOOKUP(K101,Other!$C$24:$D$24,Other!$C$26:$D$26) + _xlfn.XLOOKUP(J101,Other!$C$18:$N$18,Other!$C$20:$N$20) + _xlfn.XLOOKUP(B101&amp;"|"&amp;E101,
        Calculate_cap_ener!$L$14:$L$21&amp;"|"&amp;Calculate_cap_ener!$I$14:$I$21,
        Calculate_cap_ener!$BK$14:$BK$21, "Not found", 0))</f>
        <v>74300.449976925622</v>
      </c>
    </row>
    <row r="102" spans="1:20" x14ac:dyDescent="0.25">
      <c r="A102" s="5"/>
      <c r="B102" s="5" t="str">
        <f t="shared" si="7"/>
        <v>Mass-Nom</v>
      </c>
      <c r="C102" s="5" t="s">
        <v>37</v>
      </c>
      <c r="D102" s="5" t="str">
        <f t="shared" si="6"/>
        <v>Nom</v>
      </c>
      <c r="E102" s="5" t="s">
        <v>3</v>
      </c>
      <c r="F102" s="5" t="s">
        <v>54</v>
      </c>
      <c r="G102" s="5" t="s">
        <v>54</v>
      </c>
      <c r="H102" s="5">
        <v>14</v>
      </c>
      <c r="I102" s="5"/>
      <c r="J102" s="5">
        <f t="shared" si="8"/>
        <v>14</v>
      </c>
      <c r="K102" s="5">
        <v>200</v>
      </c>
      <c r="L102" s="8" cm="1">
        <f t="array" ref="L102">_xlfn.SWITCH(K102,200,_xlfn.XLOOKUP(J102,Manufacture_MJ!$C$18:$N$18,Manufacture_MJ!$C$20:$N$20) + _xlfn.XLOOKUP(B102&amp;"|"&amp;E102,
        Calculate_cap_ener!$L$14:$L$21&amp;"|"&amp;Calculate_cap_ener!$I$14:$I$21,
        Calculate_cap_ener!$AI$14:$AI$21, "Not found", 0), LOOKUP(K102,Manufacture_MJ!$C$24:$D$24,Manufacture_MJ!$C$26:$D$26) + _xlfn.XLOOKUP(J102,Manufacture_MJ!$C$18:$N$18,Manufacture_MJ!$C$20:$N$20) + _xlfn.XLOOKUP(B102&amp;"|"&amp;E102,
        Calculate_cap_ener!$L$14:$L$21&amp;"|"&amp;Calculate_cap_ener!$I$14:$I$21,
        Calculate_cap_ener!$AI$14:$AI$21, "Not found", 0))</f>
        <v>101726.26021505489</v>
      </c>
      <c r="M102" s="8">
        <f>_xlfn.XLOOKUP(J102,Manufacture_MJ!$C$18:$N$18,Manufacture_MJ!$C$20:$N$20)</f>
        <v>51534.195201054921</v>
      </c>
      <c r="N102" s="8" cm="1">
        <f t="array" ref="N102">_xlfn.SWITCH(K102,200,0,LOOKUP(K102,Manufacture_MJ!$C$24:$D$24,Manufacture_MJ!$C$26:$D$26))</f>
        <v>0</v>
      </c>
      <c r="O102" s="5" cm="1">
        <f t="array" ref="O102">_xlfn.XLOOKUP(B102&amp;"|"&amp;E102,
        Calculate_cap_ener!$L$14:$L$21&amp;"|"&amp;Calculate_cap_ener!$I$14:$I$21,
        Calculate_cap_ener!$AI$14:$AI$21, "Not found", 0)</f>
        <v>50192.065013999971</v>
      </c>
      <c r="P102" s="8">
        <f t="shared" si="9"/>
        <v>101726.26021505489</v>
      </c>
      <c r="Q102" s="8" cm="1">
        <f t="array" ref="Q102">_xlfn.SWITCH(K102,200,_xlfn.XLOOKUP(J102,Distribution_MJ!$C$18:$N$18,Distribution_MJ!$C$20:$N$20) + _xlfn.XLOOKUP(B102&amp;"|"&amp;E102,
        Calculate_cap_ener!$L$14:$L$21&amp;"|"&amp;Calculate_cap_ener!$I$14:$I$21,
        Calculate_cap_ener!$AP$14:$AP$21, "Not found", 0), LOOKUP(K102,Distribution_MJ!$C$24:$D$24,Distribution_MJ!$C$26:$D$26) + _xlfn.XLOOKUP(J102,Distribution_MJ!$C$18:$N$18,Distribution_MJ!$C$20:$N$20) + _xlfn.XLOOKUP(B102&amp;"|"&amp;E102,
        Calculate_cap_ener!$L$14:$L$21&amp;"|"&amp;Calculate_cap_ener!$I$14:$I$21,
        Calculate_cap_ener!$AP$14:$AP$21, "Not found", 0))</f>
        <v>2686.6524879922463</v>
      </c>
      <c r="R102" s="8" cm="1">
        <f t="array" ref="R102">_xlfn.SWITCH(K102,200,_xlfn.XLOOKUP(J102,Installation_MJ!$C$18:$N$18,Installation_MJ!$C$20:$N$20) + _xlfn.XLOOKUP(B102&amp;"|"&amp;E102,
        Calculate_cap_ener!$L$14:$L$21&amp;"|"&amp;Calculate_cap_ener!$I$14:$I$21,
        Calculate_cap_ener!$AW$14:$AW$21, "Not found", 0), LOOKUP(K102,Installation_MJ!$C$24:$D$24,Installation_MJ!$C$26:$D$26) + _xlfn.XLOOKUP(J102,Installation_MJ!$C$18:$N$18,Installation_MJ!$C$20:$N$20) + _xlfn.XLOOKUP(B102&amp;"|"&amp;E102,
        Calculate_cap_ener!$L$14:$L$21&amp;"|"&amp;Calculate_cap_ener!$I$14:$I$21,
        Calculate_cap_ener!$AW$14:$AW$21, "Not found", 0))</f>
        <v>235.64925147212671</v>
      </c>
      <c r="S102" s="8" cm="1">
        <f t="array" ref="S102">_xlfn.SWITCH(K102,200,_xlfn.XLOOKUP(J102,EOL_MJ!$C$18:$N$18,EOL_MJ!$C$20:$N$20) + _xlfn.XLOOKUP(B102&amp;"|"&amp;E102,
        Calculate_cap_ener!$L$14:$L$21&amp;"|"&amp;Calculate_cap_ener!$I$14:$I$21,
        Calculate_cap_ener!$BD$14:$BD$21, "Not found", 0), LOOKUP(K102,EOL_MJ!$C$24:$D$24,EOL_MJ!$C$26:$D$26) + _xlfn.XLOOKUP(J102,EOL_MJ!$C$18:$N$18,EOL_MJ!$C$20:$N$20) + _xlfn.XLOOKUP(B102&amp;"|"&amp;E102,
        Calculate_cap_ener!$L$14:$L$21&amp;"|"&amp;Calculate_cap_ener!$I$14:$I$21,
        Calculate_cap_ener!$BD$14:$BD$21, "Not found", 0))</f>
        <v>5379.0712583999994</v>
      </c>
      <c r="T102" s="8" cm="1">
        <f t="array" ref="T102">_xlfn.SWITCH(K102,200,_xlfn.XLOOKUP(J102,Other!$C$18:$N$18,Other!$C$20:$N$20) + _xlfn.XLOOKUP(B102&amp;"|"&amp;E102,
        Calculate_cap_ener!$L$14:$L$21&amp;"|"&amp;Calculate_cap_ener!$I$14:$I$21,
        Calculate_cap_ener!$BK$14:$BK$21, "Not found", 0), LOOKUP(K102,Other!$C$24:$D$24,Other!$C$26:$D$26) + _xlfn.XLOOKUP(J102,Other!$C$18:$N$18,Other!$C$20:$N$20) + _xlfn.XLOOKUP(B102&amp;"|"&amp;E102,
        Calculate_cap_ener!$L$14:$L$21&amp;"|"&amp;Calculate_cap_ener!$I$14:$I$21,
        Calculate_cap_ener!$BK$14:$BK$21, "Not found", 0))</f>
        <v>74344.229476851237</v>
      </c>
    </row>
    <row r="103" spans="1:20" x14ac:dyDescent="0.25">
      <c r="A103" s="5"/>
      <c r="B103" s="5" t="str">
        <f t="shared" si="7"/>
        <v>Mass-Nom</v>
      </c>
      <c r="C103" s="5" t="s">
        <v>37</v>
      </c>
      <c r="D103" s="5" t="str">
        <f t="shared" si="6"/>
        <v>Nom</v>
      </c>
      <c r="E103" s="5" t="s">
        <v>3</v>
      </c>
      <c r="F103" s="5" t="s">
        <v>55</v>
      </c>
      <c r="G103" s="5" t="s">
        <v>55</v>
      </c>
      <c r="H103" s="5">
        <v>5</v>
      </c>
      <c r="I103" s="5"/>
      <c r="J103" s="5">
        <f t="shared" si="8"/>
        <v>5</v>
      </c>
      <c r="K103" s="5">
        <v>500</v>
      </c>
      <c r="L103" s="8" cm="1">
        <f t="array" ref="L103">_xlfn.SWITCH(K103,200,_xlfn.XLOOKUP(J103,Manufacture_MJ!$C$18:$N$18,Manufacture_MJ!$C$20:$N$20) + _xlfn.XLOOKUP(B103&amp;"|"&amp;E103,
        Calculate_cap_ener!$L$14:$L$21&amp;"|"&amp;Calculate_cap_ener!$I$14:$I$21,
        Calculate_cap_ener!$AI$14:$AI$21, "Not found", 0), LOOKUP(K103,Manufacture_MJ!$C$24:$D$24,Manufacture_MJ!$C$26:$D$26) + _xlfn.XLOOKUP(J103,Manufacture_MJ!$C$18:$N$18,Manufacture_MJ!$C$20:$N$20) + _xlfn.XLOOKUP(B103&amp;"|"&amp;E103,
        Calculate_cap_ener!$L$14:$L$21&amp;"|"&amp;Calculate_cap_ener!$I$14:$I$21,
        Calculate_cap_ener!$AI$14:$AI$21, "Not found", 0))</f>
        <v>109146.30372146517</v>
      </c>
      <c r="M103" s="8">
        <f>_xlfn.XLOOKUP(J103,Manufacture_MJ!$C$18:$N$18,Manufacture_MJ!$C$20:$N$20)</f>
        <v>48340.647798374281</v>
      </c>
      <c r="N103" s="8" cm="1">
        <f t="array" ref="N103">_xlfn.SWITCH(K103,200,0,LOOKUP(K103,Manufacture_MJ!$C$24:$D$24,Manufacture_MJ!$C$26:$D$26))</f>
        <v>10613.59090909091</v>
      </c>
      <c r="O103" s="5" cm="1">
        <f t="array" ref="O103">_xlfn.XLOOKUP(B103&amp;"|"&amp;E103,
        Calculate_cap_ener!$L$14:$L$21&amp;"|"&amp;Calculate_cap_ener!$I$14:$I$21,
        Calculate_cap_ener!$AI$14:$AI$21, "Not found", 0)</f>
        <v>50192.065013999971</v>
      </c>
      <c r="P103" s="8">
        <f t="shared" si="9"/>
        <v>109146.30372146517</v>
      </c>
      <c r="Q103" s="8" cm="1">
        <f t="array" ref="Q103">_xlfn.SWITCH(K103,200,_xlfn.XLOOKUP(J103,Distribution_MJ!$C$18:$N$18,Distribution_MJ!$C$20:$N$20) + _xlfn.XLOOKUP(B103&amp;"|"&amp;E103,
        Calculate_cap_ener!$L$14:$L$21&amp;"|"&amp;Calculate_cap_ener!$I$14:$I$21,
        Calculate_cap_ener!$AP$14:$AP$21, "Not found", 0), LOOKUP(K103,Distribution_MJ!$C$24:$D$24,Distribution_MJ!$C$26:$D$26) + _xlfn.XLOOKUP(J103,Distribution_MJ!$C$18:$N$18,Distribution_MJ!$C$20:$N$20) + _xlfn.XLOOKUP(B103&amp;"|"&amp;E103,
        Calculate_cap_ener!$L$14:$L$21&amp;"|"&amp;Calculate_cap_ener!$I$14:$I$21,
        Calculate_cap_ener!$AP$14:$AP$21, "Not found", 0))</f>
        <v>2579.1678246008969</v>
      </c>
      <c r="R103" s="8" cm="1">
        <f t="array" ref="R103">_xlfn.SWITCH(K103,200,_xlfn.XLOOKUP(J103,Installation_MJ!$C$18:$N$18,Installation_MJ!$C$20:$N$20) + _xlfn.XLOOKUP(B103&amp;"|"&amp;E103,
        Calculate_cap_ener!$L$14:$L$21&amp;"|"&amp;Calculate_cap_ener!$I$14:$I$21,
        Calculate_cap_ener!$AW$14:$AW$21, "Not found", 0), LOOKUP(K103,Installation_MJ!$C$24:$D$24,Installation_MJ!$C$26:$D$26) + _xlfn.XLOOKUP(J103,Installation_MJ!$C$18:$N$18,Installation_MJ!$C$20:$N$20) + _xlfn.XLOOKUP(B103&amp;"|"&amp;E103,
        Calculate_cap_ener!$L$14:$L$21&amp;"|"&amp;Calculate_cap_ener!$I$14:$I$21,
        Calculate_cap_ener!$AW$14:$AW$21, "Not found", 0))</f>
        <v>234.51754713192676</v>
      </c>
      <c r="S103" s="8" cm="1">
        <f t="array" ref="S103">_xlfn.SWITCH(K103,200,_xlfn.XLOOKUP(J103,EOL_MJ!$C$18:$N$18,EOL_MJ!$C$20:$N$20) + _xlfn.XLOOKUP(B103&amp;"|"&amp;E103,
        Calculate_cap_ener!$L$14:$L$21&amp;"|"&amp;Calculate_cap_ener!$I$14:$I$21,
        Calculate_cap_ener!$BD$14:$BD$21, "Not found", 0), LOOKUP(K103,EOL_MJ!$C$24:$D$24,EOL_MJ!$C$26:$D$26) + _xlfn.XLOOKUP(J103,EOL_MJ!$C$18:$N$18,EOL_MJ!$C$20:$N$20) + _xlfn.XLOOKUP(B103&amp;"|"&amp;E103,
        Calculate_cap_ener!$L$14:$L$21&amp;"|"&amp;Calculate_cap_ener!$I$14:$I$21,
        Calculate_cap_ener!$BD$14:$BD$21, "Not found", 0))</f>
        <v>15878.116712945453</v>
      </c>
      <c r="T103" s="8" cm="1">
        <f t="array" ref="T103">_xlfn.SWITCH(K103,200,_xlfn.XLOOKUP(J103,Other!$C$18:$N$18,Other!$C$20:$N$20) + _xlfn.XLOOKUP(B103&amp;"|"&amp;E103,
        Calculate_cap_ener!$L$14:$L$21&amp;"|"&amp;Calculate_cap_ener!$I$14:$I$21,
        Calculate_cap_ener!$BK$14:$BK$21, "Not found", 0), LOOKUP(K103,Other!$C$24:$D$24,Other!$C$26:$D$26) + _xlfn.XLOOKUP(J103,Other!$C$18:$N$18,Other!$C$20:$N$20) + _xlfn.XLOOKUP(B103&amp;"|"&amp;E103,
        Calculate_cap_ener!$L$14:$L$21&amp;"|"&amp;Calculate_cap_ener!$I$14:$I$21,
        Calculate_cap_ener!$BK$14:$BK$21, "Not found", 0))</f>
        <v>74147.22172718597</v>
      </c>
    </row>
    <row r="104" spans="1:20" x14ac:dyDescent="0.25">
      <c r="A104" s="5"/>
      <c r="B104" s="5" t="str">
        <f t="shared" si="7"/>
        <v>Mass-Nom</v>
      </c>
      <c r="C104" s="5" t="s">
        <v>37</v>
      </c>
      <c r="D104" s="5" t="str">
        <f t="shared" si="6"/>
        <v>Nom</v>
      </c>
      <c r="E104" s="5" t="s">
        <v>3</v>
      </c>
      <c r="F104" s="5" t="s">
        <v>55</v>
      </c>
      <c r="G104" s="5" t="s">
        <v>55</v>
      </c>
      <c r="H104" s="5">
        <v>6</v>
      </c>
      <c r="I104" s="5"/>
      <c r="J104" s="5">
        <f t="shared" si="8"/>
        <v>6</v>
      </c>
      <c r="K104" s="5">
        <v>500</v>
      </c>
      <c r="L104" s="8" cm="1">
        <f t="array" ref="L104">_xlfn.SWITCH(K104,200,_xlfn.XLOOKUP(J104,Manufacture_MJ!$C$18:$N$18,Manufacture_MJ!$C$20:$N$20) + _xlfn.XLOOKUP(B104&amp;"|"&amp;E104,
        Calculate_cap_ener!$L$14:$L$21&amp;"|"&amp;Calculate_cap_ener!$I$14:$I$21,
        Calculate_cap_ener!$AI$14:$AI$21, "Not found", 0), LOOKUP(K104,Manufacture_MJ!$C$24:$D$24,Manufacture_MJ!$C$26:$D$26) + _xlfn.XLOOKUP(J104,Manufacture_MJ!$C$18:$N$18,Manufacture_MJ!$C$20:$N$20) + _xlfn.XLOOKUP(B104&amp;"|"&amp;E104,
        Calculate_cap_ener!$L$14:$L$21&amp;"|"&amp;Calculate_cap_ener!$I$14:$I$21,
        Calculate_cap_ener!$AI$14:$AI$21, "Not found", 0))</f>
        <v>109501.14232176301</v>
      </c>
      <c r="M104" s="8">
        <f>_xlfn.XLOOKUP(J104,Manufacture_MJ!$C$18:$N$18,Manufacture_MJ!$C$20:$N$20)</f>
        <v>48695.486398672118</v>
      </c>
      <c r="N104" s="8" cm="1">
        <f t="array" ref="N104">_xlfn.SWITCH(K104,200,0,LOOKUP(K104,Manufacture_MJ!$C$24:$D$24,Manufacture_MJ!$C$26:$D$26))</f>
        <v>10613.59090909091</v>
      </c>
      <c r="O104" s="5" cm="1">
        <f t="array" ref="O104">_xlfn.XLOOKUP(B104&amp;"|"&amp;E104,
        Calculate_cap_ener!$L$14:$L$21&amp;"|"&amp;Calculate_cap_ener!$I$14:$I$21,
        Calculate_cap_ener!$AI$14:$AI$21, "Not found", 0)</f>
        <v>50192.065013999971</v>
      </c>
      <c r="P104" s="8">
        <f t="shared" si="9"/>
        <v>109501.14232176301</v>
      </c>
      <c r="Q104" s="8" cm="1">
        <f t="array" ref="Q104">_xlfn.SWITCH(K104,200,_xlfn.XLOOKUP(J104,Distribution_MJ!$C$18:$N$18,Distribution_MJ!$C$20:$N$20) + _xlfn.XLOOKUP(B104&amp;"|"&amp;E104,
        Calculate_cap_ener!$L$14:$L$21&amp;"|"&amp;Calculate_cap_ener!$I$14:$I$21,
        Calculate_cap_ener!$AP$14:$AP$21, "Not found", 0), LOOKUP(K104,Distribution_MJ!$C$24:$D$24,Distribution_MJ!$C$26:$D$26) + _xlfn.XLOOKUP(J104,Distribution_MJ!$C$18:$N$18,Distribution_MJ!$C$20:$N$20) + _xlfn.XLOOKUP(B104&amp;"|"&amp;E104,
        Calculate_cap_ener!$L$14:$L$21&amp;"|"&amp;Calculate_cap_ener!$I$14:$I$21,
        Calculate_cap_ener!$AP$14:$AP$21, "Not found", 0))</f>
        <v>2611.8721177360467</v>
      </c>
      <c r="R104" s="8" cm="1">
        <f t="array" ref="R104">_xlfn.SWITCH(K104,200,_xlfn.XLOOKUP(J104,Installation_MJ!$C$18:$N$18,Installation_MJ!$C$20:$N$20) + _xlfn.XLOOKUP(B104&amp;"|"&amp;E104,
        Calculate_cap_ener!$L$14:$L$21&amp;"|"&amp;Calculate_cap_ener!$I$14:$I$21,
        Calculate_cap_ener!$AW$14:$AW$21, "Not found", 0), LOOKUP(K104,Installation_MJ!$C$24:$D$24,Installation_MJ!$C$26:$D$26) + _xlfn.XLOOKUP(J104,Installation_MJ!$C$18:$N$18,Installation_MJ!$C$20:$N$20) + _xlfn.XLOOKUP(B104&amp;"|"&amp;E104,
        Calculate_cap_ener!$L$14:$L$21&amp;"|"&amp;Calculate_cap_ener!$I$14:$I$21,
        Calculate_cap_ener!$AW$14:$AW$21, "Not found", 0))</f>
        <v>236.97662539194903</v>
      </c>
      <c r="S104" s="8" cm="1">
        <f t="array" ref="S104">_xlfn.SWITCH(K104,200,_xlfn.XLOOKUP(J104,EOL_MJ!$C$18:$N$18,EOL_MJ!$C$20:$N$20) + _xlfn.XLOOKUP(B104&amp;"|"&amp;E104,
        Calculate_cap_ener!$L$14:$L$21&amp;"|"&amp;Calculate_cap_ener!$I$14:$I$21,
        Calculate_cap_ener!$BD$14:$BD$21, "Not found", 0), LOOKUP(K104,EOL_MJ!$C$24:$D$24,EOL_MJ!$C$26:$D$26) + _xlfn.XLOOKUP(J104,EOL_MJ!$C$18:$N$18,EOL_MJ!$C$20:$N$20) + _xlfn.XLOOKUP(B104&amp;"|"&amp;E104,
        Calculate_cap_ener!$L$14:$L$21&amp;"|"&amp;Calculate_cap_ener!$I$14:$I$21,
        Calculate_cap_ener!$BD$14:$BD$21, "Not found", 0))</f>
        <v>15878.116712945453</v>
      </c>
      <c r="T104" s="8" cm="1">
        <f t="array" ref="T104">_xlfn.SWITCH(K104,200,_xlfn.XLOOKUP(J104,Other!$C$18:$N$18,Other!$C$20:$N$20) + _xlfn.XLOOKUP(B104&amp;"|"&amp;E104,
        Calculate_cap_ener!$L$14:$L$21&amp;"|"&amp;Calculate_cap_ener!$I$14:$I$21,
        Calculate_cap_ener!$BK$14:$BK$21, "Not found", 0), LOOKUP(K104,Other!$C$24:$D$24,Other!$C$26:$D$26) + _xlfn.XLOOKUP(J104,Other!$C$18:$N$18,Other!$C$20:$N$20) + _xlfn.XLOOKUP(B104&amp;"|"&amp;E104,
        Calculate_cap_ener!$L$14:$L$21&amp;"|"&amp;Calculate_cap_ener!$I$14:$I$21,
        Calculate_cap_ener!$BK$14:$BK$21, "Not found", 0))</f>
        <v>74169.111477148777</v>
      </c>
    </row>
    <row r="105" spans="1:20" x14ac:dyDescent="0.25">
      <c r="A105" s="5"/>
      <c r="B105" s="5" t="str">
        <f t="shared" si="7"/>
        <v>Mass-Nom</v>
      </c>
      <c r="C105" s="5" t="s">
        <v>37</v>
      </c>
      <c r="D105" s="5" t="str">
        <f t="shared" si="6"/>
        <v>Nom</v>
      </c>
      <c r="E105" s="5" t="s">
        <v>3</v>
      </c>
      <c r="F105" s="5" t="s">
        <v>55</v>
      </c>
      <c r="G105" s="5" t="s">
        <v>55</v>
      </c>
      <c r="H105" s="5">
        <v>8.5</v>
      </c>
      <c r="I105" s="5"/>
      <c r="J105" s="5">
        <f t="shared" si="8"/>
        <v>9</v>
      </c>
      <c r="K105" s="5">
        <v>500</v>
      </c>
      <c r="L105" s="8" cm="1">
        <f t="array" ref="L105">_xlfn.SWITCH(K105,200,_xlfn.XLOOKUP(J105,Manufacture_MJ!$C$18:$N$18,Manufacture_MJ!$C$20:$N$20) + _xlfn.XLOOKUP(B105&amp;"|"&amp;E105,
        Calculate_cap_ener!$L$14:$L$21&amp;"|"&amp;Calculate_cap_ener!$I$14:$I$21,
        Calculate_cap_ener!$AI$14:$AI$21, "Not found", 0), LOOKUP(K105,Manufacture_MJ!$C$24:$D$24,Manufacture_MJ!$C$26:$D$26) + _xlfn.XLOOKUP(J105,Manufacture_MJ!$C$18:$N$18,Manufacture_MJ!$C$20:$N$20) + _xlfn.XLOOKUP(B105&amp;"|"&amp;E105,
        Calculate_cap_ener!$L$14:$L$21&amp;"|"&amp;Calculate_cap_ener!$I$14:$I$21,
        Calculate_cap_ener!$AI$14:$AI$21, "Not found", 0))</f>
        <v>110565.6581226565</v>
      </c>
      <c r="M105" s="8">
        <f>_xlfn.XLOOKUP(J105,Manufacture_MJ!$C$18:$N$18,Manufacture_MJ!$C$20:$N$20)</f>
        <v>49760.002199565621</v>
      </c>
      <c r="N105" s="8" cm="1">
        <f t="array" ref="N105">_xlfn.SWITCH(K105,200,0,LOOKUP(K105,Manufacture_MJ!$C$24:$D$24,Manufacture_MJ!$C$26:$D$26))</f>
        <v>10613.59090909091</v>
      </c>
      <c r="O105" s="5" cm="1">
        <f t="array" ref="O105">_xlfn.XLOOKUP(B105&amp;"|"&amp;E105,
        Calculate_cap_ener!$L$14:$L$21&amp;"|"&amp;Calculate_cap_ener!$I$14:$I$21,
        Calculate_cap_ener!$AI$14:$AI$21, "Not found", 0)</f>
        <v>50192.065013999971</v>
      </c>
      <c r="P105" s="8">
        <f t="shared" si="9"/>
        <v>110565.6581226565</v>
      </c>
      <c r="Q105" s="8" cm="1">
        <f t="array" ref="Q105">_xlfn.SWITCH(K105,200,_xlfn.XLOOKUP(J105,Distribution_MJ!$C$18:$N$18,Distribution_MJ!$C$20:$N$20) + _xlfn.XLOOKUP(B105&amp;"|"&amp;E105,
        Calculate_cap_ener!$L$14:$L$21&amp;"|"&amp;Calculate_cap_ener!$I$14:$I$21,
        Calculate_cap_ener!$AP$14:$AP$21, "Not found", 0), LOOKUP(K105,Distribution_MJ!$C$24:$D$24,Distribution_MJ!$C$26:$D$26) + _xlfn.XLOOKUP(J105,Distribution_MJ!$C$18:$N$18,Distribution_MJ!$C$20:$N$20) + _xlfn.XLOOKUP(B105&amp;"|"&amp;E105,
        Calculate_cap_ener!$L$14:$L$21&amp;"|"&amp;Calculate_cap_ener!$I$14:$I$21,
        Calculate_cap_ener!$AP$14:$AP$21, "Not found", 0))</f>
        <v>2709.9849971414969</v>
      </c>
      <c r="R105" s="8" cm="1">
        <f t="array" ref="R105">_xlfn.SWITCH(K105,200,_xlfn.XLOOKUP(J105,Installation_MJ!$C$18:$N$18,Installation_MJ!$C$20:$N$20) + _xlfn.XLOOKUP(B105&amp;"|"&amp;E105,
        Calculate_cap_ener!$L$14:$L$21&amp;"|"&amp;Calculate_cap_ener!$I$14:$I$21,
        Calculate_cap_ener!$AW$14:$AW$21, "Not found", 0), LOOKUP(K105,Installation_MJ!$C$24:$D$24,Installation_MJ!$C$26:$D$26) + _xlfn.XLOOKUP(J105,Installation_MJ!$C$18:$N$18,Installation_MJ!$C$20:$N$20) + _xlfn.XLOOKUP(B105&amp;"|"&amp;E105,
        Calculate_cap_ener!$L$14:$L$21&amp;"|"&amp;Calculate_cap_ener!$I$14:$I$21,
        Calculate_cap_ener!$AW$14:$AW$21, "Not found", 0))</f>
        <v>244.35386017201552</v>
      </c>
      <c r="S105" s="8" cm="1">
        <f t="array" ref="S105">_xlfn.SWITCH(K105,200,_xlfn.XLOOKUP(J105,EOL_MJ!$C$18:$N$18,EOL_MJ!$C$20:$N$20) + _xlfn.XLOOKUP(B105&amp;"|"&amp;E105,
        Calculate_cap_ener!$L$14:$L$21&amp;"|"&amp;Calculate_cap_ener!$I$14:$I$21,
        Calculate_cap_ener!$BD$14:$BD$21, "Not found", 0), LOOKUP(K105,EOL_MJ!$C$24:$D$24,EOL_MJ!$C$26:$D$26) + _xlfn.XLOOKUP(J105,EOL_MJ!$C$18:$N$18,EOL_MJ!$C$20:$N$20) + _xlfn.XLOOKUP(B105&amp;"|"&amp;E105,
        Calculate_cap_ener!$L$14:$L$21&amp;"|"&amp;Calculate_cap_ener!$I$14:$I$21,
        Calculate_cap_ener!$BD$14:$BD$21, "Not found", 0))</f>
        <v>15878.116712945453</v>
      </c>
      <c r="T105" s="8" cm="1">
        <f t="array" ref="T105">_xlfn.SWITCH(K105,200,_xlfn.XLOOKUP(J105,Other!$C$18:$N$18,Other!$C$20:$N$20) + _xlfn.XLOOKUP(B105&amp;"|"&amp;E105,
        Calculate_cap_ener!$L$14:$L$21&amp;"|"&amp;Calculate_cap_ener!$I$14:$I$21,
        Calculate_cap_ener!$BK$14:$BK$21, "Not found", 0), LOOKUP(K105,Other!$C$24:$D$24,Other!$C$26:$D$26) + _xlfn.XLOOKUP(J105,Other!$C$18:$N$18,Other!$C$20:$N$20) + _xlfn.XLOOKUP(B105&amp;"|"&amp;E105,
        Calculate_cap_ener!$L$14:$L$21&amp;"|"&amp;Calculate_cap_ener!$I$14:$I$21,
        Calculate_cap_ener!$BK$14:$BK$21, "Not found", 0))</f>
        <v>74234.7807270372</v>
      </c>
    </row>
    <row r="106" spans="1:20" x14ac:dyDescent="0.25">
      <c r="A106" s="5"/>
      <c r="B106" s="5" t="str">
        <f t="shared" si="7"/>
        <v>Mass-Nom</v>
      </c>
      <c r="C106" s="5" t="s">
        <v>37</v>
      </c>
      <c r="D106" s="5" t="str">
        <f t="shared" si="6"/>
        <v>Nom</v>
      </c>
      <c r="E106" s="5" t="s">
        <v>3</v>
      </c>
      <c r="F106" s="5" t="s">
        <v>55</v>
      </c>
      <c r="G106" s="5" t="s">
        <v>55</v>
      </c>
      <c r="H106" s="5">
        <v>14</v>
      </c>
      <c r="I106" s="5"/>
      <c r="J106" s="5">
        <f t="shared" si="8"/>
        <v>14</v>
      </c>
      <c r="K106" s="5">
        <v>500</v>
      </c>
      <c r="L106" s="8" cm="1">
        <f t="array" ref="L106">_xlfn.SWITCH(K106,200,_xlfn.XLOOKUP(J106,Manufacture_MJ!$C$18:$N$18,Manufacture_MJ!$C$20:$N$20) + _xlfn.XLOOKUP(B106&amp;"|"&amp;E106,
        Calculate_cap_ener!$L$14:$L$21&amp;"|"&amp;Calculate_cap_ener!$I$14:$I$21,
        Calculate_cap_ener!$AI$14:$AI$21, "Not found", 0), LOOKUP(K106,Manufacture_MJ!$C$24:$D$24,Manufacture_MJ!$C$26:$D$26) + _xlfn.XLOOKUP(J106,Manufacture_MJ!$C$18:$N$18,Manufacture_MJ!$C$20:$N$20) + _xlfn.XLOOKUP(B106&amp;"|"&amp;E106,
        Calculate_cap_ener!$L$14:$L$21&amp;"|"&amp;Calculate_cap_ener!$I$14:$I$21,
        Calculate_cap_ener!$AI$14:$AI$21, "Not found", 0))</f>
        <v>112339.8511241458</v>
      </c>
      <c r="M106" s="8">
        <f>_xlfn.XLOOKUP(J106,Manufacture_MJ!$C$18:$N$18,Manufacture_MJ!$C$20:$N$20)</f>
        <v>51534.195201054921</v>
      </c>
      <c r="N106" s="8" cm="1">
        <f t="array" ref="N106">_xlfn.SWITCH(K106,200,0,LOOKUP(K106,Manufacture_MJ!$C$24:$D$24,Manufacture_MJ!$C$26:$D$26))</f>
        <v>10613.59090909091</v>
      </c>
      <c r="O106" s="5" cm="1">
        <f t="array" ref="O106">_xlfn.XLOOKUP(B106&amp;"|"&amp;E106,
        Calculate_cap_ener!$L$14:$L$21&amp;"|"&amp;Calculate_cap_ener!$I$14:$I$21,
        Calculate_cap_ener!$AI$14:$AI$21, "Not found", 0)</f>
        <v>50192.065013999971</v>
      </c>
      <c r="P106" s="8">
        <f t="shared" si="9"/>
        <v>112339.8511241458</v>
      </c>
      <c r="Q106" s="8" cm="1">
        <f t="array" ref="Q106">_xlfn.SWITCH(K106,200,_xlfn.XLOOKUP(J106,Distribution_MJ!$C$18:$N$18,Distribution_MJ!$C$20:$N$20) + _xlfn.XLOOKUP(B106&amp;"|"&amp;E106,
        Calculate_cap_ener!$L$14:$L$21&amp;"|"&amp;Calculate_cap_ener!$I$14:$I$21,
        Calculate_cap_ener!$AP$14:$AP$21, "Not found", 0), LOOKUP(K106,Distribution_MJ!$C$24:$D$24,Distribution_MJ!$C$26:$D$26) + _xlfn.XLOOKUP(J106,Distribution_MJ!$C$18:$N$18,Distribution_MJ!$C$20:$N$20) + _xlfn.XLOOKUP(B106&amp;"|"&amp;E106,
        Calculate_cap_ener!$L$14:$L$21&amp;"|"&amp;Calculate_cap_ener!$I$14:$I$21,
        Calculate_cap_ener!$AP$14:$AP$21, "Not found", 0))</f>
        <v>2873.5064628172468</v>
      </c>
      <c r="R106" s="8" cm="1">
        <f t="array" ref="R106">_xlfn.SWITCH(K106,200,_xlfn.XLOOKUP(J106,Installation_MJ!$C$18:$N$18,Installation_MJ!$C$20:$N$20) + _xlfn.XLOOKUP(B106&amp;"|"&amp;E106,
        Calculate_cap_ener!$L$14:$L$21&amp;"|"&amp;Calculate_cap_ener!$I$14:$I$21,
        Calculate_cap_ener!$AW$14:$AW$21, "Not found", 0), LOOKUP(K106,Installation_MJ!$C$24:$D$24,Installation_MJ!$C$26:$D$26) + _xlfn.XLOOKUP(J106,Installation_MJ!$C$18:$N$18,Installation_MJ!$C$20:$N$20) + _xlfn.XLOOKUP(B106&amp;"|"&amp;E106,
        Calculate_cap_ener!$L$14:$L$21&amp;"|"&amp;Calculate_cap_ener!$I$14:$I$21,
        Calculate_cap_ener!$AW$14:$AW$21, "Not found", 0))</f>
        <v>256.64925147212671</v>
      </c>
      <c r="S106" s="8" cm="1">
        <f t="array" ref="S106">_xlfn.SWITCH(K106,200,_xlfn.XLOOKUP(J106,EOL_MJ!$C$18:$N$18,EOL_MJ!$C$20:$N$20) + _xlfn.XLOOKUP(B106&amp;"|"&amp;E106,
        Calculate_cap_ener!$L$14:$L$21&amp;"|"&amp;Calculate_cap_ener!$I$14:$I$21,
        Calculate_cap_ener!$BD$14:$BD$21, "Not found", 0), LOOKUP(K106,EOL_MJ!$C$24:$D$24,EOL_MJ!$C$26:$D$26) + _xlfn.XLOOKUP(J106,EOL_MJ!$C$18:$N$18,EOL_MJ!$C$20:$N$20) + _xlfn.XLOOKUP(B106&amp;"|"&amp;E106,
        Calculate_cap_ener!$L$14:$L$21&amp;"|"&amp;Calculate_cap_ener!$I$14:$I$21,
        Calculate_cap_ener!$BD$14:$BD$21, "Not found", 0))</f>
        <v>15878.116712945453</v>
      </c>
      <c r="T106" s="8" cm="1">
        <f t="array" ref="T106">_xlfn.SWITCH(K106,200,_xlfn.XLOOKUP(J106,Other!$C$18:$N$18,Other!$C$20:$N$20) + _xlfn.XLOOKUP(B106&amp;"|"&amp;E106,
        Calculate_cap_ener!$L$14:$L$21&amp;"|"&amp;Calculate_cap_ener!$I$14:$I$21,
        Calculate_cap_ener!$BK$14:$BK$21, "Not found", 0), LOOKUP(K106,Other!$C$24:$D$24,Other!$C$26:$D$26) + _xlfn.XLOOKUP(J106,Other!$C$18:$N$18,Other!$C$20:$N$20) + _xlfn.XLOOKUP(B106&amp;"|"&amp;E106,
        Calculate_cap_ener!$L$14:$L$21&amp;"|"&amp;Calculate_cap_ener!$I$14:$I$21,
        Calculate_cap_ener!$BK$14:$BK$21, "Not found", 0))</f>
        <v>74344.229476851237</v>
      </c>
    </row>
    <row r="107" spans="1:20" x14ac:dyDescent="0.25">
      <c r="A107" s="5"/>
      <c r="B107" s="5" t="str">
        <f t="shared" si="7"/>
        <v>Mass-Nom</v>
      </c>
      <c r="C107" s="5" t="s">
        <v>37</v>
      </c>
      <c r="D107" s="5" t="str">
        <f t="shared" si="6"/>
        <v>Nom</v>
      </c>
      <c r="E107" s="5" t="s">
        <v>3</v>
      </c>
      <c r="F107" s="5" t="s">
        <v>57</v>
      </c>
      <c r="G107" s="5" t="s">
        <v>57</v>
      </c>
      <c r="H107" s="5">
        <v>5</v>
      </c>
      <c r="I107" s="5"/>
      <c r="J107" s="5">
        <f t="shared" si="8"/>
        <v>5</v>
      </c>
      <c r="K107" s="5">
        <v>1000</v>
      </c>
      <c r="L107" s="8" cm="1">
        <f t="array" ref="L107">_xlfn.SWITCH(K107,200,_xlfn.XLOOKUP(J107,Manufacture_MJ!$C$18:$N$18,Manufacture_MJ!$C$20:$N$20) + _xlfn.XLOOKUP(B107&amp;"|"&amp;E107,
        Calculate_cap_ener!$L$14:$L$21&amp;"|"&amp;Calculate_cap_ener!$I$14:$I$21,
        Calculate_cap_ener!$AI$14:$AI$21, "Not found", 0), LOOKUP(K107,Manufacture_MJ!$C$24:$D$24,Manufacture_MJ!$C$26:$D$26) + _xlfn.XLOOKUP(J107,Manufacture_MJ!$C$18:$N$18,Manufacture_MJ!$C$20:$N$20) + _xlfn.XLOOKUP(B107&amp;"|"&amp;E107,
        Calculate_cap_ener!$L$14:$L$21&amp;"|"&amp;Calculate_cap_ener!$I$14:$I$21,
        Calculate_cap_ener!$AI$14:$AI$21, "Not found", 0))</f>
        <v>119106.03099419244</v>
      </c>
      <c r="M107" s="8">
        <f>_xlfn.XLOOKUP(J107,Manufacture_MJ!$C$18:$N$18,Manufacture_MJ!$C$20:$N$20)</f>
        <v>48340.647798374281</v>
      </c>
      <c r="N107" s="8" cm="1">
        <f t="array" ref="N107">_xlfn.SWITCH(K107,200,0,LOOKUP(K107,Manufacture_MJ!$C$24:$D$24,Manufacture_MJ!$C$26:$D$26))</f>
        <v>20573.31818181818</v>
      </c>
      <c r="O107" s="5" cm="1">
        <f t="array" ref="O107">_xlfn.XLOOKUP(B107&amp;"|"&amp;E107,
        Calculate_cap_ener!$L$14:$L$21&amp;"|"&amp;Calculate_cap_ener!$I$14:$I$21,
        Calculate_cap_ener!$AI$14:$AI$21, "Not found", 0)</f>
        <v>50192.065013999971</v>
      </c>
      <c r="P107" s="8">
        <f>SUM(M107:O107)</f>
        <v>119106.03099419244</v>
      </c>
      <c r="Q107" s="8" cm="1">
        <f t="array" ref="Q107">_xlfn.SWITCH(K107,200,_xlfn.XLOOKUP(J107,Distribution_MJ!$C$18:$N$18,Distribution_MJ!$C$20:$N$20) + _xlfn.XLOOKUP(B107&amp;"|"&amp;E107,
        Calculate_cap_ener!$L$14:$L$21&amp;"|"&amp;Calculate_cap_ener!$I$14:$I$21,
        Calculate_cap_ener!$AP$14:$AP$21, "Not found", 0), LOOKUP(K107,Distribution_MJ!$C$24:$D$24,Distribution_MJ!$C$26:$D$26) + _xlfn.XLOOKUP(J107,Distribution_MJ!$C$18:$N$18,Distribution_MJ!$C$20:$N$20) + _xlfn.XLOOKUP(B107&amp;"|"&amp;E107,
        Calculate_cap_ener!$L$14:$L$21&amp;"|"&amp;Calculate_cap_ener!$I$14:$I$21,
        Calculate_cap_ener!$AP$14:$AP$21, "Not found", 0))</f>
        <v>2759.7531499478969</v>
      </c>
      <c r="R107" s="8" cm="1">
        <f t="array" ref="R107">_xlfn.SWITCH(K107,200,_xlfn.XLOOKUP(J107,Installation_MJ!$C$18:$N$18,Installation_MJ!$C$20:$N$20) + _xlfn.XLOOKUP(B107&amp;"|"&amp;E107,
        Calculate_cap_ener!$L$14:$L$21&amp;"|"&amp;Calculate_cap_ener!$I$14:$I$21,
        Calculate_cap_ener!$AW$14:$AW$21, "Not found", 0), LOOKUP(K107,Installation_MJ!$C$24:$D$24,Installation_MJ!$C$26:$D$26) + _xlfn.XLOOKUP(J107,Installation_MJ!$C$18:$N$18,Installation_MJ!$C$20:$N$20) + _xlfn.XLOOKUP(B107&amp;"|"&amp;E107,
        Calculate_cap_ener!$L$14:$L$21&amp;"|"&amp;Calculate_cap_ener!$I$14:$I$21,
        Calculate_cap_ener!$AW$14:$AW$21, "Not found", 0))</f>
        <v>240.24481985919948</v>
      </c>
      <c r="S107" s="8" cm="1">
        <f t="array" ref="S107">_xlfn.SWITCH(K107,200,_xlfn.XLOOKUP(J107,EOL_MJ!$C$18:$N$18,EOL_MJ!$C$20:$N$20) + _xlfn.XLOOKUP(B107&amp;"|"&amp;E107,
        Calculate_cap_ener!$L$14:$L$21&amp;"|"&amp;Calculate_cap_ener!$I$14:$I$21,
        Calculate_cap_ener!$BD$14:$BD$21, "Not found", 0), LOOKUP(K107,EOL_MJ!$C$24:$D$24,EOL_MJ!$C$26:$D$26) + _xlfn.XLOOKUP(J107,EOL_MJ!$C$18:$N$18,EOL_MJ!$C$20:$N$20) + _xlfn.XLOOKUP(B107&amp;"|"&amp;E107,
        Calculate_cap_ener!$L$14:$L$21&amp;"|"&amp;Calculate_cap_ener!$I$14:$I$21,
        Calculate_cap_ener!$BD$14:$BD$21, "Not found", 0))</f>
        <v>26014.434894763635</v>
      </c>
      <c r="T107" s="8" cm="1">
        <f t="array" ref="T107">_xlfn.SWITCH(K107,200,_xlfn.XLOOKUP(J107,Other!$C$18:$N$18,Other!$C$20:$N$20) + _xlfn.XLOOKUP(B107&amp;"|"&amp;E107,
        Calculate_cap_ener!$L$14:$L$21&amp;"|"&amp;Calculate_cap_ener!$I$14:$I$21,
        Calculate_cap_ener!$BK$14:$BK$21, "Not found", 0), LOOKUP(K107,Other!$C$24:$D$24,Other!$C$26:$D$26) + _xlfn.XLOOKUP(J107,Other!$C$18:$N$18,Other!$C$20:$N$20) + _xlfn.XLOOKUP(B107&amp;"|"&amp;E107,
        Calculate_cap_ener!$L$14:$L$21&amp;"|"&amp;Calculate_cap_ener!$I$14:$I$21,
        Calculate_cap_ener!$BK$14:$BK$21, "Not found", 0))</f>
        <v>74147.22172718597</v>
      </c>
    </row>
    <row r="108" spans="1:20" x14ac:dyDescent="0.25">
      <c r="A108" s="5"/>
      <c r="B108" s="5" t="str">
        <f t="shared" si="7"/>
        <v>Mass-Nom</v>
      </c>
      <c r="C108" s="5" t="s">
        <v>37</v>
      </c>
      <c r="D108" s="5" t="str">
        <f t="shared" si="6"/>
        <v>Nom</v>
      </c>
      <c r="E108" s="5" t="s">
        <v>3</v>
      </c>
      <c r="F108" s="5" t="s">
        <v>57</v>
      </c>
      <c r="G108" s="5" t="s">
        <v>57</v>
      </c>
      <c r="H108" s="5">
        <v>6</v>
      </c>
      <c r="I108" s="5"/>
      <c r="J108" s="5">
        <f t="shared" si="8"/>
        <v>6</v>
      </c>
      <c r="K108" s="5">
        <v>1000</v>
      </c>
      <c r="L108" s="8" cm="1">
        <f t="array" ref="L108">_xlfn.SWITCH(K108,200,_xlfn.XLOOKUP(J108,Manufacture_MJ!$C$18:$N$18,Manufacture_MJ!$C$20:$N$20) + _xlfn.XLOOKUP(B108&amp;"|"&amp;E108,
        Calculate_cap_ener!$L$14:$L$21&amp;"|"&amp;Calculate_cap_ener!$I$14:$I$21,
        Calculate_cap_ener!$AI$14:$AI$21, "Not found", 0), LOOKUP(K108,Manufacture_MJ!$C$24:$D$24,Manufacture_MJ!$C$26:$D$26) + _xlfn.XLOOKUP(J108,Manufacture_MJ!$C$18:$N$18,Manufacture_MJ!$C$20:$N$20) + _xlfn.XLOOKUP(B108&amp;"|"&amp;E108,
        Calculate_cap_ener!$L$14:$L$21&amp;"|"&amp;Calculate_cap_ener!$I$14:$I$21,
        Calculate_cap_ener!$AI$14:$AI$21, "Not found", 0))</f>
        <v>119460.86959449027</v>
      </c>
      <c r="M108" s="8">
        <f>_xlfn.XLOOKUP(J108,Manufacture_MJ!$C$18:$N$18,Manufacture_MJ!$C$20:$N$20)</f>
        <v>48695.486398672118</v>
      </c>
      <c r="N108" s="8" cm="1">
        <f t="array" ref="N108">_xlfn.SWITCH(K108,200,0,LOOKUP(K108,Manufacture_MJ!$C$24:$D$24,Manufacture_MJ!$C$26:$D$26))</f>
        <v>20573.31818181818</v>
      </c>
      <c r="O108" s="5" cm="1">
        <f t="array" ref="O108">_xlfn.XLOOKUP(B108&amp;"|"&amp;E108,
        Calculate_cap_ener!$L$14:$L$21&amp;"|"&amp;Calculate_cap_ener!$I$14:$I$21,
        Calculate_cap_ener!$AI$14:$AI$21, "Not found", 0)</f>
        <v>50192.065013999971</v>
      </c>
      <c r="P108" s="8">
        <f t="shared" ref="P108:P114" si="10">SUM(M108:O108)</f>
        <v>119460.86959449027</v>
      </c>
      <c r="Q108" s="8" cm="1">
        <f t="array" ref="Q108">_xlfn.SWITCH(K108,200,_xlfn.XLOOKUP(J108,Distribution_MJ!$C$18:$N$18,Distribution_MJ!$C$20:$N$20) + _xlfn.XLOOKUP(B108&amp;"|"&amp;E108,
        Calculate_cap_ener!$L$14:$L$21&amp;"|"&amp;Calculate_cap_ener!$I$14:$I$21,
        Calculate_cap_ener!$AP$14:$AP$21, "Not found", 0), LOOKUP(K108,Distribution_MJ!$C$24:$D$24,Distribution_MJ!$C$26:$D$26) + _xlfn.XLOOKUP(J108,Distribution_MJ!$C$18:$N$18,Distribution_MJ!$C$20:$N$20) + _xlfn.XLOOKUP(B108&amp;"|"&amp;E108,
        Calculate_cap_ener!$L$14:$L$21&amp;"|"&amp;Calculate_cap_ener!$I$14:$I$21,
        Calculate_cap_ener!$AP$14:$AP$21, "Not found", 0))</f>
        <v>2792.4574430830467</v>
      </c>
      <c r="R108" s="8" cm="1">
        <f t="array" ref="R108">_xlfn.SWITCH(K108,200,_xlfn.XLOOKUP(J108,Installation_MJ!$C$18:$N$18,Installation_MJ!$C$20:$N$20) + _xlfn.XLOOKUP(B108&amp;"|"&amp;E108,
        Calculate_cap_ener!$L$14:$L$21&amp;"|"&amp;Calculate_cap_ener!$I$14:$I$21,
        Calculate_cap_ener!$AW$14:$AW$21, "Not found", 0), LOOKUP(K108,Installation_MJ!$C$24:$D$24,Installation_MJ!$C$26:$D$26) + _xlfn.XLOOKUP(J108,Installation_MJ!$C$18:$N$18,Installation_MJ!$C$20:$N$20) + _xlfn.XLOOKUP(B108&amp;"|"&amp;E108,
        Calculate_cap_ener!$L$14:$L$21&amp;"|"&amp;Calculate_cap_ener!$I$14:$I$21,
        Calculate_cap_ener!$AW$14:$AW$21, "Not found", 0))</f>
        <v>242.70389811922175</v>
      </c>
      <c r="S108" s="8" cm="1">
        <f t="array" ref="S108">_xlfn.SWITCH(K108,200,_xlfn.XLOOKUP(J108,EOL_MJ!$C$18:$N$18,EOL_MJ!$C$20:$N$20) + _xlfn.XLOOKUP(B108&amp;"|"&amp;E108,
        Calculate_cap_ener!$L$14:$L$21&amp;"|"&amp;Calculate_cap_ener!$I$14:$I$21,
        Calculate_cap_ener!$BD$14:$BD$21, "Not found", 0), LOOKUP(K108,EOL_MJ!$C$24:$D$24,EOL_MJ!$C$26:$D$26) + _xlfn.XLOOKUP(J108,EOL_MJ!$C$18:$N$18,EOL_MJ!$C$20:$N$20) + _xlfn.XLOOKUP(B108&amp;"|"&amp;E108,
        Calculate_cap_ener!$L$14:$L$21&amp;"|"&amp;Calculate_cap_ener!$I$14:$I$21,
        Calculate_cap_ener!$BD$14:$BD$21, "Not found", 0))</f>
        <v>26014.434894763635</v>
      </c>
      <c r="T108" s="8" cm="1">
        <f t="array" ref="T108">_xlfn.SWITCH(K108,200,_xlfn.XLOOKUP(J108,Other!$C$18:$N$18,Other!$C$20:$N$20) + _xlfn.XLOOKUP(B108&amp;"|"&amp;E108,
        Calculate_cap_ener!$L$14:$L$21&amp;"|"&amp;Calculate_cap_ener!$I$14:$I$21,
        Calculate_cap_ener!$BK$14:$BK$21, "Not found", 0), LOOKUP(K108,Other!$C$24:$D$24,Other!$C$26:$D$26) + _xlfn.XLOOKUP(J108,Other!$C$18:$N$18,Other!$C$20:$N$20) + _xlfn.XLOOKUP(B108&amp;"|"&amp;E108,
        Calculate_cap_ener!$L$14:$L$21&amp;"|"&amp;Calculate_cap_ener!$I$14:$I$21,
        Calculate_cap_ener!$BK$14:$BK$21, "Not found", 0))</f>
        <v>74169.111477148777</v>
      </c>
    </row>
    <row r="109" spans="1:20" x14ac:dyDescent="0.25">
      <c r="A109" s="5"/>
      <c r="B109" s="5" t="str">
        <f t="shared" si="7"/>
        <v>Mass-Nom</v>
      </c>
      <c r="C109" s="5" t="s">
        <v>37</v>
      </c>
      <c r="D109" s="5" t="str">
        <f t="shared" si="6"/>
        <v>Nom</v>
      </c>
      <c r="E109" s="5" t="s">
        <v>3</v>
      </c>
      <c r="F109" s="5" t="s">
        <v>57</v>
      </c>
      <c r="G109" s="5" t="s">
        <v>57</v>
      </c>
      <c r="H109" s="5">
        <v>8.5</v>
      </c>
      <c r="I109" s="5"/>
      <c r="J109" s="5">
        <f t="shared" si="8"/>
        <v>9</v>
      </c>
      <c r="K109" s="5">
        <v>1000</v>
      </c>
      <c r="L109" s="8" cm="1">
        <f t="array" ref="L109">_xlfn.SWITCH(K109,200,_xlfn.XLOOKUP(J109,Manufacture_MJ!$C$18:$N$18,Manufacture_MJ!$C$20:$N$20) + _xlfn.XLOOKUP(B109&amp;"|"&amp;E109,
        Calculate_cap_ener!$L$14:$L$21&amp;"|"&amp;Calculate_cap_ener!$I$14:$I$21,
        Calculate_cap_ener!$AI$14:$AI$21, "Not found", 0), LOOKUP(K109,Manufacture_MJ!$C$24:$D$24,Manufacture_MJ!$C$26:$D$26) + _xlfn.XLOOKUP(J109,Manufacture_MJ!$C$18:$N$18,Manufacture_MJ!$C$20:$N$20) + _xlfn.XLOOKUP(B109&amp;"|"&amp;E109,
        Calculate_cap_ener!$L$14:$L$21&amp;"|"&amp;Calculate_cap_ener!$I$14:$I$21,
        Calculate_cap_ener!$AI$14:$AI$21, "Not found", 0))</f>
        <v>120525.38539538378</v>
      </c>
      <c r="M109" s="8">
        <f>_xlfn.XLOOKUP(J109,Manufacture_MJ!$C$18:$N$18,Manufacture_MJ!$C$20:$N$20)</f>
        <v>49760.002199565621</v>
      </c>
      <c r="N109" s="8" cm="1">
        <f t="array" ref="N109">_xlfn.SWITCH(K109,200,0,LOOKUP(K109,Manufacture_MJ!$C$24:$D$24,Manufacture_MJ!$C$26:$D$26))</f>
        <v>20573.31818181818</v>
      </c>
      <c r="O109" s="5" cm="1">
        <f t="array" ref="O109">_xlfn.XLOOKUP(B109&amp;"|"&amp;E109,
        Calculate_cap_ener!$L$14:$L$21&amp;"|"&amp;Calculate_cap_ener!$I$14:$I$21,
        Calculate_cap_ener!$AI$14:$AI$21, "Not found", 0)</f>
        <v>50192.065013999971</v>
      </c>
      <c r="P109" s="8">
        <f t="shared" si="10"/>
        <v>120525.38539538378</v>
      </c>
      <c r="Q109" s="8" cm="1">
        <f t="array" ref="Q109">_xlfn.SWITCH(K109,200,_xlfn.XLOOKUP(J109,Distribution_MJ!$C$18:$N$18,Distribution_MJ!$C$20:$N$20) + _xlfn.XLOOKUP(B109&amp;"|"&amp;E109,
        Calculate_cap_ener!$L$14:$L$21&amp;"|"&amp;Calculate_cap_ener!$I$14:$I$21,
        Calculate_cap_ener!$AP$14:$AP$21, "Not found", 0), LOOKUP(K109,Distribution_MJ!$C$24:$D$24,Distribution_MJ!$C$26:$D$26) + _xlfn.XLOOKUP(J109,Distribution_MJ!$C$18:$N$18,Distribution_MJ!$C$20:$N$20) + _xlfn.XLOOKUP(B109&amp;"|"&amp;E109,
        Calculate_cap_ener!$L$14:$L$21&amp;"|"&amp;Calculate_cap_ener!$I$14:$I$21,
        Calculate_cap_ener!$AP$14:$AP$21, "Not found", 0))</f>
        <v>2890.5703224884965</v>
      </c>
      <c r="R109" s="8" cm="1">
        <f t="array" ref="R109">_xlfn.SWITCH(K109,200,_xlfn.XLOOKUP(J109,Installation_MJ!$C$18:$N$18,Installation_MJ!$C$20:$N$20) + _xlfn.XLOOKUP(B109&amp;"|"&amp;E109,
        Calculate_cap_ener!$L$14:$L$21&amp;"|"&amp;Calculate_cap_ener!$I$14:$I$21,
        Calculate_cap_ener!$AW$14:$AW$21, "Not found", 0), LOOKUP(K109,Installation_MJ!$C$24:$D$24,Installation_MJ!$C$26:$D$26) + _xlfn.XLOOKUP(J109,Installation_MJ!$C$18:$N$18,Installation_MJ!$C$20:$N$20) + _xlfn.XLOOKUP(B109&amp;"|"&amp;E109,
        Calculate_cap_ener!$L$14:$L$21&amp;"|"&amp;Calculate_cap_ener!$I$14:$I$21,
        Calculate_cap_ener!$AW$14:$AW$21, "Not found", 0))</f>
        <v>250.08113289928826</v>
      </c>
      <c r="S109" s="8" cm="1">
        <f t="array" ref="S109">_xlfn.SWITCH(K109,200,_xlfn.XLOOKUP(J109,EOL_MJ!$C$18:$N$18,EOL_MJ!$C$20:$N$20) + _xlfn.XLOOKUP(B109&amp;"|"&amp;E109,
        Calculate_cap_ener!$L$14:$L$21&amp;"|"&amp;Calculate_cap_ener!$I$14:$I$21,
        Calculate_cap_ener!$BD$14:$BD$21, "Not found", 0), LOOKUP(K109,EOL_MJ!$C$24:$D$24,EOL_MJ!$C$26:$D$26) + _xlfn.XLOOKUP(J109,EOL_MJ!$C$18:$N$18,EOL_MJ!$C$20:$N$20) + _xlfn.XLOOKUP(B109&amp;"|"&amp;E109,
        Calculate_cap_ener!$L$14:$L$21&amp;"|"&amp;Calculate_cap_ener!$I$14:$I$21,
        Calculate_cap_ener!$BD$14:$BD$21, "Not found", 0))</f>
        <v>26014.434894763635</v>
      </c>
      <c r="T109" s="8" cm="1">
        <f t="array" ref="T109">_xlfn.SWITCH(K109,200,_xlfn.XLOOKUP(J109,Other!$C$18:$N$18,Other!$C$20:$N$20) + _xlfn.XLOOKUP(B109&amp;"|"&amp;E109,
        Calculate_cap_ener!$L$14:$L$21&amp;"|"&amp;Calculate_cap_ener!$I$14:$I$21,
        Calculate_cap_ener!$BK$14:$BK$21, "Not found", 0), LOOKUP(K109,Other!$C$24:$D$24,Other!$C$26:$D$26) + _xlfn.XLOOKUP(J109,Other!$C$18:$N$18,Other!$C$20:$N$20) + _xlfn.XLOOKUP(B109&amp;"|"&amp;E109,
        Calculate_cap_ener!$L$14:$L$21&amp;"|"&amp;Calculate_cap_ener!$I$14:$I$21,
        Calculate_cap_ener!$BK$14:$BK$21, "Not found", 0))</f>
        <v>74234.7807270372</v>
      </c>
    </row>
    <row r="110" spans="1:20" x14ac:dyDescent="0.25">
      <c r="A110" s="5"/>
      <c r="B110" s="5" t="str">
        <f t="shared" si="7"/>
        <v>Mass-Nom</v>
      </c>
      <c r="C110" s="5" t="s">
        <v>37</v>
      </c>
      <c r="D110" s="5" t="str">
        <f t="shared" si="6"/>
        <v>Nom</v>
      </c>
      <c r="E110" s="5" t="s">
        <v>3</v>
      </c>
      <c r="F110" s="5" t="s">
        <v>57</v>
      </c>
      <c r="G110" s="5" t="s">
        <v>57</v>
      </c>
      <c r="H110" s="5">
        <v>11.2</v>
      </c>
      <c r="I110" s="5"/>
      <c r="J110" s="5">
        <f t="shared" si="8"/>
        <v>12</v>
      </c>
      <c r="K110" s="5">
        <v>1000</v>
      </c>
      <c r="L110" s="8" cm="1">
        <f t="array" ref="L110">_xlfn.SWITCH(K110,200,_xlfn.XLOOKUP(J110,Manufacture_MJ!$C$18:$N$18,Manufacture_MJ!$C$20:$N$20) + _xlfn.XLOOKUP(B110&amp;"|"&amp;E110,
        Calculate_cap_ener!$L$14:$L$21&amp;"|"&amp;Calculate_cap_ener!$I$14:$I$21,
        Calculate_cap_ener!$AI$14:$AI$21, "Not found", 0), LOOKUP(K110,Manufacture_MJ!$C$24:$D$24,Manufacture_MJ!$C$26:$D$26) + _xlfn.XLOOKUP(J110,Manufacture_MJ!$C$18:$N$18,Manufacture_MJ!$C$20:$N$20) + _xlfn.XLOOKUP(B110&amp;"|"&amp;E110,
        Calculate_cap_ener!$L$14:$L$21&amp;"|"&amp;Calculate_cap_ener!$I$14:$I$21,
        Calculate_cap_ener!$AI$14:$AI$21, "Not found", 0))</f>
        <v>121589.90119627741</v>
      </c>
      <c r="M110" s="8">
        <f>_xlfn.XLOOKUP(J110,Manufacture_MJ!$C$18:$N$18,Manufacture_MJ!$C$20:$N$20)</f>
        <v>50824.518000459248</v>
      </c>
      <c r="N110" s="8" cm="1">
        <f t="array" ref="N110">_xlfn.SWITCH(K110,200,0,LOOKUP(K110,Manufacture_MJ!$C$24:$D$24,Manufacture_MJ!$C$26:$D$26))</f>
        <v>20573.31818181818</v>
      </c>
      <c r="O110" s="5" cm="1">
        <f t="array" ref="O110">_xlfn.XLOOKUP(B110&amp;"|"&amp;E110,
        Calculate_cap_ener!$L$14:$L$21&amp;"|"&amp;Calculate_cap_ener!$I$14:$I$21,
        Calculate_cap_ener!$AI$14:$AI$21, "Not found", 0)</f>
        <v>50192.065013999971</v>
      </c>
      <c r="P110" s="8">
        <f t="shared" si="10"/>
        <v>121589.90119627741</v>
      </c>
      <c r="Q110" s="8" cm="1">
        <f t="array" ref="Q110">_xlfn.SWITCH(K110,200,_xlfn.XLOOKUP(J110,Distribution_MJ!$C$18:$N$18,Distribution_MJ!$C$20:$N$20) + _xlfn.XLOOKUP(B110&amp;"|"&amp;E110,
        Calculate_cap_ener!$L$14:$L$21&amp;"|"&amp;Calculate_cap_ener!$I$14:$I$21,
        Calculate_cap_ener!$AP$14:$AP$21, "Not found", 0), LOOKUP(K110,Distribution_MJ!$C$24:$D$24,Distribution_MJ!$C$26:$D$26) + _xlfn.XLOOKUP(J110,Distribution_MJ!$C$18:$N$18,Distribution_MJ!$C$20:$N$20) + _xlfn.XLOOKUP(B110&amp;"|"&amp;E110,
        Calculate_cap_ener!$L$14:$L$21&amp;"|"&amp;Calculate_cap_ener!$I$14:$I$21,
        Calculate_cap_ener!$AP$14:$AP$21, "Not found", 0))</f>
        <v>2988.6832018939467</v>
      </c>
      <c r="R110" s="8" cm="1">
        <f t="array" ref="R110">_xlfn.SWITCH(K110,200,_xlfn.XLOOKUP(J110,Installation_MJ!$C$18:$N$18,Installation_MJ!$C$20:$N$20) + _xlfn.XLOOKUP(B110&amp;"|"&amp;E110,
        Calculate_cap_ener!$L$14:$L$21&amp;"|"&amp;Calculate_cap_ener!$I$14:$I$21,
        Calculate_cap_ener!$AW$14:$AW$21, "Not found", 0), LOOKUP(K110,Installation_MJ!$C$24:$D$24,Installation_MJ!$C$26:$D$26) + _xlfn.XLOOKUP(J110,Installation_MJ!$C$18:$N$18,Installation_MJ!$C$20:$N$20) + _xlfn.XLOOKUP(B110&amp;"|"&amp;E110,
        Calculate_cap_ener!$L$14:$L$21&amp;"|"&amp;Calculate_cap_ener!$I$14:$I$21,
        Calculate_cap_ener!$AW$14:$AW$21, "Not found", 0))</f>
        <v>257.45836767935492</v>
      </c>
      <c r="S110" s="8" cm="1">
        <f t="array" ref="S110">_xlfn.SWITCH(K110,200,_xlfn.XLOOKUP(J110,EOL_MJ!$C$18:$N$18,EOL_MJ!$C$20:$N$20) + _xlfn.XLOOKUP(B110&amp;"|"&amp;E110,
        Calculate_cap_ener!$L$14:$L$21&amp;"|"&amp;Calculate_cap_ener!$I$14:$I$21,
        Calculate_cap_ener!$BD$14:$BD$21, "Not found", 0), LOOKUP(K110,EOL_MJ!$C$24:$D$24,EOL_MJ!$C$26:$D$26) + _xlfn.XLOOKUP(J110,EOL_MJ!$C$18:$N$18,EOL_MJ!$C$20:$N$20) + _xlfn.XLOOKUP(B110&amp;"|"&amp;E110,
        Calculate_cap_ener!$L$14:$L$21&amp;"|"&amp;Calculate_cap_ener!$I$14:$I$21,
        Calculate_cap_ener!$BD$14:$BD$21, "Not found", 0))</f>
        <v>26014.434894763635</v>
      </c>
      <c r="T110" s="8" cm="1">
        <f t="array" ref="T110">_xlfn.SWITCH(K110,200,_xlfn.XLOOKUP(J110,Other!$C$18:$N$18,Other!$C$20:$N$20) + _xlfn.XLOOKUP(B110&amp;"|"&amp;E110,
        Calculate_cap_ener!$L$14:$L$21&amp;"|"&amp;Calculate_cap_ener!$I$14:$I$21,
        Calculate_cap_ener!$BK$14:$BK$21, "Not found", 0), LOOKUP(K110,Other!$C$24:$D$24,Other!$C$26:$D$26) + _xlfn.XLOOKUP(J110,Other!$C$18:$N$18,Other!$C$20:$N$20) + _xlfn.XLOOKUP(B110&amp;"|"&amp;E110,
        Calculate_cap_ener!$L$14:$L$21&amp;"|"&amp;Calculate_cap_ener!$I$14:$I$21,
        Calculate_cap_ener!$BK$14:$BK$21, "Not found", 0))</f>
        <v>74300.449976925622</v>
      </c>
    </row>
    <row r="111" spans="1:20" x14ac:dyDescent="0.25">
      <c r="A111" s="5"/>
      <c r="B111" s="5" t="str">
        <f t="shared" si="7"/>
        <v>Mass-Nom</v>
      </c>
      <c r="C111" s="5" t="s">
        <v>37</v>
      </c>
      <c r="D111" s="5" t="str">
        <f t="shared" si="6"/>
        <v>Nom</v>
      </c>
      <c r="E111" s="5" t="s">
        <v>3</v>
      </c>
      <c r="F111" s="5" t="s">
        <v>57</v>
      </c>
      <c r="G111" s="5" t="s">
        <v>57</v>
      </c>
      <c r="H111" s="5">
        <v>14</v>
      </c>
      <c r="I111" s="5"/>
      <c r="J111" s="5">
        <f t="shared" si="8"/>
        <v>14</v>
      </c>
      <c r="K111" s="5">
        <v>1000</v>
      </c>
      <c r="L111" s="8" cm="1">
        <f t="array" ref="L111">_xlfn.SWITCH(K111,200,_xlfn.XLOOKUP(J111,Manufacture_MJ!$C$18:$N$18,Manufacture_MJ!$C$20:$N$20) + _xlfn.XLOOKUP(B111&amp;"|"&amp;E111,
        Calculate_cap_ener!$L$14:$L$21&amp;"|"&amp;Calculate_cap_ener!$I$14:$I$21,
        Calculate_cap_ener!$AI$14:$AI$21, "Not found", 0), LOOKUP(K111,Manufacture_MJ!$C$24:$D$24,Manufacture_MJ!$C$26:$D$26) + _xlfn.XLOOKUP(J111,Manufacture_MJ!$C$18:$N$18,Manufacture_MJ!$C$20:$N$20) + _xlfn.XLOOKUP(B111&amp;"|"&amp;E111,
        Calculate_cap_ener!$L$14:$L$21&amp;"|"&amp;Calculate_cap_ener!$I$14:$I$21,
        Calculate_cap_ener!$AI$14:$AI$21, "Not found", 0))</f>
        <v>122299.57839687308</v>
      </c>
      <c r="M111" s="8">
        <f>_xlfn.XLOOKUP(J111,Manufacture_MJ!$C$18:$N$18,Manufacture_MJ!$C$20:$N$20)</f>
        <v>51534.195201054921</v>
      </c>
      <c r="N111" s="8" cm="1">
        <f t="array" ref="N111">_xlfn.SWITCH(K111,200,0,LOOKUP(K111,Manufacture_MJ!$C$24:$D$24,Manufacture_MJ!$C$26:$D$26))</f>
        <v>20573.31818181818</v>
      </c>
      <c r="O111" s="5" cm="1">
        <f t="array" ref="O111">_xlfn.XLOOKUP(B111&amp;"|"&amp;E111,
        Calculate_cap_ener!$L$14:$L$21&amp;"|"&amp;Calculate_cap_ener!$I$14:$I$21,
        Calculate_cap_ener!$AI$14:$AI$21, "Not found", 0)</f>
        <v>50192.065013999971</v>
      </c>
      <c r="P111" s="8">
        <f t="shared" si="10"/>
        <v>122299.57839687308</v>
      </c>
      <c r="Q111" s="8" cm="1">
        <f t="array" ref="Q111">_xlfn.SWITCH(K111,200,_xlfn.XLOOKUP(J111,Distribution_MJ!$C$18:$N$18,Distribution_MJ!$C$20:$N$20) + _xlfn.XLOOKUP(B111&amp;"|"&amp;E111,
        Calculate_cap_ener!$L$14:$L$21&amp;"|"&amp;Calculate_cap_ener!$I$14:$I$21,
        Calculate_cap_ener!$AP$14:$AP$21, "Not found", 0), LOOKUP(K111,Distribution_MJ!$C$24:$D$24,Distribution_MJ!$C$26:$D$26) + _xlfn.XLOOKUP(J111,Distribution_MJ!$C$18:$N$18,Distribution_MJ!$C$20:$N$20) + _xlfn.XLOOKUP(B111&amp;"|"&amp;E111,
        Calculate_cap_ener!$L$14:$L$21&amp;"|"&amp;Calculate_cap_ener!$I$14:$I$21,
        Calculate_cap_ener!$AP$14:$AP$21, "Not found", 0))</f>
        <v>3054.0917881642463</v>
      </c>
      <c r="R111" s="8" cm="1">
        <f t="array" ref="R111">_xlfn.SWITCH(K111,200,_xlfn.XLOOKUP(J111,Installation_MJ!$C$18:$N$18,Installation_MJ!$C$20:$N$20) + _xlfn.XLOOKUP(B111&amp;"|"&amp;E111,
        Calculate_cap_ener!$L$14:$L$21&amp;"|"&amp;Calculate_cap_ener!$I$14:$I$21,
        Calculate_cap_ener!$AW$14:$AW$21, "Not found", 0), LOOKUP(K111,Installation_MJ!$C$24:$D$24,Installation_MJ!$C$26:$D$26) + _xlfn.XLOOKUP(J111,Installation_MJ!$C$18:$N$18,Installation_MJ!$C$20:$N$20) + _xlfn.XLOOKUP(B111&amp;"|"&amp;E111,
        Calculate_cap_ener!$L$14:$L$21&amp;"|"&amp;Calculate_cap_ener!$I$14:$I$21,
        Calculate_cap_ener!$AW$14:$AW$21, "Not found", 0))</f>
        <v>262.37652419939946</v>
      </c>
      <c r="S111" s="8" cm="1">
        <f t="array" ref="S111">_xlfn.SWITCH(K111,200,_xlfn.XLOOKUP(J111,EOL_MJ!$C$18:$N$18,EOL_MJ!$C$20:$N$20) + _xlfn.XLOOKUP(B111&amp;"|"&amp;E111,
        Calculate_cap_ener!$L$14:$L$21&amp;"|"&amp;Calculate_cap_ener!$I$14:$I$21,
        Calculate_cap_ener!$BD$14:$BD$21, "Not found", 0), LOOKUP(K111,EOL_MJ!$C$24:$D$24,EOL_MJ!$C$26:$D$26) + _xlfn.XLOOKUP(J111,EOL_MJ!$C$18:$N$18,EOL_MJ!$C$20:$N$20) + _xlfn.XLOOKUP(B111&amp;"|"&amp;E111,
        Calculate_cap_ener!$L$14:$L$21&amp;"|"&amp;Calculate_cap_ener!$I$14:$I$21,
        Calculate_cap_ener!$BD$14:$BD$21, "Not found", 0))</f>
        <v>26014.434894763635</v>
      </c>
      <c r="T111" s="8" cm="1">
        <f t="array" ref="T111">_xlfn.SWITCH(K111,200,_xlfn.XLOOKUP(J111,Other!$C$18:$N$18,Other!$C$20:$N$20) + _xlfn.XLOOKUP(B111&amp;"|"&amp;E111,
        Calculate_cap_ener!$L$14:$L$21&amp;"|"&amp;Calculate_cap_ener!$I$14:$I$21,
        Calculate_cap_ener!$BK$14:$BK$21, "Not found", 0), LOOKUP(K111,Other!$C$24:$D$24,Other!$C$26:$D$26) + _xlfn.XLOOKUP(J111,Other!$C$18:$N$18,Other!$C$20:$N$20) + _xlfn.XLOOKUP(B111&amp;"|"&amp;E111,
        Calculate_cap_ener!$L$14:$L$21&amp;"|"&amp;Calculate_cap_ener!$I$14:$I$21,
        Calculate_cap_ener!$BK$14:$BK$21, "Not found", 0))</f>
        <v>74344.229476851237</v>
      </c>
    </row>
    <row r="112" spans="1:20" x14ac:dyDescent="0.25">
      <c r="A112" s="5"/>
      <c r="B112" s="5" t="str">
        <f t="shared" si="7"/>
        <v>Mod-Nom</v>
      </c>
      <c r="C112" s="5" t="s">
        <v>38</v>
      </c>
      <c r="D112" s="5" t="str">
        <f t="shared" si="6"/>
        <v>Nom</v>
      </c>
      <c r="E112" s="5" t="s">
        <v>3</v>
      </c>
      <c r="F112" s="5" t="s">
        <v>54</v>
      </c>
      <c r="G112" s="5" t="s">
        <v>54</v>
      </c>
      <c r="H112" s="5">
        <v>8.5</v>
      </c>
      <c r="I112" s="5"/>
      <c r="J112" s="5">
        <f t="shared" si="8"/>
        <v>9</v>
      </c>
      <c r="K112" s="5">
        <v>200</v>
      </c>
      <c r="L112" s="8" cm="1">
        <f t="array" ref="L112">_xlfn.SWITCH(K112,200,_xlfn.XLOOKUP(J112,Manufacture_MJ!$C$18:$N$18,Manufacture_MJ!$C$20:$N$20) + _xlfn.XLOOKUP(B112&amp;"|"&amp;E112,
        Calculate_cap_ener!$L$14:$L$21&amp;"|"&amp;Calculate_cap_ener!$I$14:$I$21,
        Calculate_cap_ener!$AI$14:$AI$21, "Not found", 0), LOOKUP(K112,Manufacture_MJ!$C$24:$D$24,Manufacture_MJ!$C$26:$D$26) + _xlfn.XLOOKUP(J112,Manufacture_MJ!$C$18:$N$18,Manufacture_MJ!$C$20:$N$20) + _xlfn.XLOOKUP(B112&amp;"|"&amp;E112,
        Calculate_cap_ener!$L$14:$L$21&amp;"|"&amp;Calculate_cap_ener!$I$14:$I$21,
        Calculate_cap_ener!$AI$14:$AI$21, "Not found", 0))</f>
        <v>109990.46376706556</v>
      </c>
      <c r="M112" s="8">
        <f>_xlfn.XLOOKUP(J112,Manufacture_MJ!$C$18:$N$18,Manufacture_MJ!$C$20:$N$20)</f>
        <v>49760.002199565621</v>
      </c>
      <c r="N112" s="8" cm="1">
        <f t="array" ref="N112">_xlfn.SWITCH(K112,200,0,LOOKUP(K112,Manufacture_MJ!$C$24:$D$24,Manufacture_MJ!$C$26:$D$26))</f>
        <v>0</v>
      </c>
      <c r="O112" s="5" cm="1">
        <f t="array" ref="O112">_xlfn.XLOOKUP(B112&amp;"|"&amp;E112,
        Calculate_cap_ener!$L$14:$L$21&amp;"|"&amp;Calculate_cap_ener!$I$14:$I$21,
        Calculate_cap_ener!$AI$14:$AI$21, "Not found", 0)</f>
        <v>60230.461567499944</v>
      </c>
      <c r="P112" s="8">
        <f t="shared" si="10"/>
        <v>109990.46376706556</v>
      </c>
      <c r="Q112" s="8" cm="1">
        <f t="array" ref="Q112">_xlfn.SWITCH(K112,200,_xlfn.XLOOKUP(J112,Distribution_MJ!$C$18:$N$18,Distribution_MJ!$C$20:$N$20) + _xlfn.XLOOKUP(B112&amp;"|"&amp;E112,
        Calculate_cap_ener!$L$14:$L$21&amp;"|"&amp;Calculate_cap_ener!$I$14:$I$21,
        Calculate_cap_ener!$AP$14:$AP$21, "Not found", 0), LOOKUP(K112,Distribution_MJ!$C$24:$D$24,Distribution_MJ!$C$26:$D$26) + _xlfn.XLOOKUP(J112,Distribution_MJ!$C$18:$N$18,Distribution_MJ!$C$20:$N$20) + _xlfn.XLOOKUP(B112&amp;"|"&amp;E112,
        Calculate_cap_ener!$L$14:$L$21&amp;"|"&amp;Calculate_cap_ener!$I$14:$I$21,
        Calculate_cap_ener!$AP$14:$AP$21, "Not found", 0))</f>
        <v>2673.9737040126747</v>
      </c>
      <c r="R112" s="8" cm="1">
        <f t="array" ref="R112">_xlfn.SWITCH(K112,200,_xlfn.XLOOKUP(J112,Installation_MJ!$C$18:$N$18,Installation_MJ!$C$20:$N$20) + _xlfn.XLOOKUP(B112&amp;"|"&amp;E112,
        Calculate_cap_ener!$L$14:$L$21&amp;"|"&amp;Calculate_cap_ener!$I$14:$I$21,
        Calculate_cap_ener!$AW$14:$AW$21, "Not found", 0), LOOKUP(K112,Installation_MJ!$C$24:$D$24,Installation_MJ!$C$26:$D$26) + _xlfn.XLOOKUP(J112,Installation_MJ!$C$18:$N$18,Installation_MJ!$C$20:$N$20) + _xlfn.XLOOKUP(B112&amp;"|"&amp;E112,
        Calculate_cap_ener!$L$14:$L$21&amp;"|"&amp;Calculate_cap_ener!$I$14:$I$21,
        Calculate_cap_ener!$AW$14:$AW$21, "Not found", 0))</f>
        <v>215.55959559076553</v>
      </c>
      <c r="S112" s="8" cm="1">
        <f t="array" ref="S112">_xlfn.SWITCH(K112,200,_xlfn.XLOOKUP(J112,EOL_MJ!$C$18:$N$18,EOL_MJ!$C$20:$N$20) + _xlfn.XLOOKUP(B112&amp;"|"&amp;E112,
        Calculate_cap_ener!$L$14:$L$21&amp;"|"&amp;Calculate_cap_ener!$I$14:$I$21,
        Calculate_cap_ener!$BD$14:$BD$21, "Not found", 0), LOOKUP(K112,EOL_MJ!$C$24:$D$24,EOL_MJ!$C$26:$D$26) + _xlfn.XLOOKUP(J112,EOL_MJ!$C$18:$N$18,EOL_MJ!$C$20:$N$20) + _xlfn.XLOOKUP(B112&amp;"|"&amp;E112,
        Calculate_cap_ener!$L$14:$L$21&amp;"|"&amp;Calculate_cap_ener!$I$14:$I$21,
        Calculate_cap_ener!$BD$14:$BD$21, "Not found", 0))</f>
        <v>6067.0288979999996</v>
      </c>
      <c r="T112" s="8" cm="1">
        <f t="array" ref="T112">_xlfn.SWITCH(K112,200,_xlfn.XLOOKUP(J112,Other!$C$18:$N$18,Other!$C$20:$N$20) + _xlfn.XLOOKUP(B112&amp;"|"&amp;E112,
        Calculate_cap_ener!$L$14:$L$21&amp;"|"&amp;Calculate_cap_ener!$I$14:$I$21,
        Calculate_cap_ener!$BK$14:$BK$21, "Not found", 0), LOOKUP(K112,Other!$C$24:$D$24,Other!$C$26:$D$26) + _xlfn.XLOOKUP(J112,Other!$C$18:$N$18,Other!$C$20:$N$20) + _xlfn.XLOOKUP(B112&amp;"|"&amp;E112,
        Calculate_cap_ener!$L$14:$L$21&amp;"|"&amp;Calculate_cap_ener!$I$14:$I$21,
        Calculate_cap_ener!$BK$14:$BK$21, "Not found", 0))</f>
        <v>85723.700991187201</v>
      </c>
    </row>
    <row r="113" spans="1:20" x14ac:dyDescent="0.25">
      <c r="A113" s="5"/>
      <c r="B113" s="5" t="str">
        <f t="shared" si="7"/>
        <v>Mod-Nom</v>
      </c>
      <c r="C113" s="5" t="s">
        <v>38</v>
      </c>
      <c r="D113" s="5" t="str">
        <f t="shared" si="6"/>
        <v>Nom</v>
      </c>
      <c r="E113" s="5" t="s">
        <v>3</v>
      </c>
      <c r="F113" s="5" t="s">
        <v>54</v>
      </c>
      <c r="G113" s="5" t="s">
        <v>54</v>
      </c>
      <c r="H113" s="5">
        <v>11.2</v>
      </c>
      <c r="I113" s="5"/>
      <c r="J113" s="5">
        <f t="shared" si="8"/>
        <v>12</v>
      </c>
      <c r="K113" s="5">
        <v>200</v>
      </c>
      <c r="L113" s="8" cm="1">
        <f t="array" ref="L113">_xlfn.SWITCH(K113,200,_xlfn.XLOOKUP(J113,Manufacture_MJ!$C$18:$N$18,Manufacture_MJ!$C$20:$N$20) + _xlfn.XLOOKUP(B113&amp;"|"&amp;E113,
        Calculate_cap_ener!$L$14:$L$21&amp;"|"&amp;Calculate_cap_ener!$I$14:$I$21,
        Calculate_cap_ener!$AI$14:$AI$21, "Not found", 0), LOOKUP(K113,Manufacture_MJ!$C$24:$D$24,Manufacture_MJ!$C$26:$D$26) + _xlfn.XLOOKUP(J113,Manufacture_MJ!$C$18:$N$18,Manufacture_MJ!$C$20:$N$20) + _xlfn.XLOOKUP(B113&amp;"|"&amp;E113,
        Calculate_cap_ener!$L$14:$L$21&amp;"|"&amp;Calculate_cap_ener!$I$14:$I$21,
        Calculate_cap_ener!$AI$14:$AI$21, "Not found", 0))</f>
        <v>111054.97956795919</v>
      </c>
      <c r="M113" s="8">
        <f>_xlfn.XLOOKUP(J113,Manufacture_MJ!$C$18:$N$18,Manufacture_MJ!$C$20:$N$20)</f>
        <v>50824.518000459248</v>
      </c>
      <c r="N113" s="8" cm="1">
        <f t="array" ref="N113">_xlfn.SWITCH(K113,200,0,LOOKUP(K113,Manufacture_MJ!$C$24:$D$24,Manufacture_MJ!$C$26:$D$26))</f>
        <v>0</v>
      </c>
      <c r="O113" s="5" cm="1">
        <f t="array" ref="O113">_xlfn.XLOOKUP(B113&amp;"|"&amp;E113,
        Calculate_cap_ener!$L$14:$L$21&amp;"|"&amp;Calculate_cap_ener!$I$14:$I$21,
        Calculate_cap_ener!$AI$14:$AI$21, "Not found", 0)</f>
        <v>60230.461567499944</v>
      </c>
      <c r="P113" s="8">
        <f t="shared" si="10"/>
        <v>111054.97956795919</v>
      </c>
      <c r="Q113" s="8" cm="1">
        <f t="array" ref="Q113">_xlfn.SWITCH(K113,200,_xlfn.XLOOKUP(J113,Distribution_MJ!$C$18:$N$18,Distribution_MJ!$C$20:$N$20) + _xlfn.XLOOKUP(B113&amp;"|"&amp;E113,
        Calculate_cap_ener!$L$14:$L$21&amp;"|"&amp;Calculate_cap_ener!$I$14:$I$21,
        Calculate_cap_ener!$AP$14:$AP$21, "Not found", 0), LOOKUP(K113,Distribution_MJ!$C$24:$D$24,Distribution_MJ!$C$26:$D$26) + _xlfn.XLOOKUP(J113,Distribution_MJ!$C$18:$N$18,Distribution_MJ!$C$20:$N$20) + _xlfn.XLOOKUP(B113&amp;"|"&amp;E113,
        Calculate_cap_ener!$L$14:$L$21&amp;"|"&amp;Calculate_cap_ener!$I$14:$I$21,
        Calculate_cap_ener!$AP$14:$AP$21, "Not found", 0))</f>
        <v>2772.0865834181241</v>
      </c>
      <c r="R113" s="8" cm="1">
        <f t="array" ref="R113">_xlfn.SWITCH(K113,200,_xlfn.XLOOKUP(J113,Installation_MJ!$C$18:$N$18,Installation_MJ!$C$20:$N$20) + _xlfn.XLOOKUP(B113&amp;"|"&amp;E113,
        Calculate_cap_ener!$L$14:$L$21&amp;"|"&amp;Calculate_cap_ener!$I$14:$I$21,
        Calculate_cap_ener!$AW$14:$AW$21, "Not found", 0), LOOKUP(K113,Installation_MJ!$C$24:$D$24,Installation_MJ!$C$26:$D$26) + _xlfn.XLOOKUP(J113,Installation_MJ!$C$18:$N$18,Installation_MJ!$C$20:$N$20) + _xlfn.XLOOKUP(B113&amp;"|"&amp;E113,
        Calculate_cap_ener!$L$14:$L$21&amp;"|"&amp;Calculate_cap_ener!$I$14:$I$21,
        Calculate_cap_ener!$AW$14:$AW$21, "Not found", 0))</f>
        <v>222.93683037083221</v>
      </c>
      <c r="S113" s="8" cm="1">
        <f t="array" ref="S113">_xlfn.SWITCH(K113,200,_xlfn.XLOOKUP(J113,EOL_MJ!$C$18:$N$18,EOL_MJ!$C$20:$N$20) + _xlfn.XLOOKUP(B113&amp;"|"&amp;E113,
        Calculate_cap_ener!$L$14:$L$21&amp;"|"&amp;Calculate_cap_ener!$I$14:$I$21,
        Calculate_cap_ener!$BD$14:$BD$21, "Not found", 0), LOOKUP(K113,EOL_MJ!$C$24:$D$24,EOL_MJ!$C$26:$D$26) + _xlfn.XLOOKUP(J113,EOL_MJ!$C$18:$N$18,EOL_MJ!$C$20:$N$20) + _xlfn.XLOOKUP(B113&amp;"|"&amp;E113,
        Calculate_cap_ener!$L$14:$L$21&amp;"|"&amp;Calculate_cap_ener!$I$14:$I$21,
        Calculate_cap_ener!$BD$14:$BD$21, "Not found", 0))</f>
        <v>6067.0288979999996</v>
      </c>
      <c r="T113" s="8" cm="1">
        <f t="array" ref="T113">_xlfn.SWITCH(K113,200,_xlfn.XLOOKUP(J113,Other!$C$18:$N$18,Other!$C$20:$N$20) + _xlfn.XLOOKUP(B113&amp;"|"&amp;E113,
        Calculate_cap_ener!$L$14:$L$21&amp;"|"&amp;Calculate_cap_ener!$I$14:$I$21,
        Calculate_cap_ener!$BK$14:$BK$21, "Not found", 0), LOOKUP(K113,Other!$C$24:$D$24,Other!$C$26:$D$26) + _xlfn.XLOOKUP(J113,Other!$C$18:$N$18,Other!$C$20:$N$20) + _xlfn.XLOOKUP(B113&amp;"|"&amp;E113,
        Calculate_cap_ener!$L$14:$L$21&amp;"|"&amp;Calculate_cap_ener!$I$14:$I$21,
        Calculate_cap_ener!$BK$14:$BK$21, "Not found", 0))</f>
        <v>85789.370241075623</v>
      </c>
    </row>
    <row r="114" spans="1:20" x14ac:dyDescent="0.25">
      <c r="A114" s="5"/>
      <c r="B114" s="5" t="str">
        <f t="shared" si="7"/>
        <v>Mod-Nom</v>
      </c>
      <c r="C114" s="5" t="s">
        <v>38</v>
      </c>
      <c r="D114" s="5" t="str">
        <f t="shared" si="6"/>
        <v>Nom</v>
      </c>
      <c r="E114" s="5" t="s">
        <v>3</v>
      </c>
      <c r="F114" s="5" t="s">
        <v>54</v>
      </c>
      <c r="G114" s="5" t="s">
        <v>54</v>
      </c>
      <c r="H114" s="5">
        <v>14</v>
      </c>
      <c r="I114" s="5"/>
      <c r="J114" s="5">
        <f t="shared" si="8"/>
        <v>14</v>
      </c>
      <c r="K114" s="5">
        <v>200</v>
      </c>
      <c r="L114" s="8" cm="1">
        <f t="array" ref="L114">_xlfn.SWITCH(K114,200,_xlfn.XLOOKUP(J114,Manufacture_MJ!$C$18:$N$18,Manufacture_MJ!$C$20:$N$20) + _xlfn.XLOOKUP(B114&amp;"|"&amp;E114,
        Calculate_cap_ener!$L$14:$L$21&amp;"|"&amp;Calculate_cap_ener!$I$14:$I$21,
        Calculate_cap_ener!$AI$14:$AI$21, "Not found", 0), LOOKUP(K114,Manufacture_MJ!$C$24:$D$24,Manufacture_MJ!$C$26:$D$26) + _xlfn.XLOOKUP(J114,Manufacture_MJ!$C$18:$N$18,Manufacture_MJ!$C$20:$N$20) + _xlfn.XLOOKUP(B114&amp;"|"&amp;E114,
        Calculate_cap_ener!$L$14:$L$21&amp;"|"&amp;Calculate_cap_ener!$I$14:$I$21,
        Calculate_cap_ener!$AI$14:$AI$21, "Not found", 0))</f>
        <v>111764.65676855487</v>
      </c>
      <c r="M114" s="8">
        <f>_xlfn.XLOOKUP(J114,Manufacture_MJ!$C$18:$N$18,Manufacture_MJ!$C$20:$N$20)</f>
        <v>51534.195201054921</v>
      </c>
      <c r="N114" s="8" cm="1">
        <f t="array" ref="N114">_xlfn.SWITCH(K114,200,0,LOOKUP(K114,Manufacture_MJ!$C$24:$D$24,Manufacture_MJ!$C$26:$D$26))</f>
        <v>0</v>
      </c>
      <c r="O114" s="5" cm="1">
        <f t="array" ref="O114">_xlfn.XLOOKUP(B114&amp;"|"&amp;E114,
        Calculate_cap_ener!$L$14:$L$21&amp;"|"&amp;Calculate_cap_ener!$I$14:$I$21,
        Calculate_cap_ener!$AI$14:$AI$21, "Not found", 0)</f>
        <v>60230.461567499944</v>
      </c>
      <c r="P114" s="8">
        <f t="shared" si="10"/>
        <v>111764.65676855487</v>
      </c>
      <c r="Q114" s="8" cm="1">
        <f t="array" ref="Q114">_xlfn.SWITCH(K114,200,_xlfn.XLOOKUP(J114,Distribution_MJ!$C$18:$N$18,Distribution_MJ!$C$20:$N$20) + _xlfn.XLOOKUP(B114&amp;"|"&amp;E114,
        Calculate_cap_ener!$L$14:$L$21&amp;"|"&amp;Calculate_cap_ener!$I$14:$I$21,
        Calculate_cap_ener!$AP$14:$AP$21, "Not found", 0), LOOKUP(K114,Distribution_MJ!$C$24:$D$24,Distribution_MJ!$C$26:$D$26) + _xlfn.XLOOKUP(J114,Distribution_MJ!$C$18:$N$18,Distribution_MJ!$C$20:$N$20) + _xlfn.XLOOKUP(B114&amp;"|"&amp;E114,
        Calculate_cap_ener!$L$14:$L$21&amp;"|"&amp;Calculate_cap_ener!$I$14:$I$21,
        Calculate_cap_ener!$AP$14:$AP$21, "Not found", 0))</f>
        <v>2837.4951696884245</v>
      </c>
      <c r="R114" s="8" cm="1">
        <f t="array" ref="R114">_xlfn.SWITCH(K114,200,_xlfn.XLOOKUP(J114,Installation_MJ!$C$18:$N$18,Installation_MJ!$C$20:$N$20) + _xlfn.XLOOKUP(B114&amp;"|"&amp;E114,
        Calculate_cap_ener!$L$14:$L$21&amp;"|"&amp;Calculate_cap_ener!$I$14:$I$21,
        Calculate_cap_ener!$AW$14:$AW$21, "Not found", 0), LOOKUP(K114,Installation_MJ!$C$24:$D$24,Installation_MJ!$C$26:$D$26) + _xlfn.XLOOKUP(J114,Installation_MJ!$C$18:$N$18,Installation_MJ!$C$20:$N$20) + _xlfn.XLOOKUP(B114&amp;"|"&amp;E114,
        Calculate_cap_ener!$L$14:$L$21&amp;"|"&amp;Calculate_cap_ener!$I$14:$I$21,
        Calculate_cap_ener!$AW$14:$AW$21, "Not found", 0))</f>
        <v>227.85498689087672</v>
      </c>
      <c r="S114" s="8" cm="1">
        <f t="array" ref="S114">_xlfn.SWITCH(K114,200,_xlfn.XLOOKUP(J114,EOL_MJ!$C$18:$N$18,EOL_MJ!$C$20:$N$20) + _xlfn.XLOOKUP(B114&amp;"|"&amp;E114,
        Calculate_cap_ener!$L$14:$L$21&amp;"|"&amp;Calculate_cap_ener!$I$14:$I$21,
        Calculate_cap_ener!$BD$14:$BD$21, "Not found", 0), LOOKUP(K114,EOL_MJ!$C$24:$D$24,EOL_MJ!$C$26:$D$26) + _xlfn.XLOOKUP(J114,EOL_MJ!$C$18:$N$18,EOL_MJ!$C$20:$N$20) + _xlfn.XLOOKUP(B114&amp;"|"&amp;E114,
        Calculate_cap_ener!$L$14:$L$21&amp;"|"&amp;Calculate_cap_ener!$I$14:$I$21,
        Calculate_cap_ener!$BD$14:$BD$21, "Not found", 0))</f>
        <v>6067.0288979999996</v>
      </c>
      <c r="T114" s="8" cm="1">
        <f t="array" ref="T114">_xlfn.SWITCH(K114,200,_xlfn.XLOOKUP(J114,Other!$C$18:$N$18,Other!$C$20:$N$20) + _xlfn.XLOOKUP(B114&amp;"|"&amp;E114,
        Calculate_cap_ener!$L$14:$L$21&amp;"|"&amp;Calculate_cap_ener!$I$14:$I$21,
        Calculate_cap_ener!$BK$14:$BK$21, "Not found", 0), LOOKUP(K114,Other!$C$24:$D$24,Other!$C$26:$D$26) + _xlfn.XLOOKUP(J114,Other!$C$18:$N$18,Other!$C$20:$N$20) + _xlfn.XLOOKUP(B114&amp;"|"&amp;E114,
        Calculate_cap_ener!$L$14:$L$21&amp;"|"&amp;Calculate_cap_ener!$I$14:$I$21,
        Calculate_cap_ener!$BK$14:$BK$21, "Not found", 0))</f>
        <v>85833.149741001238</v>
      </c>
    </row>
    <row r="115" spans="1:20" x14ac:dyDescent="0.25">
      <c r="A115" s="5"/>
      <c r="B115" s="5" t="str">
        <f t="shared" si="7"/>
        <v>Mod-Nom</v>
      </c>
      <c r="C115" s="5" t="s">
        <v>38</v>
      </c>
      <c r="D115" s="5" t="str">
        <f t="shared" si="6"/>
        <v>Nom</v>
      </c>
      <c r="E115" s="5" t="s">
        <v>3</v>
      </c>
      <c r="F115" s="5" t="s">
        <v>55</v>
      </c>
      <c r="G115" s="5" t="s">
        <v>55</v>
      </c>
      <c r="H115" s="5">
        <v>5</v>
      </c>
      <c r="I115" s="5"/>
      <c r="J115" s="5">
        <f t="shared" si="8"/>
        <v>5</v>
      </c>
      <c r="K115" s="5">
        <v>500</v>
      </c>
      <c r="L115" s="8" cm="1">
        <f t="array" ref="L115">_xlfn.SWITCH(K115,200,_xlfn.XLOOKUP(J115,Manufacture_MJ!$C$18:$N$18,Manufacture_MJ!$C$20:$N$20) + _xlfn.XLOOKUP(B115&amp;"|"&amp;E115,
        Calculate_cap_ener!$L$14:$L$21&amp;"|"&amp;Calculate_cap_ener!$I$14:$I$21,
        Calculate_cap_ener!$AI$14:$AI$21, "Not found", 0), LOOKUP(K115,Manufacture_MJ!$C$24:$D$24,Manufacture_MJ!$C$26:$D$26) + _xlfn.XLOOKUP(J115,Manufacture_MJ!$C$18:$N$18,Manufacture_MJ!$C$20:$N$20) + _xlfn.XLOOKUP(B115&amp;"|"&amp;E115,
        Calculate_cap_ener!$L$14:$L$21&amp;"|"&amp;Calculate_cap_ener!$I$14:$I$21,
        Calculate_cap_ener!$AI$14:$AI$21, "Not found", 0))</f>
        <v>119184.70027496514</v>
      </c>
      <c r="M115" s="8">
        <f>_xlfn.XLOOKUP(J115,Manufacture_MJ!$C$18:$N$18,Manufacture_MJ!$C$20:$N$20)</f>
        <v>48340.647798374281</v>
      </c>
      <c r="N115" s="8" cm="1">
        <f t="array" ref="N115">_xlfn.SWITCH(K115,200,0,LOOKUP(K115,Manufacture_MJ!$C$24:$D$24,Manufacture_MJ!$C$26:$D$26))</f>
        <v>10613.59090909091</v>
      </c>
      <c r="O115" s="5" cm="1">
        <f t="array" ref="O115">_xlfn.XLOOKUP(B115&amp;"|"&amp;E115,
        Calculate_cap_ener!$L$14:$L$21&amp;"|"&amp;Calculate_cap_ener!$I$14:$I$21,
        Calculate_cap_ener!$AI$14:$AI$21, "Not found", 0)</f>
        <v>60230.461567499944</v>
      </c>
      <c r="P115" s="8">
        <f>SUM(M115:O115)</f>
        <v>119184.70027496514</v>
      </c>
      <c r="Q115" s="8" cm="1">
        <f t="array" ref="Q115">_xlfn.SWITCH(K115,200,_xlfn.XLOOKUP(J115,Distribution_MJ!$C$18:$N$18,Distribution_MJ!$C$20:$N$20) + _xlfn.XLOOKUP(B115&amp;"|"&amp;E115,
        Calculate_cap_ener!$L$14:$L$21&amp;"|"&amp;Calculate_cap_ener!$I$14:$I$21,
        Calculate_cap_ener!$AP$14:$AP$21, "Not found", 0), LOOKUP(K115,Distribution_MJ!$C$24:$D$24,Distribution_MJ!$C$26:$D$26) + _xlfn.XLOOKUP(J115,Distribution_MJ!$C$18:$N$18,Distribution_MJ!$C$20:$N$20) + _xlfn.XLOOKUP(B115&amp;"|"&amp;E115,
        Calculate_cap_ener!$L$14:$L$21&amp;"|"&amp;Calculate_cap_ener!$I$14:$I$21,
        Calculate_cap_ener!$AP$14:$AP$21, "Not found", 0))</f>
        <v>2730.0105062970747</v>
      </c>
      <c r="R115" s="8" cm="1">
        <f t="array" ref="R115">_xlfn.SWITCH(K115,200,_xlfn.XLOOKUP(J115,Installation_MJ!$C$18:$N$18,Installation_MJ!$C$20:$N$20) + _xlfn.XLOOKUP(B115&amp;"|"&amp;E115,
        Calculate_cap_ener!$L$14:$L$21&amp;"|"&amp;Calculate_cap_ener!$I$14:$I$21,
        Calculate_cap_ener!$AW$14:$AW$21, "Not found", 0), LOOKUP(K115,Installation_MJ!$C$24:$D$24,Installation_MJ!$C$26:$D$26) + _xlfn.XLOOKUP(J115,Installation_MJ!$C$18:$N$18,Installation_MJ!$C$20:$N$20) + _xlfn.XLOOKUP(B115&amp;"|"&amp;E115,
        Calculate_cap_ener!$L$14:$L$21&amp;"|"&amp;Calculate_cap_ener!$I$14:$I$21,
        Calculate_cap_ener!$AW$14:$AW$21, "Not found", 0))</f>
        <v>226.72328255067677</v>
      </c>
      <c r="S115" s="8" cm="1">
        <f t="array" ref="S115">_xlfn.SWITCH(K115,200,_xlfn.XLOOKUP(J115,EOL_MJ!$C$18:$N$18,EOL_MJ!$C$20:$N$20) + _xlfn.XLOOKUP(B115&amp;"|"&amp;E115,
        Calculate_cap_ener!$L$14:$L$21&amp;"|"&amp;Calculate_cap_ener!$I$14:$I$21,
        Calculate_cap_ener!$BD$14:$BD$21, "Not found", 0), LOOKUP(K115,EOL_MJ!$C$24:$D$24,EOL_MJ!$C$26:$D$26) + _xlfn.XLOOKUP(J115,EOL_MJ!$C$18:$N$18,EOL_MJ!$C$20:$N$20) + _xlfn.XLOOKUP(B115&amp;"|"&amp;E115,
        Calculate_cap_ener!$L$14:$L$21&amp;"|"&amp;Calculate_cap_ener!$I$14:$I$21,
        Calculate_cap_ener!$BD$14:$BD$21, "Not found", 0))</f>
        <v>16566.074352545453</v>
      </c>
      <c r="T115" s="8" cm="1">
        <f t="array" ref="T115">_xlfn.SWITCH(K115,200,_xlfn.XLOOKUP(J115,Other!$C$18:$N$18,Other!$C$20:$N$20) + _xlfn.XLOOKUP(B115&amp;"|"&amp;E115,
        Calculate_cap_ener!$L$14:$L$21&amp;"|"&amp;Calculate_cap_ener!$I$14:$I$21,
        Calculate_cap_ener!$BK$14:$BK$21, "Not found", 0), LOOKUP(K115,Other!$C$24:$D$24,Other!$C$26:$D$26) + _xlfn.XLOOKUP(J115,Other!$C$18:$N$18,Other!$C$20:$N$20) + _xlfn.XLOOKUP(B115&amp;"|"&amp;E115,
        Calculate_cap_ener!$L$14:$L$21&amp;"|"&amp;Calculate_cap_ener!$I$14:$I$21,
        Calculate_cap_ener!$BK$14:$BK$21, "Not found", 0))</f>
        <v>85636.141991335971</v>
      </c>
    </row>
    <row r="116" spans="1:20" x14ac:dyDescent="0.25">
      <c r="A116" s="5"/>
      <c r="B116" s="5" t="str">
        <f t="shared" si="7"/>
        <v>Mod-Nom</v>
      </c>
      <c r="C116" s="5" t="s">
        <v>38</v>
      </c>
      <c r="D116" s="5" t="str">
        <f t="shared" si="6"/>
        <v>Nom</v>
      </c>
      <c r="E116" s="5" t="s">
        <v>3</v>
      </c>
      <c r="F116" s="5" t="s">
        <v>55</v>
      </c>
      <c r="G116" s="5" t="s">
        <v>55</v>
      </c>
      <c r="H116" s="5">
        <v>6</v>
      </c>
      <c r="I116" s="5"/>
      <c r="J116" s="5">
        <f t="shared" si="8"/>
        <v>6</v>
      </c>
      <c r="K116" s="5">
        <v>500</v>
      </c>
      <c r="L116" s="8" cm="1">
        <f t="array" ref="L116">_xlfn.SWITCH(K116,200,_xlfn.XLOOKUP(J116,Manufacture_MJ!$C$18:$N$18,Manufacture_MJ!$C$20:$N$20) + _xlfn.XLOOKUP(B116&amp;"|"&amp;E116,
        Calculate_cap_ener!$L$14:$L$21&amp;"|"&amp;Calculate_cap_ener!$I$14:$I$21,
        Calculate_cap_ener!$AI$14:$AI$21, "Not found", 0), LOOKUP(K116,Manufacture_MJ!$C$24:$D$24,Manufacture_MJ!$C$26:$D$26) + _xlfn.XLOOKUP(J116,Manufacture_MJ!$C$18:$N$18,Manufacture_MJ!$C$20:$N$20) + _xlfn.XLOOKUP(B116&amp;"|"&amp;E116,
        Calculate_cap_ener!$L$14:$L$21&amp;"|"&amp;Calculate_cap_ener!$I$14:$I$21,
        Calculate_cap_ener!$AI$14:$AI$21, "Not found", 0))</f>
        <v>119539.53887526298</v>
      </c>
      <c r="M116" s="8">
        <f>_xlfn.XLOOKUP(J116,Manufacture_MJ!$C$18:$N$18,Manufacture_MJ!$C$20:$N$20)</f>
        <v>48695.486398672118</v>
      </c>
      <c r="N116" s="8" cm="1">
        <f t="array" ref="N116">_xlfn.SWITCH(K116,200,0,LOOKUP(K116,Manufacture_MJ!$C$24:$D$24,Manufacture_MJ!$C$26:$D$26))</f>
        <v>10613.59090909091</v>
      </c>
      <c r="O116" s="5" cm="1">
        <f t="array" ref="O116">_xlfn.XLOOKUP(B116&amp;"|"&amp;E116,
        Calculate_cap_ener!$L$14:$L$21&amp;"|"&amp;Calculate_cap_ener!$I$14:$I$21,
        Calculate_cap_ener!$AI$14:$AI$21, "Not found", 0)</f>
        <v>60230.461567499944</v>
      </c>
      <c r="P116" s="8">
        <f t="shared" ref="P116:P118" si="11">SUM(M116:O116)</f>
        <v>119539.53887526298</v>
      </c>
      <c r="Q116" s="8" cm="1">
        <f t="array" ref="Q116">_xlfn.SWITCH(K116,200,_xlfn.XLOOKUP(J116,Distribution_MJ!$C$18:$N$18,Distribution_MJ!$C$20:$N$20) + _xlfn.XLOOKUP(B116&amp;"|"&amp;E116,
        Calculate_cap_ener!$L$14:$L$21&amp;"|"&amp;Calculate_cap_ener!$I$14:$I$21,
        Calculate_cap_ener!$AP$14:$AP$21, "Not found", 0), LOOKUP(K116,Distribution_MJ!$C$24:$D$24,Distribution_MJ!$C$26:$D$26) + _xlfn.XLOOKUP(J116,Distribution_MJ!$C$18:$N$18,Distribution_MJ!$C$20:$N$20) + _xlfn.XLOOKUP(B116&amp;"|"&amp;E116,
        Calculate_cap_ener!$L$14:$L$21&amp;"|"&amp;Calculate_cap_ener!$I$14:$I$21,
        Calculate_cap_ener!$AP$14:$AP$21, "Not found", 0))</f>
        <v>2762.7147994322245</v>
      </c>
      <c r="R116" s="8" cm="1">
        <f t="array" ref="R116">_xlfn.SWITCH(K116,200,_xlfn.XLOOKUP(J116,Installation_MJ!$C$18:$N$18,Installation_MJ!$C$20:$N$20) + _xlfn.XLOOKUP(B116&amp;"|"&amp;E116,
        Calculate_cap_ener!$L$14:$L$21&amp;"|"&amp;Calculate_cap_ener!$I$14:$I$21,
        Calculate_cap_ener!$AW$14:$AW$21, "Not found", 0), LOOKUP(K116,Installation_MJ!$C$24:$D$24,Installation_MJ!$C$26:$D$26) + _xlfn.XLOOKUP(J116,Installation_MJ!$C$18:$N$18,Installation_MJ!$C$20:$N$20) + _xlfn.XLOOKUP(B116&amp;"|"&amp;E116,
        Calculate_cap_ener!$L$14:$L$21&amp;"|"&amp;Calculate_cap_ener!$I$14:$I$21,
        Calculate_cap_ener!$AW$14:$AW$21, "Not found", 0))</f>
        <v>229.18236081069904</v>
      </c>
      <c r="S116" s="8" cm="1">
        <f t="array" ref="S116">_xlfn.SWITCH(K116,200,_xlfn.XLOOKUP(J116,EOL_MJ!$C$18:$N$18,EOL_MJ!$C$20:$N$20) + _xlfn.XLOOKUP(B116&amp;"|"&amp;E116,
        Calculate_cap_ener!$L$14:$L$21&amp;"|"&amp;Calculate_cap_ener!$I$14:$I$21,
        Calculate_cap_ener!$BD$14:$BD$21, "Not found", 0), LOOKUP(K116,EOL_MJ!$C$24:$D$24,EOL_MJ!$C$26:$D$26) + _xlfn.XLOOKUP(J116,EOL_MJ!$C$18:$N$18,EOL_MJ!$C$20:$N$20) + _xlfn.XLOOKUP(B116&amp;"|"&amp;E116,
        Calculate_cap_ener!$L$14:$L$21&amp;"|"&amp;Calculate_cap_ener!$I$14:$I$21,
        Calculate_cap_ener!$BD$14:$BD$21, "Not found", 0))</f>
        <v>16566.074352545453</v>
      </c>
      <c r="T116" s="8" cm="1">
        <f t="array" ref="T116">_xlfn.SWITCH(K116,200,_xlfn.XLOOKUP(J116,Other!$C$18:$N$18,Other!$C$20:$N$20) + _xlfn.XLOOKUP(B116&amp;"|"&amp;E116,
        Calculate_cap_ener!$L$14:$L$21&amp;"|"&amp;Calculate_cap_ener!$I$14:$I$21,
        Calculate_cap_ener!$BK$14:$BK$21, "Not found", 0), LOOKUP(K116,Other!$C$24:$D$24,Other!$C$26:$D$26) + _xlfn.XLOOKUP(J116,Other!$C$18:$N$18,Other!$C$20:$N$20) + _xlfn.XLOOKUP(B116&amp;"|"&amp;E116,
        Calculate_cap_ener!$L$14:$L$21&amp;"|"&amp;Calculate_cap_ener!$I$14:$I$21,
        Calculate_cap_ener!$BK$14:$BK$21, "Not found", 0))</f>
        <v>85658.031741298779</v>
      </c>
    </row>
    <row r="117" spans="1:20" x14ac:dyDescent="0.25">
      <c r="A117" s="5"/>
      <c r="B117" s="5" t="str">
        <f t="shared" si="7"/>
        <v>Mod-Nom</v>
      </c>
      <c r="C117" s="5" t="s">
        <v>38</v>
      </c>
      <c r="D117" s="5" t="str">
        <f t="shared" si="6"/>
        <v>Nom</v>
      </c>
      <c r="E117" s="5" t="s">
        <v>3</v>
      </c>
      <c r="F117" s="5" t="s">
        <v>55</v>
      </c>
      <c r="G117" s="5" t="s">
        <v>55</v>
      </c>
      <c r="H117" s="5">
        <v>8.5</v>
      </c>
      <c r="I117" s="5"/>
      <c r="J117" s="5">
        <f t="shared" si="8"/>
        <v>9</v>
      </c>
      <c r="K117" s="5">
        <v>500</v>
      </c>
      <c r="L117" s="8" cm="1">
        <f t="array" ref="L117">_xlfn.SWITCH(K117,200,_xlfn.XLOOKUP(J117,Manufacture_MJ!$C$18:$N$18,Manufacture_MJ!$C$20:$N$20) + _xlfn.XLOOKUP(B117&amp;"|"&amp;E117,
        Calculate_cap_ener!$L$14:$L$21&amp;"|"&amp;Calculate_cap_ener!$I$14:$I$21,
        Calculate_cap_ener!$AI$14:$AI$21, "Not found", 0), LOOKUP(K117,Manufacture_MJ!$C$24:$D$24,Manufacture_MJ!$C$26:$D$26) + _xlfn.XLOOKUP(J117,Manufacture_MJ!$C$18:$N$18,Manufacture_MJ!$C$20:$N$20) + _xlfn.XLOOKUP(B117&amp;"|"&amp;E117,
        Calculate_cap_ener!$L$14:$L$21&amp;"|"&amp;Calculate_cap_ener!$I$14:$I$21,
        Calculate_cap_ener!$AI$14:$AI$21, "Not found", 0))</f>
        <v>120604.05467615648</v>
      </c>
      <c r="M117" s="8">
        <f>_xlfn.XLOOKUP(J117,Manufacture_MJ!$C$18:$N$18,Manufacture_MJ!$C$20:$N$20)</f>
        <v>49760.002199565621</v>
      </c>
      <c r="N117" s="8" cm="1">
        <f t="array" ref="N117">_xlfn.SWITCH(K117,200,0,LOOKUP(K117,Manufacture_MJ!$C$24:$D$24,Manufacture_MJ!$C$26:$D$26))</f>
        <v>10613.59090909091</v>
      </c>
      <c r="O117" s="5" cm="1">
        <f t="array" ref="O117">_xlfn.XLOOKUP(B117&amp;"|"&amp;E117,
        Calculate_cap_ener!$L$14:$L$21&amp;"|"&amp;Calculate_cap_ener!$I$14:$I$21,
        Calculate_cap_ener!$AI$14:$AI$21, "Not found", 0)</f>
        <v>60230.461567499944</v>
      </c>
      <c r="P117" s="8">
        <f t="shared" si="11"/>
        <v>120604.05467615648</v>
      </c>
      <c r="Q117" s="8" cm="1">
        <f t="array" ref="Q117">_xlfn.SWITCH(K117,200,_xlfn.XLOOKUP(J117,Distribution_MJ!$C$18:$N$18,Distribution_MJ!$C$20:$N$20) + _xlfn.XLOOKUP(B117&amp;"|"&amp;E117,
        Calculate_cap_ener!$L$14:$L$21&amp;"|"&amp;Calculate_cap_ener!$I$14:$I$21,
        Calculate_cap_ener!$AP$14:$AP$21, "Not found", 0), LOOKUP(K117,Distribution_MJ!$C$24:$D$24,Distribution_MJ!$C$26:$D$26) + _xlfn.XLOOKUP(J117,Distribution_MJ!$C$18:$N$18,Distribution_MJ!$C$20:$N$20) + _xlfn.XLOOKUP(B117&amp;"|"&amp;E117,
        Calculate_cap_ener!$L$14:$L$21&amp;"|"&amp;Calculate_cap_ener!$I$14:$I$21,
        Calculate_cap_ener!$AP$14:$AP$21, "Not found", 0))</f>
        <v>2860.8276788376743</v>
      </c>
      <c r="R117" s="8" cm="1">
        <f t="array" ref="R117">_xlfn.SWITCH(K117,200,_xlfn.XLOOKUP(J117,Installation_MJ!$C$18:$N$18,Installation_MJ!$C$20:$N$20) + _xlfn.XLOOKUP(B117&amp;"|"&amp;E117,
        Calculate_cap_ener!$L$14:$L$21&amp;"|"&amp;Calculate_cap_ener!$I$14:$I$21,
        Calculate_cap_ener!$AW$14:$AW$21, "Not found", 0), LOOKUP(K117,Installation_MJ!$C$24:$D$24,Installation_MJ!$C$26:$D$26) + _xlfn.XLOOKUP(J117,Installation_MJ!$C$18:$N$18,Installation_MJ!$C$20:$N$20) + _xlfn.XLOOKUP(B117&amp;"|"&amp;E117,
        Calculate_cap_ener!$L$14:$L$21&amp;"|"&amp;Calculate_cap_ener!$I$14:$I$21,
        Calculate_cap_ener!$AW$14:$AW$21, "Not found", 0))</f>
        <v>236.55959559076553</v>
      </c>
      <c r="S117" s="8" cm="1">
        <f t="array" ref="S117">_xlfn.SWITCH(K117,200,_xlfn.XLOOKUP(J117,EOL_MJ!$C$18:$N$18,EOL_MJ!$C$20:$N$20) + _xlfn.XLOOKUP(B117&amp;"|"&amp;E117,
        Calculate_cap_ener!$L$14:$L$21&amp;"|"&amp;Calculate_cap_ener!$I$14:$I$21,
        Calculate_cap_ener!$BD$14:$BD$21, "Not found", 0), LOOKUP(K117,EOL_MJ!$C$24:$D$24,EOL_MJ!$C$26:$D$26) + _xlfn.XLOOKUP(J117,EOL_MJ!$C$18:$N$18,EOL_MJ!$C$20:$N$20) + _xlfn.XLOOKUP(B117&amp;"|"&amp;E117,
        Calculate_cap_ener!$L$14:$L$21&amp;"|"&amp;Calculate_cap_ener!$I$14:$I$21,
        Calculate_cap_ener!$BD$14:$BD$21, "Not found", 0))</f>
        <v>16566.074352545453</v>
      </c>
      <c r="T117" s="8" cm="1">
        <f t="array" ref="T117">_xlfn.SWITCH(K117,200,_xlfn.XLOOKUP(J117,Other!$C$18:$N$18,Other!$C$20:$N$20) + _xlfn.XLOOKUP(B117&amp;"|"&amp;E117,
        Calculate_cap_ener!$L$14:$L$21&amp;"|"&amp;Calculate_cap_ener!$I$14:$I$21,
        Calculate_cap_ener!$BK$14:$BK$21, "Not found", 0), LOOKUP(K117,Other!$C$24:$D$24,Other!$C$26:$D$26) + _xlfn.XLOOKUP(J117,Other!$C$18:$N$18,Other!$C$20:$N$20) + _xlfn.XLOOKUP(B117&amp;"|"&amp;E117,
        Calculate_cap_ener!$L$14:$L$21&amp;"|"&amp;Calculate_cap_ener!$I$14:$I$21,
        Calculate_cap_ener!$BK$14:$BK$21, "Not found", 0))</f>
        <v>85723.700991187201</v>
      </c>
    </row>
    <row r="118" spans="1:20" x14ac:dyDescent="0.25">
      <c r="A118" s="5"/>
      <c r="B118" s="5" t="str">
        <f t="shared" si="7"/>
        <v>Mod-Nom</v>
      </c>
      <c r="C118" s="5" t="s">
        <v>38</v>
      </c>
      <c r="D118" s="5" t="str">
        <f t="shared" si="6"/>
        <v>Nom</v>
      </c>
      <c r="E118" s="5" t="s">
        <v>3</v>
      </c>
      <c r="F118" s="5" t="s">
        <v>55</v>
      </c>
      <c r="G118" s="5" t="s">
        <v>55</v>
      </c>
      <c r="H118" s="5">
        <v>14</v>
      </c>
      <c r="I118" s="5"/>
      <c r="J118" s="5">
        <f t="shared" si="8"/>
        <v>14</v>
      </c>
      <c r="K118" s="5">
        <v>500</v>
      </c>
      <c r="L118" s="8" cm="1">
        <f t="array" ref="L118">_xlfn.SWITCH(K118,200,_xlfn.XLOOKUP(J118,Manufacture_MJ!$C$18:$N$18,Manufacture_MJ!$C$20:$N$20) + _xlfn.XLOOKUP(B118&amp;"|"&amp;E118,
        Calculate_cap_ener!$L$14:$L$21&amp;"|"&amp;Calculate_cap_ener!$I$14:$I$21,
        Calculate_cap_ener!$AI$14:$AI$21, "Not found", 0), LOOKUP(K118,Manufacture_MJ!$C$24:$D$24,Manufacture_MJ!$C$26:$D$26) + _xlfn.XLOOKUP(J118,Manufacture_MJ!$C$18:$N$18,Manufacture_MJ!$C$20:$N$20) + _xlfn.XLOOKUP(B118&amp;"|"&amp;E118,
        Calculate_cap_ener!$L$14:$L$21&amp;"|"&amp;Calculate_cap_ener!$I$14:$I$21,
        Calculate_cap_ener!$AI$14:$AI$21, "Not found", 0))</f>
        <v>122378.24767764578</v>
      </c>
      <c r="M118" s="8">
        <f>_xlfn.XLOOKUP(J118,Manufacture_MJ!$C$18:$N$18,Manufacture_MJ!$C$20:$N$20)</f>
        <v>51534.195201054921</v>
      </c>
      <c r="N118" s="8" cm="1">
        <f t="array" ref="N118">_xlfn.SWITCH(K118,200,0,LOOKUP(K118,Manufacture_MJ!$C$24:$D$24,Manufacture_MJ!$C$26:$D$26))</f>
        <v>10613.59090909091</v>
      </c>
      <c r="O118" s="5" cm="1">
        <f t="array" ref="O118">_xlfn.XLOOKUP(B118&amp;"|"&amp;E118,
        Calculate_cap_ener!$L$14:$L$21&amp;"|"&amp;Calculate_cap_ener!$I$14:$I$21,
        Calculate_cap_ener!$AI$14:$AI$21, "Not found", 0)</f>
        <v>60230.461567499944</v>
      </c>
      <c r="P118" s="8">
        <f t="shared" si="11"/>
        <v>122378.24767764578</v>
      </c>
      <c r="Q118" s="8" cm="1">
        <f t="array" ref="Q118">_xlfn.SWITCH(K118,200,_xlfn.XLOOKUP(J118,Distribution_MJ!$C$18:$N$18,Distribution_MJ!$C$20:$N$20) + _xlfn.XLOOKUP(B118&amp;"|"&amp;E118,
        Calculate_cap_ener!$L$14:$L$21&amp;"|"&amp;Calculate_cap_ener!$I$14:$I$21,
        Calculate_cap_ener!$AP$14:$AP$21, "Not found", 0), LOOKUP(K118,Distribution_MJ!$C$24:$D$24,Distribution_MJ!$C$26:$D$26) + _xlfn.XLOOKUP(J118,Distribution_MJ!$C$18:$N$18,Distribution_MJ!$C$20:$N$20) + _xlfn.XLOOKUP(B118&amp;"|"&amp;E118,
        Calculate_cap_ener!$L$14:$L$21&amp;"|"&amp;Calculate_cap_ener!$I$14:$I$21,
        Calculate_cap_ener!$AP$14:$AP$21, "Not found", 0))</f>
        <v>3024.3491445134241</v>
      </c>
      <c r="R118" s="8" cm="1">
        <f t="array" ref="R118">_xlfn.SWITCH(K118,200,_xlfn.XLOOKUP(J118,Installation_MJ!$C$18:$N$18,Installation_MJ!$C$20:$N$20) + _xlfn.XLOOKUP(B118&amp;"|"&amp;E118,
        Calculate_cap_ener!$L$14:$L$21&amp;"|"&amp;Calculate_cap_ener!$I$14:$I$21,
        Calculate_cap_ener!$AW$14:$AW$21, "Not found", 0), LOOKUP(K118,Installation_MJ!$C$24:$D$24,Installation_MJ!$C$26:$D$26) + _xlfn.XLOOKUP(J118,Installation_MJ!$C$18:$N$18,Installation_MJ!$C$20:$N$20) + _xlfn.XLOOKUP(B118&amp;"|"&amp;E118,
        Calculate_cap_ener!$L$14:$L$21&amp;"|"&amp;Calculate_cap_ener!$I$14:$I$21,
        Calculate_cap_ener!$AW$14:$AW$21, "Not found", 0))</f>
        <v>248.85498689087672</v>
      </c>
      <c r="S118" s="8" cm="1">
        <f t="array" ref="S118">_xlfn.SWITCH(K118,200,_xlfn.XLOOKUP(J118,EOL_MJ!$C$18:$N$18,EOL_MJ!$C$20:$N$20) + _xlfn.XLOOKUP(B118&amp;"|"&amp;E118,
        Calculate_cap_ener!$L$14:$L$21&amp;"|"&amp;Calculate_cap_ener!$I$14:$I$21,
        Calculate_cap_ener!$BD$14:$BD$21, "Not found", 0), LOOKUP(K118,EOL_MJ!$C$24:$D$24,EOL_MJ!$C$26:$D$26) + _xlfn.XLOOKUP(J118,EOL_MJ!$C$18:$N$18,EOL_MJ!$C$20:$N$20) + _xlfn.XLOOKUP(B118&amp;"|"&amp;E118,
        Calculate_cap_ener!$L$14:$L$21&amp;"|"&amp;Calculate_cap_ener!$I$14:$I$21,
        Calculate_cap_ener!$BD$14:$BD$21, "Not found", 0))</f>
        <v>16566.074352545453</v>
      </c>
      <c r="T118" s="8" cm="1">
        <f t="array" ref="T118">_xlfn.SWITCH(K118,200,_xlfn.XLOOKUP(J118,Other!$C$18:$N$18,Other!$C$20:$N$20) + _xlfn.XLOOKUP(B118&amp;"|"&amp;E118,
        Calculate_cap_ener!$L$14:$L$21&amp;"|"&amp;Calculate_cap_ener!$I$14:$I$21,
        Calculate_cap_ener!$BK$14:$BK$21, "Not found", 0), LOOKUP(K118,Other!$C$24:$D$24,Other!$C$26:$D$26) + _xlfn.XLOOKUP(J118,Other!$C$18:$N$18,Other!$C$20:$N$20) + _xlfn.XLOOKUP(B118&amp;"|"&amp;E118,
        Calculate_cap_ener!$L$14:$L$21&amp;"|"&amp;Calculate_cap_ener!$I$14:$I$21,
        Calculate_cap_ener!$BK$14:$BK$21, "Not found", 0))</f>
        <v>85833.149741001238</v>
      </c>
    </row>
    <row r="119" spans="1:20" x14ac:dyDescent="0.25">
      <c r="A119" s="5"/>
      <c r="B119" s="5" t="str">
        <f t="shared" si="7"/>
        <v>Mod-Nom</v>
      </c>
      <c r="C119" s="5" t="s">
        <v>38</v>
      </c>
      <c r="D119" s="5" t="str">
        <f t="shared" si="6"/>
        <v>Nom</v>
      </c>
      <c r="E119" s="5" t="s">
        <v>3</v>
      </c>
      <c r="F119" s="5" t="s">
        <v>57</v>
      </c>
      <c r="G119" s="5" t="s">
        <v>57</v>
      </c>
      <c r="H119" s="5">
        <v>5</v>
      </c>
      <c r="I119" s="5"/>
      <c r="J119" s="5">
        <f t="shared" si="8"/>
        <v>5</v>
      </c>
      <c r="K119" s="5">
        <v>1000</v>
      </c>
      <c r="L119" s="8" cm="1">
        <f t="array" ref="L119">_xlfn.SWITCH(K119,200,_xlfn.XLOOKUP(J119,Manufacture_MJ!$C$18:$N$18,Manufacture_MJ!$C$20:$N$20) + _xlfn.XLOOKUP(B119&amp;"|"&amp;E119,
        Calculate_cap_ener!$L$14:$L$21&amp;"|"&amp;Calculate_cap_ener!$I$14:$I$21,
        Calculate_cap_ener!$AI$14:$AI$21, "Not found", 0), LOOKUP(K119,Manufacture_MJ!$C$24:$D$24,Manufacture_MJ!$C$26:$D$26) + _xlfn.XLOOKUP(J119,Manufacture_MJ!$C$18:$N$18,Manufacture_MJ!$C$20:$N$20) + _xlfn.XLOOKUP(B119&amp;"|"&amp;E119,
        Calculate_cap_ener!$L$14:$L$21&amp;"|"&amp;Calculate_cap_ener!$I$14:$I$21,
        Calculate_cap_ener!$AI$14:$AI$21, "Not found", 0))</f>
        <v>129144.42754769241</v>
      </c>
      <c r="M119" s="8">
        <f>_xlfn.XLOOKUP(J119,Manufacture_MJ!$C$18:$N$18,Manufacture_MJ!$C$20:$N$20)</f>
        <v>48340.647798374281</v>
      </c>
      <c r="N119" s="8" cm="1">
        <f t="array" ref="N119">_xlfn.SWITCH(K119,200,0,LOOKUP(K119,Manufacture_MJ!$C$24:$D$24,Manufacture_MJ!$C$26:$D$26))</f>
        <v>20573.31818181818</v>
      </c>
      <c r="O119" s="5" cm="1">
        <f t="array" ref="O119">_xlfn.XLOOKUP(B119&amp;"|"&amp;E119,
        Calculate_cap_ener!$L$14:$L$21&amp;"|"&amp;Calculate_cap_ener!$I$14:$I$21,
        Calculate_cap_ener!$AI$14:$AI$21, "Not found", 0)</f>
        <v>60230.461567499944</v>
      </c>
      <c r="P119" s="8">
        <f>SUM(M119:O119)</f>
        <v>129144.42754769241</v>
      </c>
      <c r="Q119" s="8" cm="1">
        <f t="array" ref="Q119">_xlfn.SWITCH(K119,200,_xlfn.XLOOKUP(J119,Distribution_MJ!$C$18:$N$18,Distribution_MJ!$C$20:$N$20) + _xlfn.XLOOKUP(B119&amp;"|"&amp;E119,
        Calculate_cap_ener!$L$14:$L$21&amp;"|"&amp;Calculate_cap_ener!$I$14:$I$21,
        Calculate_cap_ener!$AP$14:$AP$21, "Not found", 0), LOOKUP(K119,Distribution_MJ!$C$24:$D$24,Distribution_MJ!$C$26:$D$26) + _xlfn.XLOOKUP(J119,Distribution_MJ!$C$18:$N$18,Distribution_MJ!$C$20:$N$20) + _xlfn.XLOOKUP(B119&amp;"|"&amp;E119,
        Calculate_cap_ener!$L$14:$L$21&amp;"|"&amp;Calculate_cap_ener!$I$14:$I$21,
        Calculate_cap_ener!$AP$14:$AP$21, "Not found", 0))</f>
        <v>2910.5958316440747</v>
      </c>
      <c r="R119" s="8" cm="1">
        <f t="array" ref="R119">_xlfn.SWITCH(K119,200,_xlfn.XLOOKUP(J119,Installation_MJ!$C$18:$N$18,Installation_MJ!$C$20:$N$20) + _xlfn.XLOOKUP(B119&amp;"|"&amp;E119,
        Calculate_cap_ener!$L$14:$L$21&amp;"|"&amp;Calculate_cap_ener!$I$14:$I$21,
        Calculate_cap_ener!$AW$14:$AW$21, "Not found", 0), LOOKUP(K119,Installation_MJ!$C$24:$D$24,Installation_MJ!$C$26:$D$26) + _xlfn.XLOOKUP(J119,Installation_MJ!$C$18:$N$18,Installation_MJ!$C$20:$N$20) + _xlfn.XLOOKUP(B119&amp;"|"&amp;E119,
        Calculate_cap_ener!$L$14:$L$21&amp;"|"&amp;Calculate_cap_ener!$I$14:$I$21,
        Calculate_cap_ener!$AW$14:$AW$21, "Not found", 0))</f>
        <v>232.45055527794949</v>
      </c>
      <c r="S119" s="8" cm="1">
        <f t="array" ref="S119">_xlfn.SWITCH(K119,200,_xlfn.XLOOKUP(J119,EOL_MJ!$C$18:$N$18,EOL_MJ!$C$20:$N$20) + _xlfn.XLOOKUP(B119&amp;"|"&amp;E119,
        Calculate_cap_ener!$L$14:$L$21&amp;"|"&amp;Calculate_cap_ener!$I$14:$I$21,
        Calculate_cap_ener!$BD$14:$BD$21, "Not found", 0), LOOKUP(K119,EOL_MJ!$C$24:$D$24,EOL_MJ!$C$26:$D$26) + _xlfn.XLOOKUP(J119,EOL_MJ!$C$18:$N$18,EOL_MJ!$C$20:$N$20) + _xlfn.XLOOKUP(B119&amp;"|"&amp;E119,
        Calculate_cap_ener!$L$14:$L$21&amp;"|"&amp;Calculate_cap_ener!$I$14:$I$21,
        Calculate_cap_ener!$BD$14:$BD$21, "Not found", 0))</f>
        <v>26702.392534363637</v>
      </c>
      <c r="T119" s="8" cm="1">
        <f t="array" ref="T119">_xlfn.SWITCH(K119,200,_xlfn.XLOOKUP(J119,Other!$C$18:$N$18,Other!$C$20:$N$20) + _xlfn.XLOOKUP(B119&amp;"|"&amp;E119,
        Calculate_cap_ener!$L$14:$L$21&amp;"|"&amp;Calculate_cap_ener!$I$14:$I$21,
        Calculate_cap_ener!$BK$14:$BK$21, "Not found", 0), LOOKUP(K119,Other!$C$24:$D$24,Other!$C$26:$D$26) + _xlfn.XLOOKUP(J119,Other!$C$18:$N$18,Other!$C$20:$N$20) + _xlfn.XLOOKUP(B119&amp;"|"&amp;E119,
        Calculate_cap_ener!$L$14:$L$21&amp;"|"&amp;Calculate_cap_ener!$I$14:$I$21,
        Calculate_cap_ener!$BK$14:$BK$21, "Not found", 0))</f>
        <v>85636.141991335971</v>
      </c>
    </row>
    <row r="120" spans="1:20" x14ac:dyDescent="0.25">
      <c r="A120" s="5"/>
      <c r="B120" s="5" t="str">
        <f t="shared" si="7"/>
        <v>Mod-Nom</v>
      </c>
      <c r="C120" s="5" t="s">
        <v>38</v>
      </c>
      <c r="D120" s="5" t="str">
        <f t="shared" si="6"/>
        <v>Nom</v>
      </c>
      <c r="E120" s="5" t="s">
        <v>3</v>
      </c>
      <c r="F120" s="5" t="s">
        <v>57</v>
      </c>
      <c r="G120" s="5" t="s">
        <v>57</v>
      </c>
      <c r="H120" s="5">
        <v>6</v>
      </c>
      <c r="I120" s="5"/>
      <c r="J120" s="5">
        <f t="shared" si="8"/>
        <v>6</v>
      </c>
      <c r="K120" s="5">
        <v>1000</v>
      </c>
      <c r="L120" s="8" cm="1">
        <f t="array" ref="L120">_xlfn.SWITCH(K120,200,_xlfn.XLOOKUP(J120,Manufacture_MJ!$C$18:$N$18,Manufacture_MJ!$C$20:$N$20) + _xlfn.XLOOKUP(B120&amp;"|"&amp;E120,
        Calculate_cap_ener!$L$14:$L$21&amp;"|"&amp;Calculate_cap_ener!$I$14:$I$21,
        Calculate_cap_ener!$AI$14:$AI$21, "Not found", 0), LOOKUP(K120,Manufacture_MJ!$C$24:$D$24,Manufacture_MJ!$C$26:$D$26) + _xlfn.XLOOKUP(J120,Manufacture_MJ!$C$18:$N$18,Manufacture_MJ!$C$20:$N$20) + _xlfn.XLOOKUP(B120&amp;"|"&amp;E120,
        Calculate_cap_ener!$L$14:$L$21&amp;"|"&amp;Calculate_cap_ener!$I$14:$I$21,
        Calculate_cap_ener!$AI$14:$AI$21, "Not found", 0))</f>
        <v>129499.26614799025</v>
      </c>
      <c r="M120" s="8">
        <f>_xlfn.XLOOKUP(J120,Manufacture_MJ!$C$18:$N$18,Manufacture_MJ!$C$20:$N$20)</f>
        <v>48695.486398672118</v>
      </c>
      <c r="N120" s="8" cm="1">
        <f t="array" ref="N120">_xlfn.SWITCH(K120,200,0,LOOKUP(K120,Manufacture_MJ!$C$24:$D$24,Manufacture_MJ!$C$26:$D$26))</f>
        <v>20573.31818181818</v>
      </c>
      <c r="O120" s="5" cm="1">
        <f t="array" ref="O120">_xlfn.XLOOKUP(B120&amp;"|"&amp;E120,
        Calculate_cap_ener!$L$14:$L$21&amp;"|"&amp;Calculate_cap_ener!$I$14:$I$21,
        Calculate_cap_ener!$AI$14:$AI$21, "Not found", 0)</f>
        <v>60230.461567499944</v>
      </c>
      <c r="P120" s="8">
        <f t="shared" ref="P120:P147" si="12">SUM(M120:O120)</f>
        <v>129499.26614799025</v>
      </c>
      <c r="Q120" s="8" cm="1">
        <f t="array" ref="Q120">_xlfn.SWITCH(K120,200,_xlfn.XLOOKUP(J120,Distribution_MJ!$C$18:$N$18,Distribution_MJ!$C$20:$N$20) + _xlfn.XLOOKUP(B120&amp;"|"&amp;E120,
        Calculate_cap_ener!$L$14:$L$21&amp;"|"&amp;Calculate_cap_ener!$I$14:$I$21,
        Calculate_cap_ener!$AP$14:$AP$21, "Not found", 0), LOOKUP(K120,Distribution_MJ!$C$24:$D$24,Distribution_MJ!$C$26:$D$26) + _xlfn.XLOOKUP(J120,Distribution_MJ!$C$18:$N$18,Distribution_MJ!$C$20:$N$20) + _xlfn.XLOOKUP(B120&amp;"|"&amp;E120,
        Calculate_cap_ener!$L$14:$L$21&amp;"|"&amp;Calculate_cap_ener!$I$14:$I$21,
        Calculate_cap_ener!$AP$14:$AP$21, "Not found", 0))</f>
        <v>2943.3001247792245</v>
      </c>
      <c r="R120" s="8" cm="1">
        <f t="array" ref="R120">_xlfn.SWITCH(K120,200,_xlfn.XLOOKUP(J120,Installation_MJ!$C$18:$N$18,Installation_MJ!$C$20:$N$20) + _xlfn.XLOOKUP(B120&amp;"|"&amp;E120,
        Calculate_cap_ener!$L$14:$L$21&amp;"|"&amp;Calculate_cap_ener!$I$14:$I$21,
        Calculate_cap_ener!$AW$14:$AW$21, "Not found", 0), LOOKUP(K120,Installation_MJ!$C$24:$D$24,Installation_MJ!$C$26:$D$26) + _xlfn.XLOOKUP(J120,Installation_MJ!$C$18:$N$18,Installation_MJ!$C$20:$N$20) + _xlfn.XLOOKUP(B120&amp;"|"&amp;E120,
        Calculate_cap_ener!$L$14:$L$21&amp;"|"&amp;Calculate_cap_ener!$I$14:$I$21,
        Calculate_cap_ener!$AW$14:$AW$21, "Not found", 0))</f>
        <v>234.90963353797176</v>
      </c>
      <c r="S120" s="8" cm="1">
        <f t="array" ref="S120">_xlfn.SWITCH(K120,200,_xlfn.XLOOKUP(J120,EOL_MJ!$C$18:$N$18,EOL_MJ!$C$20:$N$20) + _xlfn.XLOOKUP(B120&amp;"|"&amp;E120,
        Calculate_cap_ener!$L$14:$L$21&amp;"|"&amp;Calculate_cap_ener!$I$14:$I$21,
        Calculate_cap_ener!$BD$14:$BD$21, "Not found", 0), LOOKUP(K120,EOL_MJ!$C$24:$D$24,EOL_MJ!$C$26:$D$26) + _xlfn.XLOOKUP(J120,EOL_MJ!$C$18:$N$18,EOL_MJ!$C$20:$N$20) + _xlfn.XLOOKUP(B120&amp;"|"&amp;E120,
        Calculate_cap_ener!$L$14:$L$21&amp;"|"&amp;Calculate_cap_ener!$I$14:$I$21,
        Calculate_cap_ener!$BD$14:$BD$21, "Not found", 0))</f>
        <v>26702.392534363637</v>
      </c>
      <c r="T120" s="8" cm="1">
        <f t="array" ref="T120">_xlfn.SWITCH(K120,200,_xlfn.XLOOKUP(J120,Other!$C$18:$N$18,Other!$C$20:$N$20) + _xlfn.XLOOKUP(B120&amp;"|"&amp;E120,
        Calculate_cap_ener!$L$14:$L$21&amp;"|"&amp;Calculate_cap_ener!$I$14:$I$21,
        Calculate_cap_ener!$BK$14:$BK$21, "Not found", 0), LOOKUP(K120,Other!$C$24:$D$24,Other!$C$26:$D$26) + _xlfn.XLOOKUP(J120,Other!$C$18:$N$18,Other!$C$20:$N$20) + _xlfn.XLOOKUP(B120&amp;"|"&amp;E120,
        Calculate_cap_ener!$L$14:$L$21&amp;"|"&amp;Calculate_cap_ener!$I$14:$I$21,
        Calculate_cap_ener!$BK$14:$BK$21, "Not found", 0))</f>
        <v>85658.031741298779</v>
      </c>
    </row>
    <row r="121" spans="1:20" x14ac:dyDescent="0.25">
      <c r="A121" s="5"/>
      <c r="B121" s="5" t="str">
        <f t="shared" si="7"/>
        <v>Mod-Nom</v>
      </c>
      <c r="C121" s="5" t="s">
        <v>38</v>
      </c>
      <c r="D121" s="5" t="str">
        <f t="shared" si="6"/>
        <v>Nom</v>
      </c>
      <c r="E121" s="5" t="s">
        <v>3</v>
      </c>
      <c r="F121" s="5" t="s">
        <v>57</v>
      </c>
      <c r="G121" s="5" t="s">
        <v>57</v>
      </c>
      <c r="H121" s="5">
        <v>8.5</v>
      </c>
      <c r="I121" s="5"/>
      <c r="J121" s="5">
        <f t="shared" si="8"/>
        <v>9</v>
      </c>
      <c r="K121" s="5">
        <v>1000</v>
      </c>
      <c r="L121" s="8" cm="1">
        <f t="array" ref="L121">_xlfn.SWITCH(K121,200,_xlfn.XLOOKUP(J121,Manufacture_MJ!$C$18:$N$18,Manufacture_MJ!$C$20:$N$20) + _xlfn.XLOOKUP(B121&amp;"|"&amp;E121,
        Calculate_cap_ener!$L$14:$L$21&amp;"|"&amp;Calculate_cap_ener!$I$14:$I$21,
        Calculate_cap_ener!$AI$14:$AI$21, "Not found", 0), LOOKUP(K121,Manufacture_MJ!$C$24:$D$24,Manufacture_MJ!$C$26:$D$26) + _xlfn.XLOOKUP(J121,Manufacture_MJ!$C$18:$N$18,Manufacture_MJ!$C$20:$N$20) + _xlfn.XLOOKUP(B121&amp;"|"&amp;E121,
        Calculate_cap_ener!$L$14:$L$21&amp;"|"&amp;Calculate_cap_ener!$I$14:$I$21,
        Calculate_cap_ener!$AI$14:$AI$21, "Not found", 0))</f>
        <v>130563.78194888376</v>
      </c>
      <c r="M121" s="8">
        <f>_xlfn.XLOOKUP(J121,Manufacture_MJ!$C$18:$N$18,Manufacture_MJ!$C$20:$N$20)</f>
        <v>49760.002199565621</v>
      </c>
      <c r="N121" s="8" cm="1">
        <f t="array" ref="N121">_xlfn.SWITCH(K121,200,0,LOOKUP(K121,Manufacture_MJ!$C$24:$D$24,Manufacture_MJ!$C$26:$D$26))</f>
        <v>20573.31818181818</v>
      </c>
      <c r="O121" s="5" cm="1">
        <f t="array" ref="O121">_xlfn.XLOOKUP(B121&amp;"|"&amp;E121,
        Calculate_cap_ener!$L$14:$L$21&amp;"|"&amp;Calculate_cap_ener!$I$14:$I$21,
        Calculate_cap_ener!$AI$14:$AI$21, "Not found", 0)</f>
        <v>60230.461567499944</v>
      </c>
      <c r="P121" s="8">
        <f t="shared" si="12"/>
        <v>130563.78194888376</v>
      </c>
      <c r="Q121" s="8" cm="1">
        <f t="array" ref="Q121">_xlfn.SWITCH(K121,200,_xlfn.XLOOKUP(J121,Distribution_MJ!$C$18:$N$18,Distribution_MJ!$C$20:$N$20) + _xlfn.XLOOKUP(B121&amp;"|"&amp;E121,
        Calculate_cap_ener!$L$14:$L$21&amp;"|"&amp;Calculate_cap_ener!$I$14:$I$21,
        Calculate_cap_ener!$AP$14:$AP$21, "Not found", 0), LOOKUP(K121,Distribution_MJ!$C$24:$D$24,Distribution_MJ!$C$26:$D$26) + _xlfn.XLOOKUP(J121,Distribution_MJ!$C$18:$N$18,Distribution_MJ!$C$20:$N$20) + _xlfn.XLOOKUP(B121&amp;"|"&amp;E121,
        Calculate_cap_ener!$L$14:$L$21&amp;"|"&amp;Calculate_cap_ener!$I$14:$I$21,
        Calculate_cap_ener!$AP$14:$AP$21, "Not found", 0))</f>
        <v>3041.4130041846747</v>
      </c>
      <c r="R121" s="8" cm="1">
        <f t="array" ref="R121">_xlfn.SWITCH(K121,200,_xlfn.XLOOKUP(J121,Installation_MJ!$C$18:$N$18,Installation_MJ!$C$20:$N$20) + _xlfn.XLOOKUP(B121&amp;"|"&amp;E121,
        Calculate_cap_ener!$L$14:$L$21&amp;"|"&amp;Calculate_cap_ener!$I$14:$I$21,
        Calculate_cap_ener!$AW$14:$AW$21, "Not found", 0), LOOKUP(K121,Installation_MJ!$C$24:$D$24,Installation_MJ!$C$26:$D$26) + _xlfn.XLOOKUP(J121,Installation_MJ!$C$18:$N$18,Installation_MJ!$C$20:$N$20) + _xlfn.XLOOKUP(B121&amp;"|"&amp;E121,
        Calculate_cap_ener!$L$14:$L$21&amp;"|"&amp;Calculate_cap_ener!$I$14:$I$21,
        Calculate_cap_ener!$AW$14:$AW$21, "Not found", 0))</f>
        <v>242.28686831803827</v>
      </c>
      <c r="S121" s="8" cm="1">
        <f t="array" ref="S121">_xlfn.SWITCH(K121,200,_xlfn.XLOOKUP(J121,EOL_MJ!$C$18:$N$18,EOL_MJ!$C$20:$N$20) + _xlfn.XLOOKUP(B121&amp;"|"&amp;E121,
        Calculate_cap_ener!$L$14:$L$21&amp;"|"&amp;Calculate_cap_ener!$I$14:$I$21,
        Calculate_cap_ener!$BD$14:$BD$21, "Not found", 0), LOOKUP(K121,EOL_MJ!$C$24:$D$24,EOL_MJ!$C$26:$D$26) + _xlfn.XLOOKUP(J121,EOL_MJ!$C$18:$N$18,EOL_MJ!$C$20:$N$20) + _xlfn.XLOOKUP(B121&amp;"|"&amp;E121,
        Calculate_cap_ener!$L$14:$L$21&amp;"|"&amp;Calculate_cap_ener!$I$14:$I$21,
        Calculate_cap_ener!$BD$14:$BD$21, "Not found", 0))</f>
        <v>26702.392534363637</v>
      </c>
      <c r="T121" s="8" cm="1">
        <f t="array" ref="T121">_xlfn.SWITCH(K121,200,_xlfn.XLOOKUP(J121,Other!$C$18:$N$18,Other!$C$20:$N$20) + _xlfn.XLOOKUP(B121&amp;"|"&amp;E121,
        Calculate_cap_ener!$L$14:$L$21&amp;"|"&amp;Calculate_cap_ener!$I$14:$I$21,
        Calculate_cap_ener!$BK$14:$BK$21, "Not found", 0), LOOKUP(K121,Other!$C$24:$D$24,Other!$C$26:$D$26) + _xlfn.XLOOKUP(J121,Other!$C$18:$N$18,Other!$C$20:$N$20) + _xlfn.XLOOKUP(B121&amp;"|"&amp;E121,
        Calculate_cap_ener!$L$14:$L$21&amp;"|"&amp;Calculate_cap_ener!$I$14:$I$21,
        Calculate_cap_ener!$BK$14:$BK$21, "Not found", 0))</f>
        <v>85723.700991187201</v>
      </c>
    </row>
    <row r="122" spans="1:20" x14ac:dyDescent="0.25">
      <c r="A122" s="5"/>
      <c r="B122" s="5" t="str">
        <f t="shared" si="7"/>
        <v>Mod-Nom</v>
      </c>
      <c r="C122" s="5" t="s">
        <v>38</v>
      </c>
      <c r="D122" s="5" t="str">
        <f t="shared" si="6"/>
        <v>Nom</v>
      </c>
      <c r="E122" s="5" t="s">
        <v>3</v>
      </c>
      <c r="F122" s="5" t="s">
        <v>57</v>
      </c>
      <c r="G122" s="5" t="s">
        <v>57</v>
      </c>
      <c r="H122" s="5">
        <v>11.2</v>
      </c>
      <c r="I122" s="5"/>
      <c r="J122" s="5">
        <f t="shared" si="8"/>
        <v>12</v>
      </c>
      <c r="K122" s="5">
        <v>1000</v>
      </c>
      <c r="L122" s="8" cm="1">
        <f t="array" ref="L122">_xlfn.SWITCH(K122,200,_xlfn.XLOOKUP(J122,Manufacture_MJ!$C$18:$N$18,Manufacture_MJ!$C$20:$N$20) + _xlfn.XLOOKUP(B122&amp;"|"&amp;E122,
        Calculate_cap_ener!$L$14:$L$21&amp;"|"&amp;Calculate_cap_ener!$I$14:$I$21,
        Calculate_cap_ener!$AI$14:$AI$21, "Not found", 0), LOOKUP(K122,Manufacture_MJ!$C$24:$D$24,Manufacture_MJ!$C$26:$D$26) + _xlfn.XLOOKUP(J122,Manufacture_MJ!$C$18:$N$18,Manufacture_MJ!$C$20:$N$20) + _xlfn.XLOOKUP(B122&amp;"|"&amp;E122,
        Calculate_cap_ener!$L$14:$L$21&amp;"|"&amp;Calculate_cap_ener!$I$14:$I$21,
        Calculate_cap_ener!$AI$14:$AI$21, "Not found", 0))</f>
        <v>131628.29774977738</v>
      </c>
      <c r="M122" s="8">
        <f>_xlfn.XLOOKUP(J122,Manufacture_MJ!$C$18:$N$18,Manufacture_MJ!$C$20:$N$20)</f>
        <v>50824.518000459248</v>
      </c>
      <c r="N122" s="8" cm="1">
        <f t="array" ref="N122">_xlfn.SWITCH(K122,200,0,LOOKUP(K122,Manufacture_MJ!$C$24:$D$24,Manufacture_MJ!$C$26:$D$26))</f>
        <v>20573.31818181818</v>
      </c>
      <c r="O122" s="5" cm="1">
        <f t="array" ref="O122">_xlfn.XLOOKUP(B122&amp;"|"&amp;E122,
        Calculate_cap_ener!$L$14:$L$21&amp;"|"&amp;Calculate_cap_ener!$I$14:$I$21,
        Calculate_cap_ener!$AI$14:$AI$21, "Not found", 0)</f>
        <v>60230.461567499944</v>
      </c>
      <c r="P122" s="8">
        <f t="shared" si="12"/>
        <v>131628.29774977738</v>
      </c>
      <c r="Q122" s="8" cm="1">
        <f t="array" ref="Q122">_xlfn.SWITCH(K122,200,_xlfn.XLOOKUP(J122,Distribution_MJ!$C$18:$N$18,Distribution_MJ!$C$20:$N$20) + _xlfn.XLOOKUP(B122&amp;"|"&amp;E122,
        Calculate_cap_ener!$L$14:$L$21&amp;"|"&amp;Calculate_cap_ener!$I$14:$I$21,
        Calculate_cap_ener!$AP$14:$AP$21, "Not found", 0), LOOKUP(K122,Distribution_MJ!$C$24:$D$24,Distribution_MJ!$C$26:$D$26) + _xlfn.XLOOKUP(J122,Distribution_MJ!$C$18:$N$18,Distribution_MJ!$C$20:$N$20) + _xlfn.XLOOKUP(B122&amp;"|"&amp;E122,
        Calculate_cap_ener!$L$14:$L$21&amp;"|"&amp;Calculate_cap_ener!$I$14:$I$21,
        Calculate_cap_ener!$AP$14:$AP$21, "Not found", 0))</f>
        <v>3139.5258835901241</v>
      </c>
      <c r="R122" s="8" cm="1">
        <f t="array" ref="R122">_xlfn.SWITCH(K122,200,_xlfn.XLOOKUP(J122,Installation_MJ!$C$18:$N$18,Installation_MJ!$C$20:$N$20) + _xlfn.XLOOKUP(B122&amp;"|"&amp;E122,
        Calculate_cap_ener!$L$14:$L$21&amp;"|"&amp;Calculate_cap_ener!$I$14:$I$21,
        Calculate_cap_ener!$AW$14:$AW$21, "Not found", 0), LOOKUP(K122,Installation_MJ!$C$24:$D$24,Installation_MJ!$C$26:$D$26) + _xlfn.XLOOKUP(J122,Installation_MJ!$C$18:$N$18,Installation_MJ!$C$20:$N$20) + _xlfn.XLOOKUP(B122&amp;"|"&amp;E122,
        Calculate_cap_ener!$L$14:$L$21&amp;"|"&amp;Calculate_cap_ener!$I$14:$I$21,
        Calculate_cap_ener!$AW$14:$AW$21, "Not found", 0))</f>
        <v>249.66410309810493</v>
      </c>
      <c r="S122" s="8" cm="1">
        <f t="array" ref="S122">_xlfn.SWITCH(K122,200,_xlfn.XLOOKUP(J122,EOL_MJ!$C$18:$N$18,EOL_MJ!$C$20:$N$20) + _xlfn.XLOOKUP(B122&amp;"|"&amp;E122,
        Calculate_cap_ener!$L$14:$L$21&amp;"|"&amp;Calculate_cap_ener!$I$14:$I$21,
        Calculate_cap_ener!$BD$14:$BD$21, "Not found", 0), LOOKUP(K122,EOL_MJ!$C$24:$D$24,EOL_MJ!$C$26:$D$26) + _xlfn.XLOOKUP(J122,EOL_MJ!$C$18:$N$18,EOL_MJ!$C$20:$N$20) + _xlfn.XLOOKUP(B122&amp;"|"&amp;E122,
        Calculate_cap_ener!$L$14:$L$21&amp;"|"&amp;Calculate_cap_ener!$I$14:$I$21,
        Calculate_cap_ener!$BD$14:$BD$21, "Not found", 0))</f>
        <v>26702.392534363637</v>
      </c>
      <c r="T122" s="8" cm="1">
        <f t="array" ref="T122">_xlfn.SWITCH(K122,200,_xlfn.XLOOKUP(J122,Other!$C$18:$N$18,Other!$C$20:$N$20) + _xlfn.XLOOKUP(B122&amp;"|"&amp;E122,
        Calculate_cap_ener!$L$14:$L$21&amp;"|"&amp;Calculate_cap_ener!$I$14:$I$21,
        Calculate_cap_ener!$BK$14:$BK$21, "Not found", 0), LOOKUP(K122,Other!$C$24:$D$24,Other!$C$26:$D$26) + _xlfn.XLOOKUP(J122,Other!$C$18:$N$18,Other!$C$20:$N$20) + _xlfn.XLOOKUP(B122&amp;"|"&amp;E122,
        Calculate_cap_ener!$L$14:$L$21&amp;"|"&amp;Calculate_cap_ener!$I$14:$I$21,
        Calculate_cap_ener!$BK$14:$BK$21, "Not found", 0))</f>
        <v>85789.370241075623</v>
      </c>
    </row>
    <row r="123" spans="1:20" x14ac:dyDescent="0.25">
      <c r="A123" s="5"/>
      <c r="B123" s="5" t="str">
        <f t="shared" si="7"/>
        <v>Mod-Nom</v>
      </c>
      <c r="C123" s="5" t="s">
        <v>38</v>
      </c>
      <c r="D123" s="5" t="str">
        <f t="shared" si="6"/>
        <v>Nom</v>
      </c>
      <c r="E123" s="5" t="s">
        <v>3</v>
      </c>
      <c r="F123" s="5" t="s">
        <v>57</v>
      </c>
      <c r="G123" s="5" t="s">
        <v>57</v>
      </c>
      <c r="H123" s="5">
        <v>14</v>
      </c>
      <c r="I123" s="5"/>
      <c r="J123" s="5">
        <f t="shared" si="8"/>
        <v>14</v>
      </c>
      <c r="K123" s="5">
        <v>1000</v>
      </c>
      <c r="L123" s="8" cm="1">
        <f t="array" ref="L123">_xlfn.SWITCH(K123,200,_xlfn.XLOOKUP(J123,Manufacture_MJ!$C$18:$N$18,Manufacture_MJ!$C$20:$N$20) + _xlfn.XLOOKUP(B123&amp;"|"&amp;E123,
        Calculate_cap_ener!$L$14:$L$21&amp;"|"&amp;Calculate_cap_ener!$I$14:$I$21,
        Calculate_cap_ener!$AI$14:$AI$21, "Not found", 0), LOOKUP(K123,Manufacture_MJ!$C$24:$D$24,Manufacture_MJ!$C$26:$D$26) + _xlfn.XLOOKUP(J123,Manufacture_MJ!$C$18:$N$18,Manufacture_MJ!$C$20:$N$20) + _xlfn.XLOOKUP(B123&amp;"|"&amp;E123,
        Calculate_cap_ener!$L$14:$L$21&amp;"|"&amp;Calculate_cap_ener!$I$14:$I$21,
        Calculate_cap_ener!$AI$14:$AI$21, "Not found", 0))</f>
        <v>132337.97495037306</v>
      </c>
      <c r="M123" s="8">
        <f>_xlfn.XLOOKUP(J123,Manufacture_MJ!$C$18:$N$18,Manufacture_MJ!$C$20:$N$20)</f>
        <v>51534.195201054921</v>
      </c>
      <c r="N123" s="8" cm="1">
        <f t="array" ref="N123">_xlfn.SWITCH(K123,200,0,LOOKUP(K123,Manufacture_MJ!$C$24:$D$24,Manufacture_MJ!$C$26:$D$26))</f>
        <v>20573.31818181818</v>
      </c>
      <c r="O123" s="5" cm="1">
        <f t="array" ref="O123">_xlfn.XLOOKUP(B123&amp;"|"&amp;E123,
        Calculate_cap_ener!$L$14:$L$21&amp;"|"&amp;Calculate_cap_ener!$I$14:$I$21,
        Calculate_cap_ener!$AI$14:$AI$21, "Not found", 0)</f>
        <v>60230.461567499944</v>
      </c>
      <c r="P123" s="8">
        <f t="shared" si="12"/>
        <v>132337.97495037306</v>
      </c>
      <c r="Q123" s="8" cm="1">
        <f t="array" ref="Q123">_xlfn.SWITCH(K123,200,_xlfn.XLOOKUP(J123,Distribution_MJ!$C$18:$N$18,Distribution_MJ!$C$20:$N$20) + _xlfn.XLOOKUP(B123&amp;"|"&amp;E123,
        Calculate_cap_ener!$L$14:$L$21&amp;"|"&amp;Calculate_cap_ener!$I$14:$I$21,
        Calculate_cap_ener!$AP$14:$AP$21, "Not found", 0), LOOKUP(K123,Distribution_MJ!$C$24:$D$24,Distribution_MJ!$C$26:$D$26) + _xlfn.XLOOKUP(J123,Distribution_MJ!$C$18:$N$18,Distribution_MJ!$C$20:$N$20) + _xlfn.XLOOKUP(B123&amp;"|"&amp;E123,
        Calculate_cap_ener!$L$14:$L$21&amp;"|"&amp;Calculate_cap_ener!$I$14:$I$21,
        Calculate_cap_ener!$AP$14:$AP$21, "Not found", 0))</f>
        <v>3204.9344698604245</v>
      </c>
      <c r="R123" s="8" cm="1">
        <f t="array" ref="R123">_xlfn.SWITCH(K123,200,_xlfn.XLOOKUP(J123,Installation_MJ!$C$18:$N$18,Installation_MJ!$C$20:$N$20) + _xlfn.XLOOKUP(B123&amp;"|"&amp;E123,
        Calculate_cap_ener!$L$14:$L$21&amp;"|"&amp;Calculate_cap_ener!$I$14:$I$21,
        Calculate_cap_ener!$AW$14:$AW$21, "Not found", 0), LOOKUP(K123,Installation_MJ!$C$24:$D$24,Installation_MJ!$C$26:$D$26) + _xlfn.XLOOKUP(J123,Installation_MJ!$C$18:$N$18,Installation_MJ!$C$20:$N$20) + _xlfn.XLOOKUP(B123&amp;"|"&amp;E123,
        Calculate_cap_ener!$L$14:$L$21&amp;"|"&amp;Calculate_cap_ener!$I$14:$I$21,
        Calculate_cap_ener!$AW$14:$AW$21, "Not found", 0))</f>
        <v>254.58225961814946</v>
      </c>
      <c r="S123" s="8" cm="1">
        <f t="array" ref="S123">_xlfn.SWITCH(K123,200,_xlfn.XLOOKUP(J123,EOL_MJ!$C$18:$N$18,EOL_MJ!$C$20:$N$20) + _xlfn.XLOOKUP(B123&amp;"|"&amp;E123,
        Calculate_cap_ener!$L$14:$L$21&amp;"|"&amp;Calculate_cap_ener!$I$14:$I$21,
        Calculate_cap_ener!$BD$14:$BD$21, "Not found", 0), LOOKUP(K123,EOL_MJ!$C$24:$D$24,EOL_MJ!$C$26:$D$26) + _xlfn.XLOOKUP(J123,EOL_MJ!$C$18:$N$18,EOL_MJ!$C$20:$N$20) + _xlfn.XLOOKUP(B123&amp;"|"&amp;E123,
        Calculate_cap_ener!$L$14:$L$21&amp;"|"&amp;Calculate_cap_ener!$I$14:$I$21,
        Calculate_cap_ener!$BD$14:$BD$21, "Not found", 0))</f>
        <v>26702.392534363637</v>
      </c>
      <c r="T123" s="8" cm="1">
        <f t="array" ref="T123">_xlfn.SWITCH(K123,200,_xlfn.XLOOKUP(J123,Other!$C$18:$N$18,Other!$C$20:$N$20) + _xlfn.XLOOKUP(B123&amp;"|"&amp;E123,
        Calculate_cap_ener!$L$14:$L$21&amp;"|"&amp;Calculate_cap_ener!$I$14:$I$21,
        Calculate_cap_ener!$BK$14:$BK$21, "Not found", 0), LOOKUP(K123,Other!$C$24:$D$24,Other!$C$26:$D$26) + _xlfn.XLOOKUP(J123,Other!$C$18:$N$18,Other!$C$20:$N$20) + _xlfn.XLOOKUP(B123&amp;"|"&amp;E123,
        Calculate_cap_ener!$L$14:$L$21&amp;"|"&amp;Calculate_cap_ener!$I$14:$I$21,
        Calculate_cap_ener!$BK$14:$BK$21, "Not found", 0))</f>
        <v>85833.149741001238</v>
      </c>
    </row>
    <row r="124" spans="1:20" x14ac:dyDescent="0.25">
      <c r="A124" s="5"/>
      <c r="B124" s="5" t="str">
        <f t="shared" si="7"/>
        <v>Mass-Nom</v>
      </c>
      <c r="C124" s="5" t="s">
        <v>37</v>
      </c>
      <c r="D124" s="5" t="str">
        <f t="shared" si="6"/>
        <v>Nom</v>
      </c>
      <c r="E124" s="5" t="s">
        <v>11</v>
      </c>
      <c r="F124" s="5" t="s">
        <v>54</v>
      </c>
      <c r="G124" s="5" t="s">
        <v>54</v>
      </c>
      <c r="H124" s="5">
        <v>8.5</v>
      </c>
      <c r="I124" s="5"/>
      <c r="J124" s="5">
        <f t="shared" si="8"/>
        <v>9</v>
      </c>
      <c r="K124" s="5">
        <v>200</v>
      </c>
      <c r="L124" s="8" cm="1">
        <f t="array" ref="L124">_xlfn.SWITCH(K124,200,_xlfn.XLOOKUP(J124,Manufacture_MJ!$C$18:$N$18,Manufacture_MJ!$C$20:$N$20) + _xlfn.XLOOKUP(B124&amp;"|"&amp;E124,
        Calculate_cap_ener!$L$14:$L$21&amp;"|"&amp;Calculate_cap_ener!$I$14:$I$21,
        Calculate_cap_ener!$AI$14:$AI$21, "Not found", 0), LOOKUP(K124,Manufacture_MJ!$C$24:$D$24,Manufacture_MJ!$C$26:$D$26) + _xlfn.XLOOKUP(J124,Manufacture_MJ!$C$18:$N$18,Manufacture_MJ!$C$20:$N$20) + _xlfn.XLOOKUP(B124&amp;"|"&amp;E124,
        Calculate_cap_ener!$L$14:$L$21&amp;"|"&amp;Calculate_cap_ener!$I$14:$I$21,
        Calculate_cap_ener!$AI$14:$AI$21, "Not found", 0))</f>
        <v>112500.09717481563</v>
      </c>
      <c r="M124" s="8">
        <f>_xlfn.XLOOKUP(J124,Manufacture_MJ!$C$18:$N$18,Manufacture_MJ!$C$20:$N$20)</f>
        <v>49760.002199565621</v>
      </c>
      <c r="N124" s="8" cm="1">
        <f t="array" ref="N124">_xlfn.SWITCH(K124,200,0,LOOKUP(K124,Manufacture_MJ!$C$24:$D$24,Manufacture_MJ!$C$26:$D$26))</f>
        <v>0</v>
      </c>
      <c r="O124" s="5" cm="1">
        <f t="array" ref="O124">_xlfn.XLOOKUP(B124&amp;"|"&amp;E124,
        Calculate_cap_ener!$L$14:$L$21&amp;"|"&amp;Calculate_cap_ener!$I$14:$I$21,
        Calculate_cap_ener!$AI$14:$AI$21, "Not found", 0)</f>
        <v>62740.094975250002</v>
      </c>
      <c r="P124" s="8">
        <f t="shared" si="12"/>
        <v>112500.09717481563</v>
      </c>
      <c r="Q124" s="8" cm="1">
        <f t="array" ref="Q124">_xlfn.SWITCH(K124,200,_xlfn.XLOOKUP(J124,Distribution_MJ!$C$18:$N$18,Distribution_MJ!$C$20:$N$20) + _xlfn.XLOOKUP(B124&amp;"|"&amp;E124,
        Calculate_cap_ener!$L$14:$L$21&amp;"|"&amp;Calculate_cap_ener!$I$14:$I$21,
        Calculate_cap_ener!$AP$14:$AP$21, "Not found", 0), LOOKUP(K124,Distribution_MJ!$C$24:$D$24,Distribution_MJ!$C$26:$D$26) + _xlfn.XLOOKUP(J124,Distribution_MJ!$C$18:$N$18,Distribution_MJ!$C$20:$N$20) + _xlfn.XLOOKUP(B124&amp;"|"&amp;E124,
        Calculate_cap_ener!$L$14:$L$21&amp;"|"&amp;Calculate_cap_ener!$I$14:$I$21,
        Calculate_cap_ener!$AP$14:$AP$21, "Not found", 0))</f>
        <v>2719.9720639434936</v>
      </c>
      <c r="R124" s="8" cm="1">
        <f t="array" ref="R124">_xlfn.SWITCH(K124,200,_xlfn.XLOOKUP(J124,Installation_MJ!$C$18:$N$18,Installation_MJ!$C$20:$N$20) + _xlfn.XLOOKUP(B124&amp;"|"&amp;E124,
        Calculate_cap_ener!$L$14:$L$21&amp;"|"&amp;Calculate_cap_ener!$I$14:$I$21,
        Calculate_cap_ener!$AW$14:$AW$21, "Not found", 0), LOOKUP(K124,Installation_MJ!$C$24:$D$24,Installation_MJ!$C$26:$D$26) + _xlfn.XLOOKUP(J124,Installation_MJ!$C$18:$N$18,Installation_MJ!$C$20:$N$20) + _xlfn.XLOOKUP(B124&amp;"|"&amp;E124,
        Calculate_cap_ener!$L$14:$L$21&amp;"|"&amp;Calculate_cap_ener!$I$14:$I$21,
        Calculate_cap_ener!$AW$14:$AW$21, "Not found", 0))</f>
        <v>280.54490153139051</v>
      </c>
      <c r="S124" s="8" cm="1">
        <f t="array" ref="S124">_xlfn.SWITCH(K124,200,_xlfn.XLOOKUP(J124,EOL_MJ!$C$18:$N$18,EOL_MJ!$C$20:$N$20) + _xlfn.XLOOKUP(B124&amp;"|"&amp;E124,
        Calculate_cap_ener!$L$14:$L$21&amp;"|"&amp;Calculate_cap_ener!$I$14:$I$21,
        Calculate_cap_ener!$BD$14:$BD$21, "Not found", 0), LOOKUP(K124,EOL_MJ!$C$24:$D$24,EOL_MJ!$C$26:$D$26) + _xlfn.XLOOKUP(J124,EOL_MJ!$C$18:$N$18,EOL_MJ!$C$20:$N$20) + _xlfn.XLOOKUP(B124&amp;"|"&amp;E124,
        Calculate_cap_ener!$L$14:$L$21&amp;"|"&amp;Calculate_cap_ener!$I$14:$I$21,
        Calculate_cap_ener!$BD$14:$BD$21, "Not found", 0))</f>
        <v>6276.8164913999999</v>
      </c>
      <c r="T124" s="8" cm="1">
        <f t="array" ref="T124">_xlfn.SWITCH(K124,200,_xlfn.XLOOKUP(J124,Other!$C$18:$N$18,Other!$C$20:$N$20) + _xlfn.XLOOKUP(B124&amp;"|"&amp;E124,
        Calculate_cap_ener!$L$14:$L$21&amp;"|"&amp;Calculate_cap_ener!$I$14:$I$21,
        Calculate_cap_ener!$BK$14:$BK$21, "Not found", 0), LOOKUP(K124,Other!$C$24:$D$24,Other!$C$26:$D$26) + _xlfn.XLOOKUP(J124,Other!$C$18:$N$18,Other!$C$20:$N$20) + _xlfn.XLOOKUP(B124&amp;"|"&amp;E124,
        Calculate_cap_ener!$L$14:$L$21&amp;"|"&amp;Calculate_cap_ener!$I$14:$I$21,
        Calculate_cap_ener!$BK$14:$BK$21, "Not found", 0))</f>
        <v>95266.356479287206</v>
      </c>
    </row>
    <row r="125" spans="1:20" x14ac:dyDescent="0.25">
      <c r="A125" s="5"/>
      <c r="B125" s="5" t="str">
        <f t="shared" si="7"/>
        <v>Mass-Nom</v>
      </c>
      <c r="C125" s="5" t="s">
        <v>37</v>
      </c>
      <c r="D125" s="5" t="str">
        <f t="shared" si="6"/>
        <v>Nom</v>
      </c>
      <c r="E125" s="5" t="s">
        <v>11</v>
      </c>
      <c r="F125" s="5" t="s">
        <v>54</v>
      </c>
      <c r="G125" s="5" t="s">
        <v>54</v>
      </c>
      <c r="H125" s="5">
        <v>11.2</v>
      </c>
      <c r="I125" s="5"/>
      <c r="J125" s="5">
        <f t="shared" si="8"/>
        <v>12</v>
      </c>
      <c r="K125" s="5">
        <v>200</v>
      </c>
      <c r="L125" s="8" cm="1">
        <f t="array" ref="L125">_xlfn.SWITCH(K125,200,_xlfn.XLOOKUP(J125,Manufacture_MJ!$C$18:$N$18,Manufacture_MJ!$C$20:$N$20) + _xlfn.XLOOKUP(B125&amp;"|"&amp;E125,
        Calculate_cap_ener!$L$14:$L$21&amp;"|"&amp;Calculate_cap_ener!$I$14:$I$21,
        Calculate_cap_ener!$AI$14:$AI$21, "Not found", 0), LOOKUP(K125,Manufacture_MJ!$C$24:$D$24,Manufacture_MJ!$C$26:$D$26) + _xlfn.XLOOKUP(J125,Manufacture_MJ!$C$18:$N$18,Manufacture_MJ!$C$20:$N$20) + _xlfn.XLOOKUP(B125&amp;"|"&amp;E125,
        Calculate_cap_ener!$L$14:$L$21&amp;"|"&amp;Calculate_cap_ener!$I$14:$I$21,
        Calculate_cap_ener!$AI$14:$AI$21, "Not found", 0))</f>
        <v>113564.61297570926</v>
      </c>
      <c r="M125" s="8">
        <f>_xlfn.XLOOKUP(J125,Manufacture_MJ!$C$18:$N$18,Manufacture_MJ!$C$20:$N$20)</f>
        <v>50824.518000459248</v>
      </c>
      <c r="N125" s="8" cm="1">
        <f t="array" ref="N125">_xlfn.SWITCH(K125,200,0,LOOKUP(K125,Manufacture_MJ!$C$24:$D$24,Manufacture_MJ!$C$26:$D$26))</f>
        <v>0</v>
      </c>
      <c r="O125" s="5" cm="1">
        <f t="array" ref="O125">_xlfn.XLOOKUP(B125&amp;"|"&amp;E125,
        Calculate_cap_ener!$L$14:$L$21&amp;"|"&amp;Calculate_cap_ener!$I$14:$I$21,
        Calculate_cap_ener!$AI$14:$AI$21, "Not found", 0)</f>
        <v>62740.094975250002</v>
      </c>
      <c r="P125" s="8">
        <f t="shared" si="12"/>
        <v>113564.61297570926</v>
      </c>
      <c r="Q125" s="8" cm="1">
        <f t="array" ref="Q125">_xlfn.SWITCH(K125,200,_xlfn.XLOOKUP(J125,Distribution_MJ!$C$18:$N$18,Distribution_MJ!$C$20:$N$20) + _xlfn.XLOOKUP(B125&amp;"|"&amp;E125,
        Calculate_cap_ener!$L$14:$L$21&amp;"|"&amp;Calculate_cap_ener!$I$14:$I$21,
        Calculate_cap_ener!$AP$14:$AP$21, "Not found", 0), LOOKUP(K125,Distribution_MJ!$C$24:$D$24,Distribution_MJ!$C$26:$D$26) + _xlfn.XLOOKUP(J125,Distribution_MJ!$C$18:$N$18,Distribution_MJ!$C$20:$N$20) + _xlfn.XLOOKUP(B125&amp;"|"&amp;E125,
        Calculate_cap_ener!$L$14:$L$21&amp;"|"&amp;Calculate_cap_ener!$I$14:$I$21,
        Calculate_cap_ener!$AP$14:$AP$21, "Not found", 0))</f>
        <v>2818.0849433489439</v>
      </c>
      <c r="R125" s="8" cm="1">
        <f t="array" ref="R125">_xlfn.SWITCH(K125,200,_xlfn.XLOOKUP(J125,Installation_MJ!$C$18:$N$18,Installation_MJ!$C$20:$N$20) + _xlfn.XLOOKUP(B125&amp;"|"&amp;E125,
        Calculate_cap_ener!$L$14:$L$21&amp;"|"&amp;Calculate_cap_ener!$I$14:$I$21,
        Calculate_cap_ener!$AW$14:$AW$21, "Not found", 0), LOOKUP(K125,Installation_MJ!$C$24:$D$24,Installation_MJ!$C$26:$D$26) + _xlfn.XLOOKUP(J125,Installation_MJ!$C$18:$N$18,Installation_MJ!$C$20:$N$20) + _xlfn.XLOOKUP(B125&amp;"|"&amp;E125,
        Calculate_cap_ener!$L$14:$L$21&amp;"|"&amp;Calculate_cap_ener!$I$14:$I$21,
        Calculate_cap_ener!$AW$14:$AW$21, "Not found", 0))</f>
        <v>287.92213631145717</v>
      </c>
      <c r="S125" s="8" cm="1">
        <f t="array" ref="S125">_xlfn.SWITCH(K125,200,_xlfn.XLOOKUP(J125,EOL_MJ!$C$18:$N$18,EOL_MJ!$C$20:$N$20) + _xlfn.XLOOKUP(B125&amp;"|"&amp;E125,
        Calculate_cap_ener!$L$14:$L$21&amp;"|"&amp;Calculate_cap_ener!$I$14:$I$21,
        Calculate_cap_ener!$BD$14:$BD$21, "Not found", 0), LOOKUP(K125,EOL_MJ!$C$24:$D$24,EOL_MJ!$C$26:$D$26) + _xlfn.XLOOKUP(J125,EOL_MJ!$C$18:$N$18,EOL_MJ!$C$20:$N$20) + _xlfn.XLOOKUP(B125&amp;"|"&amp;E125,
        Calculate_cap_ener!$L$14:$L$21&amp;"|"&amp;Calculate_cap_ener!$I$14:$I$21,
        Calculate_cap_ener!$BD$14:$BD$21, "Not found", 0))</f>
        <v>6276.8164913999999</v>
      </c>
      <c r="T125" s="8" cm="1">
        <f t="array" ref="T125">_xlfn.SWITCH(K125,200,_xlfn.XLOOKUP(J125,Other!$C$18:$N$18,Other!$C$20:$N$20) + _xlfn.XLOOKUP(B125&amp;"|"&amp;E125,
        Calculate_cap_ener!$L$14:$L$21&amp;"|"&amp;Calculate_cap_ener!$I$14:$I$21,
        Calculate_cap_ener!$BK$14:$BK$21, "Not found", 0), LOOKUP(K125,Other!$C$24:$D$24,Other!$C$26:$D$26) + _xlfn.XLOOKUP(J125,Other!$C$18:$N$18,Other!$C$20:$N$20) + _xlfn.XLOOKUP(B125&amp;"|"&amp;E125,
        Calculate_cap_ener!$L$14:$L$21&amp;"|"&amp;Calculate_cap_ener!$I$14:$I$21,
        Calculate_cap_ener!$BK$14:$BK$21, "Not found", 0))</f>
        <v>95332.025729175628</v>
      </c>
    </row>
    <row r="126" spans="1:20" x14ac:dyDescent="0.25">
      <c r="A126" s="5"/>
      <c r="B126" s="5" t="str">
        <f t="shared" si="7"/>
        <v>Mass-Nom</v>
      </c>
      <c r="C126" s="5" t="s">
        <v>37</v>
      </c>
      <c r="D126" s="5" t="str">
        <f t="shared" si="6"/>
        <v>Nom</v>
      </c>
      <c r="E126" s="5" t="s">
        <v>11</v>
      </c>
      <c r="F126" s="5" t="s">
        <v>54</v>
      </c>
      <c r="G126" s="5" t="s">
        <v>54</v>
      </c>
      <c r="H126" s="5">
        <v>14</v>
      </c>
      <c r="I126" s="5"/>
      <c r="J126" s="5">
        <f t="shared" si="8"/>
        <v>14</v>
      </c>
      <c r="K126" s="5">
        <v>200</v>
      </c>
      <c r="L126" s="8" cm="1">
        <f t="array" ref="L126">_xlfn.SWITCH(K126,200,_xlfn.XLOOKUP(J126,Manufacture_MJ!$C$18:$N$18,Manufacture_MJ!$C$20:$N$20) + _xlfn.XLOOKUP(B126&amp;"|"&amp;E126,
        Calculate_cap_ener!$L$14:$L$21&amp;"|"&amp;Calculate_cap_ener!$I$14:$I$21,
        Calculate_cap_ener!$AI$14:$AI$21, "Not found", 0), LOOKUP(K126,Manufacture_MJ!$C$24:$D$24,Manufacture_MJ!$C$26:$D$26) + _xlfn.XLOOKUP(J126,Manufacture_MJ!$C$18:$N$18,Manufacture_MJ!$C$20:$N$20) + _xlfn.XLOOKUP(B126&amp;"|"&amp;E126,
        Calculate_cap_ener!$L$14:$L$21&amp;"|"&amp;Calculate_cap_ener!$I$14:$I$21,
        Calculate_cap_ener!$AI$14:$AI$21, "Not found", 0))</f>
        <v>114274.29017630493</v>
      </c>
      <c r="M126" s="8">
        <f>_xlfn.XLOOKUP(J126,Manufacture_MJ!$C$18:$N$18,Manufacture_MJ!$C$20:$N$20)</f>
        <v>51534.195201054921</v>
      </c>
      <c r="N126" s="8" cm="1">
        <f t="array" ref="N126">_xlfn.SWITCH(K126,200,0,LOOKUP(K126,Manufacture_MJ!$C$24:$D$24,Manufacture_MJ!$C$26:$D$26))</f>
        <v>0</v>
      </c>
      <c r="O126" s="5" cm="1">
        <f t="array" ref="O126">_xlfn.XLOOKUP(B126&amp;"|"&amp;E126,
        Calculate_cap_ener!$L$14:$L$21&amp;"|"&amp;Calculate_cap_ener!$I$14:$I$21,
        Calculate_cap_ener!$AI$14:$AI$21, "Not found", 0)</f>
        <v>62740.094975250002</v>
      </c>
      <c r="P126" s="8">
        <f t="shared" si="12"/>
        <v>114274.29017630493</v>
      </c>
      <c r="Q126" s="8" cm="1">
        <f t="array" ref="Q126">_xlfn.SWITCH(K126,200,_xlfn.XLOOKUP(J126,Distribution_MJ!$C$18:$N$18,Distribution_MJ!$C$20:$N$20) + _xlfn.XLOOKUP(B126&amp;"|"&amp;E126,
        Calculate_cap_ener!$L$14:$L$21&amp;"|"&amp;Calculate_cap_ener!$I$14:$I$21,
        Calculate_cap_ener!$AP$14:$AP$21, "Not found", 0), LOOKUP(K126,Distribution_MJ!$C$24:$D$24,Distribution_MJ!$C$26:$D$26) + _xlfn.XLOOKUP(J126,Distribution_MJ!$C$18:$N$18,Distribution_MJ!$C$20:$N$20) + _xlfn.XLOOKUP(B126&amp;"|"&amp;E126,
        Calculate_cap_ener!$L$14:$L$21&amp;"|"&amp;Calculate_cap_ener!$I$14:$I$21,
        Calculate_cap_ener!$AP$14:$AP$21, "Not found", 0))</f>
        <v>2883.4935296192434</v>
      </c>
      <c r="R126" s="8" cm="1">
        <f t="array" ref="R126">_xlfn.SWITCH(K126,200,_xlfn.XLOOKUP(J126,Installation_MJ!$C$18:$N$18,Installation_MJ!$C$20:$N$20) + _xlfn.XLOOKUP(B126&amp;"|"&amp;E126,
        Calculate_cap_ener!$L$14:$L$21&amp;"|"&amp;Calculate_cap_ener!$I$14:$I$21,
        Calculate_cap_ener!$AW$14:$AW$21, "Not found", 0), LOOKUP(K126,Installation_MJ!$C$24:$D$24,Installation_MJ!$C$26:$D$26) + _xlfn.XLOOKUP(J126,Installation_MJ!$C$18:$N$18,Installation_MJ!$C$20:$N$20) + _xlfn.XLOOKUP(B126&amp;"|"&amp;E126,
        Calculate_cap_ener!$L$14:$L$21&amp;"|"&amp;Calculate_cap_ener!$I$14:$I$21,
        Calculate_cap_ener!$AW$14:$AW$21, "Not found", 0))</f>
        <v>292.8402928315017</v>
      </c>
      <c r="S126" s="8" cm="1">
        <f t="array" ref="S126">_xlfn.SWITCH(K126,200,_xlfn.XLOOKUP(J126,EOL_MJ!$C$18:$N$18,EOL_MJ!$C$20:$N$20) + _xlfn.XLOOKUP(B126&amp;"|"&amp;E126,
        Calculate_cap_ener!$L$14:$L$21&amp;"|"&amp;Calculate_cap_ener!$I$14:$I$21,
        Calculate_cap_ener!$BD$14:$BD$21, "Not found", 0), LOOKUP(K126,EOL_MJ!$C$24:$D$24,EOL_MJ!$C$26:$D$26) + _xlfn.XLOOKUP(J126,EOL_MJ!$C$18:$N$18,EOL_MJ!$C$20:$N$20) + _xlfn.XLOOKUP(B126&amp;"|"&amp;E126,
        Calculate_cap_ener!$L$14:$L$21&amp;"|"&amp;Calculate_cap_ener!$I$14:$I$21,
        Calculate_cap_ener!$BD$14:$BD$21, "Not found", 0))</f>
        <v>6276.8164913999999</v>
      </c>
      <c r="T126" s="8" cm="1">
        <f t="array" ref="T126">_xlfn.SWITCH(K126,200,_xlfn.XLOOKUP(J126,Other!$C$18:$N$18,Other!$C$20:$N$20) + _xlfn.XLOOKUP(B126&amp;"|"&amp;E126,
        Calculate_cap_ener!$L$14:$L$21&amp;"|"&amp;Calculate_cap_ener!$I$14:$I$21,
        Calculate_cap_ener!$BK$14:$BK$21, "Not found", 0), LOOKUP(K126,Other!$C$24:$D$24,Other!$C$26:$D$26) + _xlfn.XLOOKUP(J126,Other!$C$18:$N$18,Other!$C$20:$N$20) + _xlfn.XLOOKUP(B126&amp;"|"&amp;E126,
        Calculate_cap_ener!$L$14:$L$21&amp;"|"&amp;Calculate_cap_ener!$I$14:$I$21,
        Calculate_cap_ener!$BK$14:$BK$21, "Not found", 0))</f>
        <v>95375.805229101243</v>
      </c>
    </row>
    <row r="127" spans="1:20" x14ac:dyDescent="0.25">
      <c r="A127" s="5"/>
      <c r="B127" s="5" t="str">
        <f>CONCATENATE(C127, "-", "Nom")</f>
        <v>Mass-Nom</v>
      </c>
      <c r="C127" s="5" t="s">
        <v>37</v>
      </c>
      <c r="D127" s="5" t="str">
        <f>_xlfn.TEXTAFTER(B127, "-", 1)</f>
        <v>Nom</v>
      </c>
      <c r="E127" s="5" t="s">
        <v>11</v>
      </c>
      <c r="F127" s="5" t="s">
        <v>55</v>
      </c>
      <c r="G127" s="5" t="s">
        <v>55</v>
      </c>
      <c r="H127" s="5">
        <v>5</v>
      </c>
      <c r="I127" s="5"/>
      <c r="J127" s="5">
        <f t="shared" si="8"/>
        <v>5</v>
      </c>
      <c r="K127" s="5">
        <v>500</v>
      </c>
      <c r="L127" s="8" cm="1">
        <f t="array" ref="L127">_xlfn.SWITCH(K127,200,_xlfn.XLOOKUP(J127,Manufacture_MJ!$C$18:$N$18,Manufacture_MJ!$C$20:$N$20) + _xlfn.XLOOKUP(B127&amp;"|"&amp;E127,
        Calculate_cap_ener!$L$14:$L$21&amp;"|"&amp;Calculate_cap_ener!$I$14:$I$21,
        Calculate_cap_ener!$AI$14:$AI$21, "Not found", 0), LOOKUP(K127,Manufacture_MJ!$C$24:$D$24,Manufacture_MJ!$C$26:$D$26) + _xlfn.XLOOKUP(J127,Manufacture_MJ!$C$18:$N$18,Manufacture_MJ!$C$20:$N$20) + _xlfn.XLOOKUP(B127&amp;"|"&amp;E127,
        Calculate_cap_ener!$L$14:$L$21&amp;"|"&amp;Calculate_cap_ener!$I$14:$I$21,
        Calculate_cap_ener!$AI$14:$AI$21, "Not found", 0))</f>
        <v>121694.33368271519</v>
      </c>
      <c r="M127" s="8">
        <f>_xlfn.XLOOKUP(J127,Manufacture_MJ!$C$18:$N$18,Manufacture_MJ!$C$20:$N$20)</f>
        <v>48340.647798374281</v>
      </c>
      <c r="N127" s="8" cm="1">
        <f t="array" ref="N127">_xlfn.SWITCH(K127,200,0,LOOKUP(K127,Manufacture_MJ!$C$24:$D$24,Manufacture_MJ!$C$26:$D$26))</f>
        <v>10613.59090909091</v>
      </c>
      <c r="O127" s="5" cm="1">
        <f t="array" ref="O127">_xlfn.XLOOKUP(B127&amp;"|"&amp;E127,
        Calculate_cap_ener!$L$14:$L$21&amp;"|"&amp;Calculate_cap_ener!$I$14:$I$21,
        Calculate_cap_ener!$AI$14:$AI$21, "Not found", 0)</f>
        <v>62740.094975250002</v>
      </c>
      <c r="P127" s="8">
        <f t="shared" si="12"/>
        <v>121694.33368271519</v>
      </c>
      <c r="Q127" s="8" cm="1">
        <f t="array" ref="Q127">_xlfn.SWITCH(K127,200,_xlfn.XLOOKUP(J127,Distribution_MJ!$C$18:$N$18,Distribution_MJ!$C$20:$N$20) + _xlfn.XLOOKUP(B127&amp;"|"&amp;E127,
        Calculate_cap_ener!$L$14:$L$21&amp;"|"&amp;Calculate_cap_ener!$I$14:$I$21,
        Calculate_cap_ener!$AP$14:$AP$21, "Not found", 0), LOOKUP(K127,Distribution_MJ!$C$24:$D$24,Distribution_MJ!$C$26:$D$26) + _xlfn.XLOOKUP(J127,Distribution_MJ!$C$18:$N$18,Distribution_MJ!$C$20:$N$20) + _xlfn.XLOOKUP(B127&amp;"|"&amp;E127,
        Calculate_cap_ener!$L$14:$L$21&amp;"|"&amp;Calculate_cap_ener!$I$14:$I$21,
        Calculate_cap_ener!$AP$14:$AP$21, "Not found", 0))</f>
        <v>2776.008866227894</v>
      </c>
      <c r="R127" s="8" cm="1">
        <f t="array" ref="R127">_xlfn.SWITCH(K127,200,_xlfn.XLOOKUP(J127,Installation_MJ!$C$18:$N$18,Installation_MJ!$C$20:$N$20) + _xlfn.XLOOKUP(B127&amp;"|"&amp;E127,
        Calculate_cap_ener!$L$14:$L$21&amp;"|"&amp;Calculate_cap_ener!$I$14:$I$21,
        Calculate_cap_ener!$AW$14:$AW$21, "Not found", 0), LOOKUP(K127,Installation_MJ!$C$24:$D$24,Installation_MJ!$C$26:$D$26) + _xlfn.XLOOKUP(J127,Installation_MJ!$C$18:$N$18,Installation_MJ!$C$20:$N$20) + _xlfn.XLOOKUP(B127&amp;"|"&amp;E127,
        Calculate_cap_ener!$L$14:$L$21&amp;"|"&amp;Calculate_cap_ener!$I$14:$I$21,
        Calculate_cap_ener!$AW$14:$AW$21, "Not found", 0))</f>
        <v>291.70858849130173</v>
      </c>
      <c r="S127" s="8" cm="1">
        <f t="array" ref="S127">_xlfn.SWITCH(K127,200,_xlfn.XLOOKUP(J127,EOL_MJ!$C$18:$N$18,EOL_MJ!$C$20:$N$20) + _xlfn.XLOOKUP(B127&amp;"|"&amp;E127,
        Calculate_cap_ener!$L$14:$L$21&amp;"|"&amp;Calculate_cap_ener!$I$14:$I$21,
        Calculate_cap_ener!$BD$14:$BD$21, "Not found", 0), LOOKUP(K127,EOL_MJ!$C$24:$D$24,EOL_MJ!$C$26:$D$26) + _xlfn.XLOOKUP(J127,EOL_MJ!$C$18:$N$18,EOL_MJ!$C$20:$N$20) + _xlfn.XLOOKUP(B127&amp;"|"&amp;E127,
        Calculate_cap_ener!$L$14:$L$21&amp;"|"&amp;Calculate_cap_ener!$I$14:$I$21,
        Calculate_cap_ener!$BD$14:$BD$21, "Not found", 0))</f>
        <v>16775.861945945453</v>
      </c>
      <c r="T127" s="8" cm="1">
        <f t="array" ref="T127">_xlfn.SWITCH(K127,200,_xlfn.XLOOKUP(J127,Other!$C$18:$N$18,Other!$C$20:$N$20) + _xlfn.XLOOKUP(B127&amp;"|"&amp;E127,
        Calculate_cap_ener!$L$14:$L$21&amp;"|"&amp;Calculate_cap_ener!$I$14:$I$21,
        Calculate_cap_ener!$BK$14:$BK$21, "Not found", 0), LOOKUP(K127,Other!$C$24:$D$24,Other!$C$26:$D$26) + _xlfn.XLOOKUP(J127,Other!$C$18:$N$18,Other!$C$20:$N$20) + _xlfn.XLOOKUP(B127&amp;"|"&amp;E127,
        Calculate_cap_ener!$L$14:$L$21&amp;"|"&amp;Calculate_cap_ener!$I$14:$I$21,
        Calculate_cap_ener!$BK$14:$BK$21, "Not found", 0))</f>
        <v>95178.797479435976</v>
      </c>
    </row>
    <row r="128" spans="1:20" x14ac:dyDescent="0.25">
      <c r="A128" s="5"/>
      <c r="B128" s="5" t="str">
        <f t="shared" ref="B128:B130" si="13">CONCATENATE(C128, "-", "Nom")</f>
        <v>Mass-Nom</v>
      </c>
      <c r="C128" s="5" t="s">
        <v>37</v>
      </c>
      <c r="D128" s="5" t="str">
        <f t="shared" ref="D128:D130" si="14">_xlfn.TEXTAFTER(B128, "-", 1)</f>
        <v>Nom</v>
      </c>
      <c r="E128" s="5" t="s">
        <v>11</v>
      </c>
      <c r="F128" s="5" t="s">
        <v>55</v>
      </c>
      <c r="G128" s="5" t="s">
        <v>55</v>
      </c>
      <c r="H128" s="5">
        <v>6</v>
      </c>
      <c r="I128" s="5"/>
      <c r="J128" s="5">
        <f t="shared" si="8"/>
        <v>6</v>
      </c>
      <c r="K128" s="5">
        <v>500</v>
      </c>
      <c r="L128" s="8" cm="1">
        <f t="array" ref="L128">_xlfn.SWITCH(K128,200,_xlfn.XLOOKUP(J128,Manufacture_MJ!$C$18:$N$18,Manufacture_MJ!$C$20:$N$20) + _xlfn.XLOOKUP(B128&amp;"|"&amp;E128,
        Calculate_cap_ener!$L$14:$L$21&amp;"|"&amp;Calculate_cap_ener!$I$14:$I$21,
        Calculate_cap_ener!$AI$14:$AI$21, "Not found", 0), LOOKUP(K128,Manufacture_MJ!$C$24:$D$24,Manufacture_MJ!$C$26:$D$26) + _xlfn.XLOOKUP(J128,Manufacture_MJ!$C$18:$N$18,Manufacture_MJ!$C$20:$N$20) + _xlfn.XLOOKUP(B128&amp;"|"&amp;E128,
        Calculate_cap_ener!$L$14:$L$21&amp;"|"&amp;Calculate_cap_ener!$I$14:$I$21,
        Calculate_cap_ener!$AI$14:$AI$21, "Not found", 0))</f>
        <v>122049.17228301303</v>
      </c>
      <c r="M128" s="8">
        <f>_xlfn.XLOOKUP(J128,Manufacture_MJ!$C$18:$N$18,Manufacture_MJ!$C$20:$N$20)</f>
        <v>48695.486398672118</v>
      </c>
      <c r="N128" s="8" cm="1">
        <f t="array" ref="N128">_xlfn.SWITCH(K128,200,0,LOOKUP(K128,Manufacture_MJ!$C$24:$D$24,Manufacture_MJ!$C$26:$D$26))</f>
        <v>10613.59090909091</v>
      </c>
      <c r="O128" s="5" cm="1">
        <f t="array" ref="O128">_xlfn.XLOOKUP(B128&amp;"|"&amp;E128,
        Calculate_cap_ener!$L$14:$L$21&amp;"|"&amp;Calculate_cap_ener!$I$14:$I$21,
        Calculate_cap_ener!$AI$14:$AI$21, "Not found", 0)</f>
        <v>62740.094975250002</v>
      </c>
      <c r="P128" s="8">
        <f t="shared" si="12"/>
        <v>122049.17228301303</v>
      </c>
      <c r="Q128" s="8" cm="1">
        <f t="array" ref="Q128">_xlfn.SWITCH(K128,200,_xlfn.XLOOKUP(J128,Distribution_MJ!$C$18:$N$18,Distribution_MJ!$C$20:$N$20) + _xlfn.XLOOKUP(B128&amp;"|"&amp;E128,
        Calculate_cap_ener!$L$14:$L$21&amp;"|"&amp;Calculate_cap_ener!$I$14:$I$21,
        Calculate_cap_ener!$AP$14:$AP$21, "Not found", 0), LOOKUP(K128,Distribution_MJ!$C$24:$D$24,Distribution_MJ!$C$26:$D$26) + _xlfn.XLOOKUP(J128,Distribution_MJ!$C$18:$N$18,Distribution_MJ!$C$20:$N$20) + _xlfn.XLOOKUP(B128&amp;"|"&amp;E128,
        Calculate_cap_ener!$L$14:$L$21&amp;"|"&amp;Calculate_cap_ener!$I$14:$I$21,
        Calculate_cap_ener!$AP$14:$AP$21, "Not found", 0))</f>
        <v>2808.7131593630438</v>
      </c>
      <c r="R128" s="8" cm="1">
        <f t="array" ref="R128">_xlfn.SWITCH(K128,200,_xlfn.XLOOKUP(J128,Installation_MJ!$C$18:$N$18,Installation_MJ!$C$20:$N$20) + _xlfn.XLOOKUP(B128&amp;"|"&amp;E128,
        Calculate_cap_ener!$L$14:$L$21&amp;"|"&amp;Calculate_cap_ener!$I$14:$I$21,
        Calculate_cap_ener!$AW$14:$AW$21, "Not found", 0), LOOKUP(K128,Installation_MJ!$C$24:$D$24,Installation_MJ!$C$26:$D$26) + _xlfn.XLOOKUP(J128,Installation_MJ!$C$18:$N$18,Installation_MJ!$C$20:$N$20) + _xlfn.XLOOKUP(B128&amp;"|"&amp;E128,
        Calculate_cap_ener!$L$14:$L$21&amp;"|"&amp;Calculate_cap_ener!$I$14:$I$21,
        Calculate_cap_ener!$AW$14:$AW$21, "Not found", 0))</f>
        <v>294.16766675132402</v>
      </c>
      <c r="S128" s="8" cm="1">
        <f t="array" ref="S128">_xlfn.SWITCH(K128,200,_xlfn.XLOOKUP(J128,EOL_MJ!$C$18:$N$18,EOL_MJ!$C$20:$N$20) + _xlfn.XLOOKUP(B128&amp;"|"&amp;E128,
        Calculate_cap_ener!$L$14:$L$21&amp;"|"&amp;Calculate_cap_ener!$I$14:$I$21,
        Calculate_cap_ener!$BD$14:$BD$21, "Not found", 0), LOOKUP(K128,EOL_MJ!$C$24:$D$24,EOL_MJ!$C$26:$D$26) + _xlfn.XLOOKUP(J128,EOL_MJ!$C$18:$N$18,EOL_MJ!$C$20:$N$20) + _xlfn.XLOOKUP(B128&amp;"|"&amp;E128,
        Calculate_cap_ener!$L$14:$L$21&amp;"|"&amp;Calculate_cap_ener!$I$14:$I$21,
        Calculate_cap_ener!$BD$14:$BD$21, "Not found", 0))</f>
        <v>16775.861945945453</v>
      </c>
      <c r="T128" s="8" cm="1">
        <f t="array" ref="T128">_xlfn.SWITCH(K128,200,_xlfn.XLOOKUP(J128,Other!$C$18:$N$18,Other!$C$20:$N$20) + _xlfn.XLOOKUP(B128&amp;"|"&amp;E128,
        Calculate_cap_ener!$L$14:$L$21&amp;"|"&amp;Calculate_cap_ener!$I$14:$I$21,
        Calculate_cap_ener!$BK$14:$BK$21, "Not found", 0), LOOKUP(K128,Other!$C$24:$D$24,Other!$C$26:$D$26) + _xlfn.XLOOKUP(J128,Other!$C$18:$N$18,Other!$C$20:$N$20) + _xlfn.XLOOKUP(B128&amp;"|"&amp;E128,
        Calculate_cap_ener!$L$14:$L$21&amp;"|"&amp;Calculate_cap_ener!$I$14:$I$21,
        Calculate_cap_ener!$BK$14:$BK$21, "Not found", 0))</f>
        <v>95200.687229398784</v>
      </c>
    </row>
    <row r="129" spans="1:20" x14ac:dyDescent="0.25">
      <c r="A129" s="5"/>
      <c r="B129" s="5" t="str">
        <f t="shared" si="13"/>
        <v>Mass-Nom</v>
      </c>
      <c r="C129" s="5" t="s">
        <v>37</v>
      </c>
      <c r="D129" s="5" t="str">
        <f t="shared" si="14"/>
        <v>Nom</v>
      </c>
      <c r="E129" s="5" t="s">
        <v>11</v>
      </c>
      <c r="F129" s="5" t="s">
        <v>55</v>
      </c>
      <c r="G129" s="5" t="s">
        <v>55</v>
      </c>
      <c r="H129" s="5">
        <v>8.5</v>
      </c>
      <c r="I129" s="5"/>
      <c r="J129" s="5">
        <f t="shared" si="8"/>
        <v>9</v>
      </c>
      <c r="K129" s="5">
        <v>500</v>
      </c>
      <c r="L129" s="8" cm="1">
        <f t="array" ref="L129">_xlfn.SWITCH(K129,200,_xlfn.XLOOKUP(J129,Manufacture_MJ!$C$18:$N$18,Manufacture_MJ!$C$20:$N$20) + _xlfn.XLOOKUP(B129&amp;"|"&amp;E129,
        Calculate_cap_ener!$L$14:$L$21&amp;"|"&amp;Calculate_cap_ener!$I$14:$I$21,
        Calculate_cap_ener!$AI$14:$AI$21, "Not found", 0), LOOKUP(K129,Manufacture_MJ!$C$24:$D$24,Manufacture_MJ!$C$26:$D$26) + _xlfn.XLOOKUP(J129,Manufacture_MJ!$C$18:$N$18,Manufacture_MJ!$C$20:$N$20) + _xlfn.XLOOKUP(B129&amp;"|"&amp;E129,
        Calculate_cap_ener!$L$14:$L$21&amp;"|"&amp;Calculate_cap_ener!$I$14:$I$21,
        Calculate_cap_ener!$AI$14:$AI$21, "Not found", 0))</f>
        <v>123113.68808390654</v>
      </c>
      <c r="M129" s="8">
        <f>_xlfn.XLOOKUP(J129,Manufacture_MJ!$C$18:$N$18,Manufacture_MJ!$C$20:$N$20)</f>
        <v>49760.002199565621</v>
      </c>
      <c r="N129" s="8" cm="1">
        <f t="array" ref="N129">_xlfn.SWITCH(K129,200,0,LOOKUP(K129,Manufacture_MJ!$C$24:$D$24,Manufacture_MJ!$C$26:$D$26))</f>
        <v>10613.59090909091</v>
      </c>
      <c r="O129" s="5" cm="1">
        <f t="array" ref="O129">_xlfn.XLOOKUP(B129&amp;"|"&amp;E129,
        Calculate_cap_ener!$L$14:$L$21&amp;"|"&amp;Calculate_cap_ener!$I$14:$I$21,
        Calculate_cap_ener!$AI$14:$AI$21, "Not found", 0)</f>
        <v>62740.094975250002</v>
      </c>
      <c r="P129" s="8">
        <f t="shared" si="12"/>
        <v>123113.68808390654</v>
      </c>
      <c r="Q129" s="8" cm="1">
        <f t="array" ref="Q129">_xlfn.SWITCH(K129,200,_xlfn.XLOOKUP(J129,Distribution_MJ!$C$18:$N$18,Distribution_MJ!$C$20:$N$20) + _xlfn.XLOOKUP(B129&amp;"|"&amp;E129,
        Calculate_cap_ener!$L$14:$L$21&amp;"|"&amp;Calculate_cap_ener!$I$14:$I$21,
        Calculate_cap_ener!$AP$14:$AP$21, "Not found", 0), LOOKUP(K129,Distribution_MJ!$C$24:$D$24,Distribution_MJ!$C$26:$D$26) + _xlfn.XLOOKUP(J129,Distribution_MJ!$C$18:$N$18,Distribution_MJ!$C$20:$N$20) + _xlfn.XLOOKUP(B129&amp;"|"&amp;E129,
        Calculate_cap_ener!$L$14:$L$21&amp;"|"&amp;Calculate_cap_ener!$I$14:$I$21,
        Calculate_cap_ener!$AP$14:$AP$21, "Not found", 0))</f>
        <v>2906.8260387684941</v>
      </c>
      <c r="R129" s="8" cm="1">
        <f t="array" ref="R129">_xlfn.SWITCH(K129,200,_xlfn.XLOOKUP(J129,Installation_MJ!$C$18:$N$18,Installation_MJ!$C$20:$N$20) + _xlfn.XLOOKUP(B129&amp;"|"&amp;E129,
        Calculate_cap_ener!$L$14:$L$21&amp;"|"&amp;Calculate_cap_ener!$I$14:$I$21,
        Calculate_cap_ener!$AW$14:$AW$21, "Not found", 0), LOOKUP(K129,Installation_MJ!$C$24:$D$24,Installation_MJ!$C$26:$D$26) + _xlfn.XLOOKUP(J129,Installation_MJ!$C$18:$N$18,Installation_MJ!$C$20:$N$20) + _xlfn.XLOOKUP(B129&amp;"|"&amp;E129,
        Calculate_cap_ener!$L$14:$L$21&amp;"|"&amp;Calculate_cap_ener!$I$14:$I$21,
        Calculate_cap_ener!$AW$14:$AW$21, "Not found", 0))</f>
        <v>301.54490153139051</v>
      </c>
      <c r="S129" s="8" cm="1">
        <f t="array" ref="S129">_xlfn.SWITCH(K129,200,_xlfn.XLOOKUP(J129,EOL_MJ!$C$18:$N$18,EOL_MJ!$C$20:$N$20) + _xlfn.XLOOKUP(B129&amp;"|"&amp;E129,
        Calculate_cap_ener!$L$14:$L$21&amp;"|"&amp;Calculate_cap_ener!$I$14:$I$21,
        Calculate_cap_ener!$BD$14:$BD$21, "Not found", 0), LOOKUP(K129,EOL_MJ!$C$24:$D$24,EOL_MJ!$C$26:$D$26) + _xlfn.XLOOKUP(J129,EOL_MJ!$C$18:$N$18,EOL_MJ!$C$20:$N$20) + _xlfn.XLOOKUP(B129&amp;"|"&amp;E129,
        Calculate_cap_ener!$L$14:$L$21&amp;"|"&amp;Calculate_cap_ener!$I$14:$I$21,
        Calculate_cap_ener!$BD$14:$BD$21, "Not found", 0))</f>
        <v>16775.861945945453</v>
      </c>
      <c r="T129" s="8" cm="1">
        <f t="array" ref="T129">_xlfn.SWITCH(K129,200,_xlfn.XLOOKUP(J129,Other!$C$18:$N$18,Other!$C$20:$N$20) + _xlfn.XLOOKUP(B129&amp;"|"&amp;E129,
        Calculate_cap_ener!$L$14:$L$21&amp;"|"&amp;Calculate_cap_ener!$I$14:$I$21,
        Calculate_cap_ener!$BK$14:$BK$21, "Not found", 0), LOOKUP(K129,Other!$C$24:$D$24,Other!$C$26:$D$26) + _xlfn.XLOOKUP(J129,Other!$C$18:$N$18,Other!$C$20:$N$20) + _xlfn.XLOOKUP(B129&amp;"|"&amp;E129,
        Calculate_cap_ener!$L$14:$L$21&amp;"|"&amp;Calculate_cap_ener!$I$14:$I$21,
        Calculate_cap_ener!$BK$14:$BK$21, "Not found", 0))</f>
        <v>95266.356479287206</v>
      </c>
    </row>
    <row r="130" spans="1:20" x14ac:dyDescent="0.25">
      <c r="A130" s="5"/>
      <c r="B130" s="5" t="str">
        <f t="shared" si="13"/>
        <v>Mass-Nom</v>
      </c>
      <c r="C130" s="5" t="s">
        <v>37</v>
      </c>
      <c r="D130" s="5" t="str">
        <f t="shared" si="14"/>
        <v>Nom</v>
      </c>
      <c r="E130" s="5" t="s">
        <v>11</v>
      </c>
      <c r="F130" s="5" t="s">
        <v>55</v>
      </c>
      <c r="G130" s="5" t="s">
        <v>55</v>
      </c>
      <c r="H130" s="5">
        <v>14</v>
      </c>
      <c r="I130" s="5"/>
      <c r="J130" s="5">
        <f t="shared" si="8"/>
        <v>14</v>
      </c>
      <c r="K130" s="5">
        <v>500</v>
      </c>
      <c r="L130" s="8" cm="1">
        <f t="array" ref="L130">_xlfn.SWITCH(K130,200,_xlfn.XLOOKUP(J130,Manufacture_MJ!$C$18:$N$18,Manufacture_MJ!$C$20:$N$20) + _xlfn.XLOOKUP(B130&amp;"|"&amp;E130,
        Calculate_cap_ener!$L$14:$L$21&amp;"|"&amp;Calculate_cap_ener!$I$14:$I$21,
        Calculate_cap_ener!$AI$14:$AI$21, "Not found", 0), LOOKUP(K130,Manufacture_MJ!$C$24:$D$24,Manufacture_MJ!$C$26:$D$26) + _xlfn.XLOOKUP(J130,Manufacture_MJ!$C$18:$N$18,Manufacture_MJ!$C$20:$N$20) + _xlfn.XLOOKUP(B130&amp;"|"&amp;E130,
        Calculate_cap_ener!$L$14:$L$21&amp;"|"&amp;Calculate_cap_ener!$I$14:$I$21,
        Calculate_cap_ener!$AI$14:$AI$21, "Not found", 0))</f>
        <v>124887.88108539584</v>
      </c>
      <c r="M130" s="8">
        <f>_xlfn.XLOOKUP(J130,Manufacture_MJ!$C$18:$N$18,Manufacture_MJ!$C$20:$N$20)</f>
        <v>51534.195201054921</v>
      </c>
      <c r="N130" s="8" cm="1">
        <f t="array" ref="N130">_xlfn.SWITCH(K130,200,0,LOOKUP(K130,Manufacture_MJ!$C$24:$D$24,Manufacture_MJ!$C$26:$D$26))</f>
        <v>10613.59090909091</v>
      </c>
      <c r="O130" s="5" cm="1">
        <f t="array" ref="O130">_xlfn.XLOOKUP(B130&amp;"|"&amp;E130,
        Calculate_cap_ener!$L$14:$L$21&amp;"|"&amp;Calculate_cap_ener!$I$14:$I$21,
        Calculate_cap_ener!$AI$14:$AI$21, "Not found", 0)</f>
        <v>62740.094975250002</v>
      </c>
      <c r="P130" s="8">
        <f t="shared" si="12"/>
        <v>124887.88108539584</v>
      </c>
      <c r="Q130" s="8" cm="1">
        <f t="array" ref="Q130">_xlfn.SWITCH(K130,200,_xlfn.XLOOKUP(J130,Distribution_MJ!$C$18:$N$18,Distribution_MJ!$C$20:$N$20) + _xlfn.XLOOKUP(B130&amp;"|"&amp;E130,
        Calculate_cap_ener!$L$14:$L$21&amp;"|"&amp;Calculate_cap_ener!$I$14:$I$21,
        Calculate_cap_ener!$AP$14:$AP$21, "Not found", 0), LOOKUP(K130,Distribution_MJ!$C$24:$D$24,Distribution_MJ!$C$26:$D$26) + _xlfn.XLOOKUP(J130,Distribution_MJ!$C$18:$N$18,Distribution_MJ!$C$20:$N$20) + _xlfn.XLOOKUP(B130&amp;"|"&amp;E130,
        Calculate_cap_ener!$L$14:$L$21&amp;"|"&amp;Calculate_cap_ener!$I$14:$I$21,
        Calculate_cap_ener!$AP$14:$AP$21, "Not found", 0))</f>
        <v>3070.3475044442439</v>
      </c>
      <c r="R130" s="8" cm="1">
        <f t="array" ref="R130">_xlfn.SWITCH(K130,200,_xlfn.XLOOKUP(J130,Installation_MJ!$C$18:$N$18,Installation_MJ!$C$20:$N$20) + _xlfn.XLOOKUP(B130&amp;"|"&amp;E130,
        Calculate_cap_ener!$L$14:$L$21&amp;"|"&amp;Calculate_cap_ener!$I$14:$I$21,
        Calculate_cap_ener!$AW$14:$AW$21, "Not found", 0), LOOKUP(K130,Installation_MJ!$C$24:$D$24,Installation_MJ!$C$26:$D$26) + _xlfn.XLOOKUP(J130,Installation_MJ!$C$18:$N$18,Installation_MJ!$C$20:$N$20) + _xlfn.XLOOKUP(B130&amp;"|"&amp;E130,
        Calculate_cap_ener!$L$14:$L$21&amp;"|"&amp;Calculate_cap_ener!$I$14:$I$21,
        Calculate_cap_ener!$AW$14:$AW$21, "Not found", 0))</f>
        <v>313.8402928315017</v>
      </c>
      <c r="S130" s="8" cm="1">
        <f t="array" ref="S130">_xlfn.SWITCH(K130,200,_xlfn.XLOOKUP(J130,EOL_MJ!$C$18:$N$18,EOL_MJ!$C$20:$N$20) + _xlfn.XLOOKUP(B130&amp;"|"&amp;E130,
        Calculate_cap_ener!$L$14:$L$21&amp;"|"&amp;Calculate_cap_ener!$I$14:$I$21,
        Calculate_cap_ener!$BD$14:$BD$21, "Not found", 0), LOOKUP(K130,EOL_MJ!$C$24:$D$24,EOL_MJ!$C$26:$D$26) + _xlfn.XLOOKUP(J130,EOL_MJ!$C$18:$N$18,EOL_MJ!$C$20:$N$20) + _xlfn.XLOOKUP(B130&amp;"|"&amp;E130,
        Calculate_cap_ener!$L$14:$L$21&amp;"|"&amp;Calculate_cap_ener!$I$14:$I$21,
        Calculate_cap_ener!$BD$14:$BD$21, "Not found", 0))</f>
        <v>16775.861945945453</v>
      </c>
      <c r="T130" s="8" cm="1">
        <f t="array" ref="T130">_xlfn.SWITCH(K130,200,_xlfn.XLOOKUP(J130,Other!$C$18:$N$18,Other!$C$20:$N$20) + _xlfn.XLOOKUP(B130&amp;"|"&amp;E130,
        Calculate_cap_ener!$L$14:$L$21&amp;"|"&amp;Calculate_cap_ener!$I$14:$I$21,
        Calculate_cap_ener!$BK$14:$BK$21, "Not found", 0), LOOKUP(K130,Other!$C$24:$D$24,Other!$C$26:$D$26) + _xlfn.XLOOKUP(J130,Other!$C$18:$N$18,Other!$C$20:$N$20) + _xlfn.XLOOKUP(B130&amp;"|"&amp;E130,
        Calculate_cap_ener!$L$14:$L$21&amp;"|"&amp;Calculate_cap_ener!$I$14:$I$21,
        Calculate_cap_ener!$BK$14:$BK$21, "Not found", 0))</f>
        <v>95375.805229101243</v>
      </c>
    </row>
    <row r="131" spans="1:20" x14ac:dyDescent="0.25">
      <c r="A131" s="5"/>
      <c r="B131" s="5" t="str">
        <f>CONCATENATE(C131, "-", "Nom")</f>
        <v>Mass-Nom</v>
      </c>
      <c r="C131" s="5" t="s">
        <v>37</v>
      </c>
      <c r="D131" s="5" t="str">
        <f>_xlfn.TEXTAFTER(B131, "-", 1)</f>
        <v>Nom</v>
      </c>
      <c r="E131" s="5" t="s">
        <v>11</v>
      </c>
      <c r="F131" s="5" t="s">
        <v>57</v>
      </c>
      <c r="G131" s="5" t="s">
        <v>57</v>
      </c>
      <c r="H131" s="5">
        <v>5</v>
      </c>
      <c r="I131" s="5"/>
      <c r="J131" s="5">
        <f t="shared" si="8"/>
        <v>5</v>
      </c>
      <c r="K131" s="5">
        <v>1000</v>
      </c>
      <c r="L131" s="8" cm="1">
        <f t="array" ref="L131">_xlfn.SWITCH(K131,200,_xlfn.XLOOKUP(J131,Manufacture_MJ!$C$18:$N$18,Manufacture_MJ!$C$20:$N$20) + _xlfn.XLOOKUP(B131&amp;"|"&amp;E131,
        Calculate_cap_ener!$L$14:$L$21&amp;"|"&amp;Calculate_cap_ener!$I$14:$I$21,
        Calculate_cap_ener!$AI$14:$AI$21, "Not found", 0), LOOKUP(K131,Manufacture_MJ!$C$24:$D$24,Manufacture_MJ!$C$26:$D$26) + _xlfn.XLOOKUP(J131,Manufacture_MJ!$C$18:$N$18,Manufacture_MJ!$C$20:$N$20) + _xlfn.XLOOKUP(B131&amp;"|"&amp;E131,
        Calculate_cap_ener!$L$14:$L$21&amp;"|"&amp;Calculate_cap_ener!$I$14:$I$21,
        Calculate_cap_ener!$AI$14:$AI$21, "Not found", 0))</f>
        <v>131654.06095544246</v>
      </c>
      <c r="M131" s="8">
        <f>_xlfn.XLOOKUP(J131,Manufacture_MJ!$C$18:$N$18,Manufacture_MJ!$C$20:$N$20)</f>
        <v>48340.647798374281</v>
      </c>
      <c r="N131" s="8" cm="1">
        <f t="array" ref="N131">_xlfn.SWITCH(K131,200,0,LOOKUP(K131,Manufacture_MJ!$C$24:$D$24,Manufacture_MJ!$C$26:$D$26))</f>
        <v>20573.31818181818</v>
      </c>
      <c r="O131" s="5" cm="1">
        <f t="array" ref="O131">_xlfn.XLOOKUP(B131&amp;"|"&amp;E131,
        Calculate_cap_ener!$L$14:$L$21&amp;"|"&amp;Calculate_cap_ener!$I$14:$I$21,
        Calculate_cap_ener!$AI$14:$AI$21, "Not found", 0)</f>
        <v>62740.094975250002</v>
      </c>
      <c r="P131" s="8">
        <f t="shared" si="12"/>
        <v>131654.06095544246</v>
      </c>
      <c r="Q131" s="8" cm="1">
        <f t="array" ref="Q131">_xlfn.SWITCH(K131,200,_xlfn.XLOOKUP(J131,Distribution_MJ!$C$18:$N$18,Distribution_MJ!$C$20:$N$20) + _xlfn.XLOOKUP(B131&amp;"|"&amp;E131,
        Calculate_cap_ener!$L$14:$L$21&amp;"|"&amp;Calculate_cap_ener!$I$14:$I$21,
        Calculate_cap_ener!$AP$14:$AP$21, "Not found", 0), LOOKUP(K131,Distribution_MJ!$C$24:$D$24,Distribution_MJ!$C$26:$D$26) + _xlfn.XLOOKUP(J131,Distribution_MJ!$C$18:$N$18,Distribution_MJ!$C$20:$N$20) + _xlfn.XLOOKUP(B131&amp;"|"&amp;E131,
        Calculate_cap_ener!$L$14:$L$21&amp;"|"&amp;Calculate_cap_ener!$I$14:$I$21,
        Calculate_cap_ener!$AP$14:$AP$21, "Not found", 0))</f>
        <v>2956.594191574894</v>
      </c>
      <c r="R131" s="8" cm="1">
        <f t="array" ref="R131">_xlfn.SWITCH(K131,200,_xlfn.XLOOKUP(J131,Installation_MJ!$C$18:$N$18,Installation_MJ!$C$20:$N$20) + _xlfn.XLOOKUP(B131&amp;"|"&amp;E131,
        Calculate_cap_ener!$L$14:$L$21&amp;"|"&amp;Calculate_cap_ener!$I$14:$I$21,
        Calculate_cap_ener!$AW$14:$AW$21, "Not found", 0), LOOKUP(K131,Installation_MJ!$C$24:$D$24,Installation_MJ!$C$26:$D$26) + _xlfn.XLOOKUP(J131,Installation_MJ!$C$18:$N$18,Installation_MJ!$C$20:$N$20) + _xlfn.XLOOKUP(B131&amp;"|"&amp;E131,
        Calculate_cap_ener!$L$14:$L$21&amp;"|"&amp;Calculate_cap_ener!$I$14:$I$21,
        Calculate_cap_ener!$AW$14:$AW$21, "Not found", 0))</f>
        <v>297.43586121857447</v>
      </c>
      <c r="S131" s="8" cm="1">
        <f t="array" ref="S131">_xlfn.SWITCH(K131,200,_xlfn.XLOOKUP(J131,EOL_MJ!$C$18:$N$18,EOL_MJ!$C$20:$N$20) + _xlfn.XLOOKUP(B131&amp;"|"&amp;E131,
        Calculate_cap_ener!$L$14:$L$21&amp;"|"&amp;Calculate_cap_ener!$I$14:$I$21,
        Calculate_cap_ener!$BD$14:$BD$21, "Not found", 0), LOOKUP(K131,EOL_MJ!$C$24:$D$24,EOL_MJ!$C$26:$D$26) + _xlfn.XLOOKUP(J131,EOL_MJ!$C$18:$N$18,EOL_MJ!$C$20:$N$20) + _xlfn.XLOOKUP(B131&amp;"|"&amp;E131,
        Calculate_cap_ener!$L$14:$L$21&amp;"|"&amp;Calculate_cap_ener!$I$14:$I$21,
        Calculate_cap_ener!$BD$14:$BD$21, "Not found", 0))</f>
        <v>26912.180127763633</v>
      </c>
      <c r="T131" s="8" cm="1">
        <f t="array" ref="T131">_xlfn.SWITCH(K131,200,_xlfn.XLOOKUP(J131,Other!$C$18:$N$18,Other!$C$20:$N$20) + _xlfn.XLOOKUP(B131&amp;"|"&amp;E131,
        Calculate_cap_ener!$L$14:$L$21&amp;"|"&amp;Calculate_cap_ener!$I$14:$I$21,
        Calculate_cap_ener!$BK$14:$BK$21, "Not found", 0), LOOKUP(K131,Other!$C$24:$D$24,Other!$C$26:$D$26) + _xlfn.XLOOKUP(J131,Other!$C$18:$N$18,Other!$C$20:$N$20) + _xlfn.XLOOKUP(B131&amp;"|"&amp;E131,
        Calculate_cap_ener!$L$14:$L$21&amp;"|"&amp;Calculate_cap_ener!$I$14:$I$21,
        Calculate_cap_ener!$BK$14:$BK$21, "Not found", 0))</f>
        <v>95178.797479435976</v>
      </c>
    </row>
    <row r="132" spans="1:20" x14ac:dyDescent="0.25">
      <c r="A132" s="5"/>
      <c r="B132" s="5" t="str">
        <f t="shared" ref="B132:B138" si="15">CONCATENATE(C132, "-", "Nom")</f>
        <v>Mass-Nom</v>
      </c>
      <c r="C132" s="5" t="s">
        <v>37</v>
      </c>
      <c r="D132" s="5" t="str">
        <f t="shared" ref="D132:D138" si="16">_xlfn.TEXTAFTER(B132, "-", 1)</f>
        <v>Nom</v>
      </c>
      <c r="E132" s="5" t="s">
        <v>11</v>
      </c>
      <c r="F132" s="5" t="s">
        <v>57</v>
      </c>
      <c r="G132" s="5" t="s">
        <v>57</v>
      </c>
      <c r="H132" s="5">
        <v>6</v>
      </c>
      <c r="I132" s="5"/>
      <c r="J132" s="5">
        <f t="shared" si="8"/>
        <v>6</v>
      </c>
      <c r="K132" s="5">
        <v>1000</v>
      </c>
      <c r="L132" s="8" cm="1">
        <f t="array" ref="L132">_xlfn.SWITCH(K132,200,_xlfn.XLOOKUP(J132,Manufacture_MJ!$C$18:$N$18,Manufacture_MJ!$C$20:$N$20) + _xlfn.XLOOKUP(B132&amp;"|"&amp;E132,
        Calculate_cap_ener!$L$14:$L$21&amp;"|"&amp;Calculate_cap_ener!$I$14:$I$21,
        Calculate_cap_ener!$AI$14:$AI$21, "Not found", 0), LOOKUP(K132,Manufacture_MJ!$C$24:$D$24,Manufacture_MJ!$C$26:$D$26) + _xlfn.XLOOKUP(J132,Manufacture_MJ!$C$18:$N$18,Manufacture_MJ!$C$20:$N$20) + _xlfn.XLOOKUP(B132&amp;"|"&amp;E132,
        Calculate_cap_ener!$L$14:$L$21&amp;"|"&amp;Calculate_cap_ener!$I$14:$I$21,
        Calculate_cap_ener!$AI$14:$AI$21, "Not found", 0))</f>
        <v>132008.8995557403</v>
      </c>
      <c r="M132" s="8">
        <f>_xlfn.XLOOKUP(J132,Manufacture_MJ!$C$18:$N$18,Manufacture_MJ!$C$20:$N$20)</f>
        <v>48695.486398672118</v>
      </c>
      <c r="N132" s="8" cm="1">
        <f t="array" ref="N132">_xlfn.SWITCH(K132,200,0,LOOKUP(K132,Manufacture_MJ!$C$24:$D$24,Manufacture_MJ!$C$26:$D$26))</f>
        <v>20573.31818181818</v>
      </c>
      <c r="O132" s="5" cm="1">
        <f t="array" ref="O132">_xlfn.XLOOKUP(B132&amp;"|"&amp;E132,
        Calculate_cap_ener!$L$14:$L$21&amp;"|"&amp;Calculate_cap_ener!$I$14:$I$21,
        Calculate_cap_ener!$AI$14:$AI$21, "Not found", 0)</f>
        <v>62740.094975250002</v>
      </c>
      <c r="P132" s="8">
        <f t="shared" si="12"/>
        <v>132008.8995557403</v>
      </c>
      <c r="Q132" s="8" cm="1">
        <f t="array" ref="Q132">_xlfn.SWITCH(K132,200,_xlfn.XLOOKUP(J132,Distribution_MJ!$C$18:$N$18,Distribution_MJ!$C$20:$N$20) + _xlfn.XLOOKUP(B132&amp;"|"&amp;E132,
        Calculate_cap_ener!$L$14:$L$21&amp;"|"&amp;Calculate_cap_ener!$I$14:$I$21,
        Calculate_cap_ener!$AP$14:$AP$21, "Not found", 0), LOOKUP(K132,Distribution_MJ!$C$24:$D$24,Distribution_MJ!$C$26:$D$26) + _xlfn.XLOOKUP(J132,Distribution_MJ!$C$18:$N$18,Distribution_MJ!$C$20:$N$20) + _xlfn.XLOOKUP(B132&amp;"|"&amp;E132,
        Calculate_cap_ener!$L$14:$L$21&amp;"|"&amp;Calculate_cap_ener!$I$14:$I$21,
        Calculate_cap_ener!$AP$14:$AP$21, "Not found", 0))</f>
        <v>2989.2984847100438</v>
      </c>
      <c r="R132" s="8" cm="1">
        <f t="array" ref="R132">_xlfn.SWITCH(K132,200,_xlfn.XLOOKUP(J132,Installation_MJ!$C$18:$N$18,Installation_MJ!$C$20:$N$20) + _xlfn.XLOOKUP(B132&amp;"|"&amp;E132,
        Calculate_cap_ener!$L$14:$L$21&amp;"|"&amp;Calculate_cap_ener!$I$14:$I$21,
        Calculate_cap_ener!$AW$14:$AW$21, "Not found", 0), LOOKUP(K132,Installation_MJ!$C$24:$D$24,Installation_MJ!$C$26:$D$26) + _xlfn.XLOOKUP(J132,Installation_MJ!$C$18:$N$18,Installation_MJ!$C$20:$N$20) + _xlfn.XLOOKUP(B132&amp;"|"&amp;E132,
        Calculate_cap_ener!$L$14:$L$21&amp;"|"&amp;Calculate_cap_ener!$I$14:$I$21,
        Calculate_cap_ener!$AW$14:$AW$21, "Not found", 0))</f>
        <v>299.89493947859671</v>
      </c>
      <c r="S132" s="8" cm="1">
        <f t="array" ref="S132">_xlfn.SWITCH(K132,200,_xlfn.XLOOKUP(J132,EOL_MJ!$C$18:$N$18,EOL_MJ!$C$20:$N$20) + _xlfn.XLOOKUP(B132&amp;"|"&amp;E132,
        Calculate_cap_ener!$L$14:$L$21&amp;"|"&amp;Calculate_cap_ener!$I$14:$I$21,
        Calculate_cap_ener!$BD$14:$BD$21, "Not found", 0), LOOKUP(K132,EOL_MJ!$C$24:$D$24,EOL_MJ!$C$26:$D$26) + _xlfn.XLOOKUP(J132,EOL_MJ!$C$18:$N$18,EOL_MJ!$C$20:$N$20) + _xlfn.XLOOKUP(B132&amp;"|"&amp;E132,
        Calculate_cap_ener!$L$14:$L$21&amp;"|"&amp;Calculate_cap_ener!$I$14:$I$21,
        Calculate_cap_ener!$BD$14:$BD$21, "Not found", 0))</f>
        <v>26912.180127763633</v>
      </c>
      <c r="T132" s="8" cm="1">
        <f t="array" ref="T132">_xlfn.SWITCH(K132,200,_xlfn.XLOOKUP(J132,Other!$C$18:$N$18,Other!$C$20:$N$20) + _xlfn.XLOOKUP(B132&amp;"|"&amp;E132,
        Calculate_cap_ener!$L$14:$L$21&amp;"|"&amp;Calculate_cap_ener!$I$14:$I$21,
        Calculate_cap_ener!$BK$14:$BK$21, "Not found", 0), LOOKUP(K132,Other!$C$24:$D$24,Other!$C$26:$D$26) + _xlfn.XLOOKUP(J132,Other!$C$18:$N$18,Other!$C$20:$N$20) + _xlfn.XLOOKUP(B132&amp;"|"&amp;E132,
        Calculate_cap_ener!$L$14:$L$21&amp;"|"&amp;Calculate_cap_ener!$I$14:$I$21,
        Calculate_cap_ener!$BK$14:$BK$21, "Not found", 0))</f>
        <v>95200.687229398784</v>
      </c>
    </row>
    <row r="133" spans="1:20" x14ac:dyDescent="0.25">
      <c r="A133" s="5"/>
      <c r="B133" s="5" t="str">
        <f t="shared" si="15"/>
        <v>Mass-Nom</v>
      </c>
      <c r="C133" s="5" t="s">
        <v>37</v>
      </c>
      <c r="D133" s="5" t="str">
        <f t="shared" si="16"/>
        <v>Nom</v>
      </c>
      <c r="E133" s="5" t="s">
        <v>11</v>
      </c>
      <c r="F133" s="5" t="s">
        <v>57</v>
      </c>
      <c r="G133" s="5" t="s">
        <v>57</v>
      </c>
      <c r="H133" s="5">
        <v>8.5</v>
      </c>
      <c r="I133" s="5"/>
      <c r="J133" s="5">
        <f t="shared" si="8"/>
        <v>9</v>
      </c>
      <c r="K133" s="5">
        <v>1000</v>
      </c>
      <c r="L133" s="8" cm="1">
        <f t="array" ref="L133">_xlfn.SWITCH(K133,200,_xlfn.XLOOKUP(J133,Manufacture_MJ!$C$18:$N$18,Manufacture_MJ!$C$20:$N$20) + _xlfn.XLOOKUP(B133&amp;"|"&amp;E133,
        Calculate_cap_ener!$L$14:$L$21&amp;"|"&amp;Calculate_cap_ener!$I$14:$I$21,
        Calculate_cap_ener!$AI$14:$AI$21, "Not found", 0), LOOKUP(K133,Manufacture_MJ!$C$24:$D$24,Manufacture_MJ!$C$26:$D$26) + _xlfn.XLOOKUP(J133,Manufacture_MJ!$C$18:$N$18,Manufacture_MJ!$C$20:$N$20) + _xlfn.XLOOKUP(B133&amp;"|"&amp;E133,
        Calculate_cap_ener!$L$14:$L$21&amp;"|"&amp;Calculate_cap_ener!$I$14:$I$21,
        Calculate_cap_ener!$AI$14:$AI$21, "Not found", 0))</f>
        <v>133073.41535663381</v>
      </c>
      <c r="M133" s="8">
        <f>_xlfn.XLOOKUP(J133,Manufacture_MJ!$C$18:$N$18,Manufacture_MJ!$C$20:$N$20)</f>
        <v>49760.002199565621</v>
      </c>
      <c r="N133" s="8" cm="1">
        <f t="array" ref="N133">_xlfn.SWITCH(K133,200,0,LOOKUP(K133,Manufacture_MJ!$C$24:$D$24,Manufacture_MJ!$C$26:$D$26))</f>
        <v>20573.31818181818</v>
      </c>
      <c r="O133" s="5" cm="1">
        <f t="array" ref="O133">_xlfn.XLOOKUP(B133&amp;"|"&amp;E133,
        Calculate_cap_ener!$L$14:$L$21&amp;"|"&amp;Calculate_cap_ener!$I$14:$I$21,
        Calculate_cap_ener!$AI$14:$AI$21, "Not found", 0)</f>
        <v>62740.094975250002</v>
      </c>
      <c r="P133" s="8">
        <f t="shared" si="12"/>
        <v>133073.41535663381</v>
      </c>
      <c r="Q133" s="8" cm="1">
        <f t="array" ref="Q133">_xlfn.SWITCH(K133,200,_xlfn.XLOOKUP(J133,Distribution_MJ!$C$18:$N$18,Distribution_MJ!$C$20:$N$20) + _xlfn.XLOOKUP(B133&amp;"|"&amp;E133,
        Calculate_cap_ener!$L$14:$L$21&amp;"|"&amp;Calculate_cap_ener!$I$14:$I$21,
        Calculate_cap_ener!$AP$14:$AP$21, "Not found", 0), LOOKUP(K133,Distribution_MJ!$C$24:$D$24,Distribution_MJ!$C$26:$D$26) + _xlfn.XLOOKUP(J133,Distribution_MJ!$C$18:$N$18,Distribution_MJ!$C$20:$N$20) + _xlfn.XLOOKUP(B133&amp;"|"&amp;E133,
        Calculate_cap_ener!$L$14:$L$21&amp;"|"&amp;Calculate_cap_ener!$I$14:$I$21,
        Calculate_cap_ener!$AP$14:$AP$21, "Not found", 0))</f>
        <v>3087.4113641154936</v>
      </c>
      <c r="R133" s="8" cm="1">
        <f t="array" ref="R133">_xlfn.SWITCH(K133,200,_xlfn.XLOOKUP(J133,Installation_MJ!$C$18:$N$18,Installation_MJ!$C$20:$N$20) + _xlfn.XLOOKUP(B133&amp;"|"&amp;E133,
        Calculate_cap_ener!$L$14:$L$21&amp;"|"&amp;Calculate_cap_ener!$I$14:$I$21,
        Calculate_cap_ener!$AW$14:$AW$21, "Not found", 0), LOOKUP(K133,Installation_MJ!$C$24:$D$24,Installation_MJ!$C$26:$D$26) + _xlfn.XLOOKUP(J133,Installation_MJ!$C$18:$N$18,Installation_MJ!$C$20:$N$20) + _xlfn.XLOOKUP(B133&amp;"|"&amp;E133,
        Calculate_cap_ener!$L$14:$L$21&amp;"|"&amp;Calculate_cap_ener!$I$14:$I$21,
        Calculate_cap_ener!$AW$14:$AW$21, "Not found", 0))</f>
        <v>307.27217425866326</v>
      </c>
      <c r="S133" s="8" cm="1">
        <f t="array" ref="S133">_xlfn.SWITCH(K133,200,_xlfn.XLOOKUP(J133,EOL_MJ!$C$18:$N$18,EOL_MJ!$C$20:$N$20) + _xlfn.XLOOKUP(B133&amp;"|"&amp;E133,
        Calculate_cap_ener!$L$14:$L$21&amp;"|"&amp;Calculate_cap_ener!$I$14:$I$21,
        Calculate_cap_ener!$BD$14:$BD$21, "Not found", 0), LOOKUP(K133,EOL_MJ!$C$24:$D$24,EOL_MJ!$C$26:$D$26) + _xlfn.XLOOKUP(J133,EOL_MJ!$C$18:$N$18,EOL_MJ!$C$20:$N$20) + _xlfn.XLOOKUP(B133&amp;"|"&amp;E133,
        Calculate_cap_ener!$L$14:$L$21&amp;"|"&amp;Calculate_cap_ener!$I$14:$I$21,
        Calculate_cap_ener!$BD$14:$BD$21, "Not found", 0))</f>
        <v>26912.180127763633</v>
      </c>
      <c r="T133" s="8" cm="1">
        <f t="array" ref="T133">_xlfn.SWITCH(K133,200,_xlfn.XLOOKUP(J133,Other!$C$18:$N$18,Other!$C$20:$N$20) + _xlfn.XLOOKUP(B133&amp;"|"&amp;E133,
        Calculate_cap_ener!$L$14:$L$21&amp;"|"&amp;Calculate_cap_ener!$I$14:$I$21,
        Calculate_cap_ener!$BK$14:$BK$21, "Not found", 0), LOOKUP(K133,Other!$C$24:$D$24,Other!$C$26:$D$26) + _xlfn.XLOOKUP(J133,Other!$C$18:$N$18,Other!$C$20:$N$20) + _xlfn.XLOOKUP(B133&amp;"|"&amp;E133,
        Calculate_cap_ener!$L$14:$L$21&amp;"|"&amp;Calculate_cap_ener!$I$14:$I$21,
        Calculate_cap_ener!$BK$14:$BK$21, "Not found", 0))</f>
        <v>95266.356479287206</v>
      </c>
    </row>
    <row r="134" spans="1:20" x14ac:dyDescent="0.25">
      <c r="A134" s="5"/>
      <c r="B134" s="5" t="str">
        <f t="shared" si="15"/>
        <v>Mass-Nom</v>
      </c>
      <c r="C134" s="5" t="s">
        <v>37</v>
      </c>
      <c r="D134" s="5" t="str">
        <f t="shared" si="16"/>
        <v>Nom</v>
      </c>
      <c r="E134" s="5" t="s">
        <v>11</v>
      </c>
      <c r="F134" s="5" t="s">
        <v>57</v>
      </c>
      <c r="G134" s="5" t="s">
        <v>57</v>
      </c>
      <c r="H134" s="5">
        <v>11.2</v>
      </c>
      <c r="I134" s="5"/>
      <c r="J134" s="5">
        <f t="shared" si="8"/>
        <v>12</v>
      </c>
      <c r="K134" s="5">
        <v>1000</v>
      </c>
      <c r="L134" s="8" cm="1">
        <f t="array" ref="L134">_xlfn.SWITCH(K134,200,_xlfn.XLOOKUP(J134,Manufacture_MJ!$C$18:$N$18,Manufacture_MJ!$C$20:$N$20) + _xlfn.XLOOKUP(B134&amp;"|"&amp;E134,
        Calculate_cap_ener!$L$14:$L$21&amp;"|"&amp;Calculate_cap_ener!$I$14:$I$21,
        Calculate_cap_ener!$AI$14:$AI$21, "Not found", 0), LOOKUP(K134,Manufacture_MJ!$C$24:$D$24,Manufacture_MJ!$C$26:$D$26) + _xlfn.XLOOKUP(J134,Manufacture_MJ!$C$18:$N$18,Manufacture_MJ!$C$20:$N$20) + _xlfn.XLOOKUP(B134&amp;"|"&amp;E134,
        Calculate_cap_ener!$L$14:$L$21&amp;"|"&amp;Calculate_cap_ener!$I$14:$I$21,
        Calculate_cap_ener!$AI$14:$AI$21, "Not found", 0))</f>
        <v>134137.93115752743</v>
      </c>
      <c r="M134" s="8">
        <f>_xlfn.XLOOKUP(J134,Manufacture_MJ!$C$18:$N$18,Manufacture_MJ!$C$20:$N$20)</f>
        <v>50824.518000459248</v>
      </c>
      <c r="N134" s="8" cm="1">
        <f t="array" ref="N134">_xlfn.SWITCH(K134,200,0,LOOKUP(K134,Manufacture_MJ!$C$24:$D$24,Manufacture_MJ!$C$26:$D$26))</f>
        <v>20573.31818181818</v>
      </c>
      <c r="O134" s="5" cm="1">
        <f t="array" ref="O134">_xlfn.XLOOKUP(B134&amp;"|"&amp;E134,
        Calculate_cap_ener!$L$14:$L$21&amp;"|"&amp;Calculate_cap_ener!$I$14:$I$21,
        Calculate_cap_ener!$AI$14:$AI$21, "Not found", 0)</f>
        <v>62740.094975250002</v>
      </c>
      <c r="P134" s="8">
        <f t="shared" si="12"/>
        <v>134137.93115752743</v>
      </c>
      <c r="Q134" s="8" cm="1">
        <f t="array" ref="Q134">_xlfn.SWITCH(K134,200,_xlfn.XLOOKUP(J134,Distribution_MJ!$C$18:$N$18,Distribution_MJ!$C$20:$N$20) + _xlfn.XLOOKUP(B134&amp;"|"&amp;E134,
        Calculate_cap_ener!$L$14:$L$21&amp;"|"&amp;Calculate_cap_ener!$I$14:$I$21,
        Calculate_cap_ener!$AP$14:$AP$21, "Not found", 0), LOOKUP(K134,Distribution_MJ!$C$24:$D$24,Distribution_MJ!$C$26:$D$26) + _xlfn.XLOOKUP(J134,Distribution_MJ!$C$18:$N$18,Distribution_MJ!$C$20:$N$20) + _xlfn.XLOOKUP(B134&amp;"|"&amp;E134,
        Calculate_cap_ener!$L$14:$L$21&amp;"|"&amp;Calculate_cap_ener!$I$14:$I$21,
        Calculate_cap_ener!$AP$14:$AP$21, "Not found", 0))</f>
        <v>3185.5242435209439</v>
      </c>
      <c r="R134" s="8" cm="1">
        <f t="array" ref="R134">_xlfn.SWITCH(K134,200,_xlfn.XLOOKUP(J134,Installation_MJ!$C$18:$N$18,Installation_MJ!$C$20:$N$20) + _xlfn.XLOOKUP(B134&amp;"|"&amp;E134,
        Calculate_cap_ener!$L$14:$L$21&amp;"|"&amp;Calculate_cap_ener!$I$14:$I$21,
        Calculate_cap_ener!$AW$14:$AW$21, "Not found", 0), LOOKUP(K134,Installation_MJ!$C$24:$D$24,Installation_MJ!$C$26:$D$26) + _xlfn.XLOOKUP(J134,Installation_MJ!$C$18:$N$18,Installation_MJ!$C$20:$N$20) + _xlfn.XLOOKUP(B134&amp;"|"&amp;E134,
        Calculate_cap_ener!$L$14:$L$21&amp;"|"&amp;Calculate_cap_ener!$I$14:$I$21,
        Calculate_cap_ener!$AW$14:$AW$21, "Not found", 0))</f>
        <v>314.64940903872991</v>
      </c>
      <c r="S134" s="8" cm="1">
        <f t="array" ref="S134">_xlfn.SWITCH(K134,200,_xlfn.XLOOKUP(J134,EOL_MJ!$C$18:$N$18,EOL_MJ!$C$20:$N$20) + _xlfn.XLOOKUP(B134&amp;"|"&amp;E134,
        Calculate_cap_ener!$L$14:$L$21&amp;"|"&amp;Calculate_cap_ener!$I$14:$I$21,
        Calculate_cap_ener!$BD$14:$BD$21, "Not found", 0), LOOKUP(K134,EOL_MJ!$C$24:$D$24,EOL_MJ!$C$26:$D$26) + _xlfn.XLOOKUP(J134,EOL_MJ!$C$18:$N$18,EOL_MJ!$C$20:$N$20) + _xlfn.XLOOKUP(B134&amp;"|"&amp;E134,
        Calculate_cap_ener!$L$14:$L$21&amp;"|"&amp;Calculate_cap_ener!$I$14:$I$21,
        Calculate_cap_ener!$BD$14:$BD$21, "Not found", 0))</f>
        <v>26912.180127763633</v>
      </c>
      <c r="T134" s="8" cm="1">
        <f t="array" ref="T134">_xlfn.SWITCH(K134,200,_xlfn.XLOOKUP(J134,Other!$C$18:$N$18,Other!$C$20:$N$20) + _xlfn.XLOOKUP(B134&amp;"|"&amp;E134,
        Calculate_cap_ener!$L$14:$L$21&amp;"|"&amp;Calculate_cap_ener!$I$14:$I$21,
        Calculate_cap_ener!$BK$14:$BK$21, "Not found", 0), LOOKUP(K134,Other!$C$24:$D$24,Other!$C$26:$D$26) + _xlfn.XLOOKUP(J134,Other!$C$18:$N$18,Other!$C$20:$N$20) + _xlfn.XLOOKUP(B134&amp;"|"&amp;E134,
        Calculate_cap_ener!$L$14:$L$21&amp;"|"&amp;Calculate_cap_ener!$I$14:$I$21,
        Calculate_cap_ener!$BK$14:$BK$21, "Not found", 0))</f>
        <v>95332.025729175628</v>
      </c>
    </row>
    <row r="135" spans="1:20" x14ac:dyDescent="0.25">
      <c r="A135" s="5"/>
      <c r="B135" s="5" t="str">
        <f t="shared" si="15"/>
        <v>Mass-Nom</v>
      </c>
      <c r="C135" s="5" t="s">
        <v>37</v>
      </c>
      <c r="D135" s="5" t="str">
        <f t="shared" si="16"/>
        <v>Nom</v>
      </c>
      <c r="E135" s="5" t="s">
        <v>11</v>
      </c>
      <c r="F135" s="5" t="s">
        <v>57</v>
      </c>
      <c r="G135" s="5" t="s">
        <v>57</v>
      </c>
      <c r="H135" s="5">
        <v>14</v>
      </c>
      <c r="I135" s="5"/>
      <c r="J135" s="5">
        <f t="shared" si="8"/>
        <v>14</v>
      </c>
      <c r="K135" s="5">
        <v>1000</v>
      </c>
      <c r="L135" s="8" cm="1">
        <f t="array" ref="L135">_xlfn.SWITCH(K135,200,_xlfn.XLOOKUP(J135,Manufacture_MJ!$C$18:$N$18,Manufacture_MJ!$C$20:$N$20) + _xlfn.XLOOKUP(B135&amp;"|"&amp;E135,
        Calculate_cap_ener!$L$14:$L$21&amp;"|"&amp;Calculate_cap_ener!$I$14:$I$21,
        Calculate_cap_ener!$AI$14:$AI$21, "Not found", 0), LOOKUP(K135,Manufacture_MJ!$C$24:$D$24,Manufacture_MJ!$C$26:$D$26) + _xlfn.XLOOKUP(J135,Manufacture_MJ!$C$18:$N$18,Manufacture_MJ!$C$20:$N$20) + _xlfn.XLOOKUP(B135&amp;"|"&amp;E135,
        Calculate_cap_ener!$L$14:$L$21&amp;"|"&amp;Calculate_cap_ener!$I$14:$I$21,
        Calculate_cap_ener!$AI$14:$AI$21, "Not found", 0))</f>
        <v>134847.60835812311</v>
      </c>
      <c r="M135" s="8">
        <f>_xlfn.XLOOKUP(J135,Manufacture_MJ!$C$18:$N$18,Manufacture_MJ!$C$20:$N$20)</f>
        <v>51534.195201054921</v>
      </c>
      <c r="N135" s="8" cm="1">
        <f t="array" ref="N135">_xlfn.SWITCH(K135,200,0,LOOKUP(K135,Manufacture_MJ!$C$24:$D$24,Manufacture_MJ!$C$26:$D$26))</f>
        <v>20573.31818181818</v>
      </c>
      <c r="O135" s="5" cm="1">
        <f t="array" ref="O135">_xlfn.XLOOKUP(B135&amp;"|"&amp;E135,
        Calculate_cap_ener!$L$14:$L$21&amp;"|"&amp;Calculate_cap_ener!$I$14:$I$21,
        Calculate_cap_ener!$AI$14:$AI$21, "Not found", 0)</f>
        <v>62740.094975250002</v>
      </c>
      <c r="P135" s="8">
        <f t="shared" si="12"/>
        <v>134847.60835812311</v>
      </c>
      <c r="Q135" s="8" cm="1">
        <f t="array" ref="Q135">_xlfn.SWITCH(K135,200,_xlfn.XLOOKUP(J135,Distribution_MJ!$C$18:$N$18,Distribution_MJ!$C$20:$N$20) + _xlfn.XLOOKUP(B135&amp;"|"&amp;E135,
        Calculate_cap_ener!$L$14:$L$21&amp;"|"&amp;Calculate_cap_ener!$I$14:$I$21,
        Calculate_cap_ener!$AP$14:$AP$21, "Not found", 0), LOOKUP(K135,Distribution_MJ!$C$24:$D$24,Distribution_MJ!$C$26:$D$26) + _xlfn.XLOOKUP(J135,Distribution_MJ!$C$18:$N$18,Distribution_MJ!$C$20:$N$20) + _xlfn.XLOOKUP(B135&amp;"|"&amp;E135,
        Calculate_cap_ener!$L$14:$L$21&amp;"|"&amp;Calculate_cap_ener!$I$14:$I$21,
        Calculate_cap_ener!$AP$14:$AP$21, "Not found", 0))</f>
        <v>3250.9328297912434</v>
      </c>
      <c r="R135" s="8" cm="1">
        <f t="array" ref="R135">_xlfn.SWITCH(K135,200,_xlfn.XLOOKUP(J135,Installation_MJ!$C$18:$N$18,Installation_MJ!$C$20:$N$20) + _xlfn.XLOOKUP(B135&amp;"|"&amp;E135,
        Calculate_cap_ener!$L$14:$L$21&amp;"|"&amp;Calculate_cap_ener!$I$14:$I$21,
        Calculate_cap_ener!$AW$14:$AW$21, "Not found", 0), LOOKUP(K135,Installation_MJ!$C$24:$D$24,Installation_MJ!$C$26:$D$26) + _xlfn.XLOOKUP(J135,Installation_MJ!$C$18:$N$18,Installation_MJ!$C$20:$N$20) + _xlfn.XLOOKUP(B135&amp;"|"&amp;E135,
        Calculate_cap_ener!$L$14:$L$21&amp;"|"&amp;Calculate_cap_ener!$I$14:$I$21,
        Calculate_cap_ener!$AW$14:$AW$21, "Not found", 0))</f>
        <v>319.56756555877445</v>
      </c>
      <c r="S135" s="8" cm="1">
        <f t="array" ref="S135">_xlfn.SWITCH(K135,200,_xlfn.XLOOKUP(J135,EOL_MJ!$C$18:$N$18,EOL_MJ!$C$20:$N$20) + _xlfn.XLOOKUP(B135&amp;"|"&amp;E135,
        Calculate_cap_ener!$L$14:$L$21&amp;"|"&amp;Calculate_cap_ener!$I$14:$I$21,
        Calculate_cap_ener!$BD$14:$BD$21, "Not found", 0), LOOKUP(K135,EOL_MJ!$C$24:$D$24,EOL_MJ!$C$26:$D$26) + _xlfn.XLOOKUP(J135,EOL_MJ!$C$18:$N$18,EOL_MJ!$C$20:$N$20) + _xlfn.XLOOKUP(B135&amp;"|"&amp;E135,
        Calculate_cap_ener!$L$14:$L$21&amp;"|"&amp;Calculate_cap_ener!$I$14:$I$21,
        Calculate_cap_ener!$BD$14:$BD$21, "Not found", 0))</f>
        <v>26912.180127763633</v>
      </c>
      <c r="T135" s="8" cm="1">
        <f t="array" ref="T135">_xlfn.SWITCH(K135,200,_xlfn.XLOOKUP(J135,Other!$C$18:$N$18,Other!$C$20:$N$20) + _xlfn.XLOOKUP(B135&amp;"|"&amp;E135,
        Calculate_cap_ener!$L$14:$L$21&amp;"|"&amp;Calculate_cap_ener!$I$14:$I$21,
        Calculate_cap_ener!$BK$14:$BK$21, "Not found", 0), LOOKUP(K135,Other!$C$24:$D$24,Other!$C$26:$D$26) + _xlfn.XLOOKUP(J135,Other!$C$18:$N$18,Other!$C$20:$N$20) + _xlfn.XLOOKUP(B135&amp;"|"&amp;E135,
        Calculate_cap_ener!$L$14:$L$21&amp;"|"&amp;Calculate_cap_ener!$I$14:$I$21,
        Calculate_cap_ener!$BK$14:$BK$21, "Not found", 0))</f>
        <v>95375.805229101243</v>
      </c>
    </row>
    <row r="136" spans="1:20" x14ac:dyDescent="0.25">
      <c r="A136" s="5"/>
      <c r="B136" s="5" t="str">
        <f t="shared" si="15"/>
        <v>Mod-Nom</v>
      </c>
      <c r="C136" s="5" t="s">
        <v>38</v>
      </c>
      <c r="D136" s="5" t="str">
        <f t="shared" si="16"/>
        <v>Nom</v>
      </c>
      <c r="E136" s="5" t="s">
        <v>11</v>
      </c>
      <c r="F136" s="5" t="s">
        <v>54</v>
      </c>
      <c r="G136" s="5" t="s">
        <v>54</v>
      </c>
      <c r="H136" s="5">
        <v>8.5</v>
      </c>
      <c r="I136" s="5"/>
      <c r="J136" s="5">
        <f t="shared" si="8"/>
        <v>9</v>
      </c>
      <c r="K136" s="5">
        <v>200</v>
      </c>
      <c r="L136" s="8" cm="1">
        <f t="array" ref="L136">_xlfn.SWITCH(K136,200,_xlfn.XLOOKUP(J136,Manufacture_MJ!$C$18:$N$18,Manufacture_MJ!$C$20:$N$20) + _xlfn.XLOOKUP(B136&amp;"|"&amp;E136,
        Calculate_cap_ener!$L$14:$L$21&amp;"|"&amp;Calculate_cap_ener!$I$14:$I$21,
        Calculate_cap_ener!$AI$14:$AI$21, "Not found", 0), LOOKUP(K136,Manufacture_MJ!$C$24:$D$24,Manufacture_MJ!$C$26:$D$26) + _xlfn.XLOOKUP(J136,Manufacture_MJ!$C$18:$N$18,Manufacture_MJ!$C$20:$N$20) + _xlfn.XLOOKUP(B136&amp;"|"&amp;E136,
        Calculate_cap_ener!$L$14:$L$21&amp;"|"&amp;Calculate_cap_ener!$I$14:$I$21,
        Calculate_cap_ener!$AI$14:$AI$21, "Not found", 0))</f>
        <v>125048.09972056557</v>
      </c>
      <c r="M136" s="8">
        <f>_xlfn.XLOOKUP(J136,Manufacture_MJ!$C$18:$N$18,Manufacture_MJ!$C$20:$N$20)</f>
        <v>49760.002199565621</v>
      </c>
      <c r="N136" s="8" cm="1">
        <f t="array" ref="N136">_xlfn.SWITCH(K136,200,0,LOOKUP(K136,Manufacture_MJ!$C$24:$D$24,Manufacture_MJ!$C$26:$D$26))</f>
        <v>0</v>
      </c>
      <c r="O136" s="5" cm="1">
        <f t="array" ref="O136">_xlfn.XLOOKUP(B136&amp;"|"&amp;E136,
        Calculate_cap_ener!$L$14:$L$21&amp;"|"&amp;Calculate_cap_ener!$I$14:$I$21,
        Calculate_cap_ener!$AI$14:$AI$21, "Not found", 0)</f>
        <v>75288.097520999945</v>
      </c>
      <c r="P136" s="8">
        <f t="shared" si="12"/>
        <v>125048.09972056557</v>
      </c>
      <c r="Q136" s="8" cm="1">
        <f t="array" ref="Q136">_xlfn.SWITCH(K136,200,_xlfn.XLOOKUP(J136,Distribution_MJ!$C$18:$N$18,Distribution_MJ!$C$20:$N$20) + _xlfn.XLOOKUP(B136&amp;"|"&amp;E136,
        Calculate_cap_ener!$L$14:$L$21&amp;"|"&amp;Calculate_cap_ener!$I$14:$I$21,
        Calculate_cap_ener!$AP$14:$AP$21, "Not found", 0), LOOKUP(K136,Distribution_MJ!$C$24:$D$24,Distribution_MJ!$C$26:$D$26) + _xlfn.XLOOKUP(J136,Distribution_MJ!$C$18:$N$18,Distribution_MJ!$C$20:$N$20) + _xlfn.XLOOKUP(B136&amp;"|"&amp;E136,
        Calculate_cap_ener!$L$14:$L$21&amp;"|"&amp;Calculate_cap_ener!$I$14:$I$21,
        Calculate_cap_ener!$AP$14:$AP$21, "Not found", 0))</f>
        <v>2910.1829539650689</v>
      </c>
      <c r="R136" s="8" cm="1">
        <f t="array" ref="R136">_xlfn.SWITCH(K136,200,_xlfn.XLOOKUP(J136,Installation_MJ!$C$18:$N$18,Installation_MJ!$C$20:$N$20) + _xlfn.XLOOKUP(B136&amp;"|"&amp;E136,
        Calculate_cap_ener!$L$14:$L$21&amp;"|"&amp;Calculate_cap_ener!$I$14:$I$21,
        Calculate_cap_ener!$AW$14:$AW$21, "Not found", 0), LOOKUP(K136,Installation_MJ!$C$24:$D$24,Installation_MJ!$C$26:$D$26) + _xlfn.XLOOKUP(J136,Installation_MJ!$C$18:$N$18,Installation_MJ!$C$20:$N$20) + _xlfn.XLOOKUP(B136&amp;"|"&amp;E136,
        Calculate_cap_ener!$L$14:$L$21&amp;"|"&amp;Calculate_cap_ener!$I$14:$I$21,
        Calculate_cap_ener!$AW$14:$AW$21, "Not found", 0))</f>
        <v>284.18884522201552</v>
      </c>
      <c r="S136" s="8" cm="1">
        <f t="array" ref="S136">_xlfn.SWITCH(K136,200,_xlfn.XLOOKUP(J136,EOL_MJ!$C$18:$N$18,EOL_MJ!$C$20:$N$20) + _xlfn.XLOOKUP(B136&amp;"|"&amp;E136,
        Calculate_cap_ener!$L$14:$L$21&amp;"|"&amp;Calculate_cap_ener!$I$14:$I$21,
        Calculate_cap_ener!$BD$14:$BD$21, "Not found", 0), LOOKUP(K136,EOL_MJ!$C$24:$D$24,EOL_MJ!$C$26:$D$26) + _xlfn.XLOOKUP(J136,EOL_MJ!$C$18:$N$18,EOL_MJ!$C$20:$N$20) + _xlfn.XLOOKUP(B136&amp;"|"&amp;E136,
        Calculate_cap_ener!$L$14:$L$21&amp;"|"&amp;Calculate_cap_ener!$I$14:$I$21,
        Calculate_cap_ener!$BD$14:$BD$21, "Not found", 0))</f>
        <v>7144.3231776000002</v>
      </c>
      <c r="T136" s="8" cm="1">
        <f t="array" ref="T136">_xlfn.SWITCH(K136,200,_xlfn.XLOOKUP(J136,Other!$C$18:$N$18,Other!$C$20:$N$20) + _xlfn.XLOOKUP(B136&amp;"|"&amp;E136,
        Calculate_cap_ener!$L$14:$L$21&amp;"|"&amp;Calculate_cap_ener!$I$14:$I$21,
        Calculate_cap_ener!$BK$14:$BK$21, "Not found", 0), LOOKUP(K136,Other!$C$24:$D$24,Other!$C$26:$D$26) + _xlfn.XLOOKUP(J136,Other!$C$18:$N$18,Other!$C$20:$N$20) + _xlfn.XLOOKUP(B136&amp;"|"&amp;E136,
        Calculate_cap_ener!$L$14:$L$21&amp;"|"&amp;Calculate_cap_ener!$I$14:$I$21,
        Calculate_cap_ener!$BK$14:$BK$21, "Not found", 0))</f>
        <v>110961.59189388722</v>
      </c>
    </row>
    <row r="137" spans="1:20" x14ac:dyDescent="0.25">
      <c r="A137" s="5"/>
      <c r="B137" s="5" t="str">
        <f t="shared" si="15"/>
        <v>Mod-Nom</v>
      </c>
      <c r="C137" s="5" t="s">
        <v>38</v>
      </c>
      <c r="D137" s="5" t="str">
        <f t="shared" si="16"/>
        <v>Nom</v>
      </c>
      <c r="E137" s="5" t="s">
        <v>11</v>
      </c>
      <c r="F137" s="5" t="s">
        <v>54</v>
      </c>
      <c r="G137" s="5" t="s">
        <v>54</v>
      </c>
      <c r="H137" s="5">
        <v>11.2</v>
      </c>
      <c r="I137" s="5"/>
      <c r="J137" s="5">
        <f t="shared" si="8"/>
        <v>12</v>
      </c>
      <c r="K137" s="5">
        <v>200</v>
      </c>
      <c r="L137" s="8" cm="1">
        <f t="array" ref="L137">_xlfn.SWITCH(K137,200,_xlfn.XLOOKUP(J137,Manufacture_MJ!$C$18:$N$18,Manufacture_MJ!$C$20:$N$20) + _xlfn.XLOOKUP(B137&amp;"|"&amp;E137,
        Calculate_cap_ener!$L$14:$L$21&amp;"|"&amp;Calculate_cap_ener!$I$14:$I$21,
        Calculate_cap_ener!$AI$14:$AI$21, "Not found", 0), LOOKUP(K137,Manufacture_MJ!$C$24:$D$24,Manufacture_MJ!$C$26:$D$26) + _xlfn.XLOOKUP(J137,Manufacture_MJ!$C$18:$N$18,Manufacture_MJ!$C$20:$N$20) + _xlfn.XLOOKUP(B137&amp;"|"&amp;E137,
        Calculate_cap_ener!$L$14:$L$21&amp;"|"&amp;Calculate_cap_ener!$I$14:$I$21,
        Calculate_cap_ener!$AI$14:$AI$21, "Not found", 0))</f>
        <v>126112.6155214592</v>
      </c>
      <c r="M137" s="8">
        <f>_xlfn.XLOOKUP(J137,Manufacture_MJ!$C$18:$N$18,Manufacture_MJ!$C$20:$N$20)</f>
        <v>50824.518000459248</v>
      </c>
      <c r="N137" s="8" cm="1">
        <f t="array" ref="N137">_xlfn.SWITCH(K137,200,0,LOOKUP(K137,Manufacture_MJ!$C$24:$D$24,Manufacture_MJ!$C$26:$D$26))</f>
        <v>0</v>
      </c>
      <c r="O137" s="5" cm="1">
        <f t="array" ref="O137">_xlfn.XLOOKUP(B137&amp;"|"&amp;E137,
        Calculate_cap_ener!$L$14:$L$21&amp;"|"&amp;Calculate_cap_ener!$I$14:$I$21,
        Calculate_cap_ener!$AI$14:$AI$21, "Not found", 0)</f>
        <v>75288.097520999945</v>
      </c>
      <c r="P137" s="8">
        <f t="shared" si="12"/>
        <v>126112.6155214592</v>
      </c>
      <c r="Q137" s="8" cm="1">
        <f t="array" ref="Q137">_xlfn.SWITCH(K137,200,_xlfn.XLOOKUP(J137,Distribution_MJ!$C$18:$N$18,Distribution_MJ!$C$20:$N$20) + _xlfn.XLOOKUP(B137&amp;"|"&amp;E137,
        Calculate_cap_ener!$L$14:$L$21&amp;"|"&amp;Calculate_cap_ener!$I$14:$I$21,
        Calculate_cap_ener!$AP$14:$AP$21, "Not found", 0), LOOKUP(K137,Distribution_MJ!$C$24:$D$24,Distribution_MJ!$C$26:$D$26) + _xlfn.XLOOKUP(J137,Distribution_MJ!$C$18:$N$18,Distribution_MJ!$C$20:$N$20) + _xlfn.XLOOKUP(B137&amp;"|"&amp;E137,
        Calculate_cap_ener!$L$14:$L$21&amp;"|"&amp;Calculate_cap_ener!$I$14:$I$21,
        Calculate_cap_ener!$AP$14:$AP$21, "Not found", 0))</f>
        <v>3008.2958333705192</v>
      </c>
      <c r="R137" s="8" cm="1">
        <f t="array" ref="R137">_xlfn.SWITCH(K137,200,_xlfn.XLOOKUP(J137,Installation_MJ!$C$18:$N$18,Installation_MJ!$C$20:$N$20) + _xlfn.XLOOKUP(B137&amp;"|"&amp;E137,
        Calculate_cap_ener!$L$14:$L$21&amp;"|"&amp;Calculate_cap_ener!$I$14:$I$21,
        Calculate_cap_ener!$AW$14:$AW$21, "Not found", 0), LOOKUP(K137,Installation_MJ!$C$24:$D$24,Installation_MJ!$C$26:$D$26) + _xlfn.XLOOKUP(J137,Installation_MJ!$C$18:$N$18,Installation_MJ!$C$20:$N$20) + _xlfn.XLOOKUP(B137&amp;"|"&amp;E137,
        Calculate_cap_ener!$L$14:$L$21&amp;"|"&amp;Calculate_cap_ener!$I$14:$I$21,
        Calculate_cap_ener!$AW$14:$AW$21, "Not found", 0))</f>
        <v>291.56608000208223</v>
      </c>
      <c r="S137" s="8" cm="1">
        <f t="array" ref="S137">_xlfn.SWITCH(K137,200,_xlfn.XLOOKUP(J137,EOL_MJ!$C$18:$N$18,EOL_MJ!$C$20:$N$20) + _xlfn.XLOOKUP(B137&amp;"|"&amp;E137,
        Calculate_cap_ener!$L$14:$L$21&amp;"|"&amp;Calculate_cap_ener!$I$14:$I$21,
        Calculate_cap_ener!$BD$14:$BD$21, "Not found", 0), LOOKUP(K137,EOL_MJ!$C$24:$D$24,EOL_MJ!$C$26:$D$26) + _xlfn.XLOOKUP(J137,EOL_MJ!$C$18:$N$18,EOL_MJ!$C$20:$N$20) + _xlfn.XLOOKUP(B137&amp;"|"&amp;E137,
        Calculate_cap_ener!$L$14:$L$21&amp;"|"&amp;Calculate_cap_ener!$I$14:$I$21,
        Calculate_cap_ener!$BD$14:$BD$21, "Not found", 0))</f>
        <v>7144.3231776000002</v>
      </c>
      <c r="T137" s="8" cm="1">
        <f t="array" ref="T137">_xlfn.SWITCH(K137,200,_xlfn.XLOOKUP(J137,Other!$C$18:$N$18,Other!$C$20:$N$20) + _xlfn.XLOOKUP(B137&amp;"|"&amp;E137,
        Calculate_cap_ener!$L$14:$L$21&amp;"|"&amp;Calculate_cap_ener!$I$14:$I$21,
        Calculate_cap_ener!$BK$14:$BK$21, "Not found", 0), LOOKUP(K137,Other!$C$24:$D$24,Other!$C$26:$D$26) + _xlfn.XLOOKUP(J137,Other!$C$18:$N$18,Other!$C$20:$N$20) + _xlfn.XLOOKUP(B137&amp;"|"&amp;E137,
        Calculate_cap_ener!$L$14:$L$21&amp;"|"&amp;Calculate_cap_ener!$I$14:$I$21,
        Calculate_cap_ener!$BK$14:$BK$21, "Not found", 0))</f>
        <v>111027.26114377564</v>
      </c>
    </row>
    <row r="138" spans="1:20" x14ac:dyDescent="0.25">
      <c r="A138" s="5"/>
      <c r="B138" s="5" t="str">
        <f t="shared" si="15"/>
        <v>Mod-Nom</v>
      </c>
      <c r="C138" s="5" t="s">
        <v>38</v>
      </c>
      <c r="D138" s="5" t="str">
        <f t="shared" si="16"/>
        <v>Nom</v>
      </c>
      <c r="E138" s="5" t="s">
        <v>11</v>
      </c>
      <c r="F138" s="5" t="s">
        <v>54</v>
      </c>
      <c r="G138" s="5" t="s">
        <v>54</v>
      </c>
      <c r="H138" s="5">
        <v>14</v>
      </c>
      <c r="I138" s="5"/>
      <c r="J138" s="5">
        <f t="shared" si="8"/>
        <v>14</v>
      </c>
      <c r="K138" s="5">
        <v>200</v>
      </c>
      <c r="L138" s="8" cm="1">
        <f t="array" ref="L138">_xlfn.SWITCH(K138,200,_xlfn.XLOOKUP(J138,Manufacture_MJ!$C$18:$N$18,Manufacture_MJ!$C$20:$N$20) + _xlfn.XLOOKUP(B138&amp;"|"&amp;E138,
        Calculate_cap_ener!$L$14:$L$21&amp;"|"&amp;Calculate_cap_ener!$I$14:$I$21,
        Calculate_cap_ener!$AI$14:$AI$21, "Not found", 0), LOOKUP(K138,Manufacture_MJ!$C$24:$D$24,Manufacture_MJ!$C$26:$D$26) + _xlfn.XLOOKUP(J138,Manufacture_MJ!$C$18:$N$18,Manufacture_MJ!$C$20:$N$20) + _xlfn.XLOOKUP(B138&amp;"|"&amp;E138,
        Calculate_cap_ener!$L$14:$L$21&amp;"|"&amp;Calculate_cap_ener!$I$14:$I$21,
        Calculate_cap_ener!$AI$14:$AI$21, "Not found", 0))</f>
        <v>126822.29272205487</v>
      </c>
      <c r="M138" s="8">
        <f>_xlfn.XLOOKUP(J138,Manufacture_MJ!$C$18:$N$18,Manufacture_MJ!$C$20:$N$20)</f>
        <v>51534.195201054921</v>
      </c>
      <c r="N138" s="8" cm="1">
        <f t="array" ref="N138">_xlfn.SWITCH(K138,200,0,LOOKUP(K138,Manufacture_MJ!$C$24:$D$24,Manufacture_MJ!$C$26:$D$26))</f>
        <v>0</v>
      </c>
      <c r="O138" s="5" cm="1">
        <f t="array" ref="O138">_xlfn.XLOOKUP(B138&amp;"|"&amp;E138,
        Calculate_cap_ener!$L$14:$L$21&amp;"|"&amp;Calculate_cap_ener!$I$14:$I$21,
        Calculate_cap_ener!$AI$14:$AI$21, "Not found", 0)</f>
        <v>75288.097520999945</v>
      </c>
      <c r="P138" s="8">
        <f t="shared" si="12"/>
        <v>126822.29272205487</v>
      </c>
      <c r="Q138" s="8" cm="1">
        <f t="array" ref="Q138">_xlfn.SWITCH(K138,200,_xlfn.XLOOKUP(J138,Distribution_MJ!$C$18:$N$18,Distribution_MJ!$C$20:$N$20) + _xlfn.XLOOKUP(B138&amp;"|"&amp;E138,
        Calculate_cap_ener!$L$14:$L$21&amp;"|"&amp;Calculate_cap_ener!$I$14:$I$21,
        Calculate_cap_ener!$AP$14:$AP$21, "Not found", 0), LOOKUP(K138,Distribution_MJ!$C$24:$D$24,Distribution_MJ!$C$26:$D$26) + _xlfn.XLOOKUP(J138,Distribution_MJ!$C$18:$N$18,Distribution_MJ!$C$20:$N$20) + _xlfn.XLOOKUP(B138&amp;"|"&amp;E138,
        Calculate_cap_ener!$L$14:$L$21&amp;"|"&amp;Calculate_cap_ener!$I$14:$I$21,
        Calculate_cap_ener!$AP$14:$AP$21, "Not found", 0))</f>
        <v>3073.7044196408187</v>
      </c>
      <c r="R138" s="8" cm="1">
        <f t="array" ref="R138">_xlfn.SWITCH(K138,200,_xlfn.XLOOKUP(J138,Installation_MJ!$C$18:$N$18,Installation_MJ!$C$20:$N$20) + _xlfn.XLOOKUP(B138&amp;"|"&amp;E138,
        Calculate_cap_ener!$L$14:$L$21&amp;"|"&amp;Calculate_cap_ener!$I$14:$I$21,
        Calculate_cap_ener!$AW$14:$AW$21, "Not found", 0), LOOKUP(K138,Installation_MJ!$C$24:$D$24,Installation_MJ!$C$26:$D$26) + _xlfn.XLOOKUP(J138,Installation_MJ!$C$18:$N$18,Installation_MJ!$C$20:$N$20) + _xlfn.XLOOKUP(B138&amp;"|"&amp;E138,
        Calculate_cap_ener!$L$14:$L$21&amp;"|"&amp;Calculate_cap_ener!$I$14:$I$21,
        Calculate_cap_ener!$AW$14:$AW$21, "Not found", 0))</f>
        <v>296.48423652212671</v>
      </c>
      <c r="S138" s="8" cm="1">
        <f t="array" ref="S138">_xlfn.SWITCH(K138,200,_xlfn.XLOOKUP(J138,EOL_MJ!$C$18:$N$18,EOL_MJ!$C$20:$N$20) + _xlfn.XLOOKUP(B138&amp;"|"&amp;E138,
        Calculate_cap_ener!$L$14:$L$21&amp;"|"&amp;Calculate_cap_ener!$I$14:$I$21,
        Calculate_cap_ener!$BD$14:$BD$21, "Not found", 0), LOOKUP(K138,EOL_MJ!$C$24:$D$24,EOL_MJ!$C$26:$D$26) + _xlfn.XLOOKUP(J138,EOL_MJ!$C$18:$N$18,EOL_MJ!$C$20:$N$20) + _xlfn.XLOOKUP(B138&amp;"|"&amp;E138,
        Calculate_cap_ener!$L$14:$L$21&amp;"|"&amp;Calculate_cap_ener!$I$14:$I$21,
        Calculate_cap_ener!$BD$14:$BD$21, "Not found", 0))</f>
        <v>7144.3231776000002</v>
      </c>
      <c r="T138" s="8" cm="1">
        <f t="array" ref="T138">_xlfn.SWITCH(K138,200,_xlfn.XLOOKUP(J138,Other!$C$18:$N$18,Other!$C$20:$N$20) + _xlfn.XLOOKUP(B138&amp;"|"&amp;E138,
        Calculate_cap_ener!$L$14:$L$21&amp;"|"&amp;Calculate_cap_ener!$I$14:$I$21,
        Calculate_cap_ener!$BK$14:$BK$21, "Not found", 0), LOOKUP(K138,Other!$C$24:$D$24,Other!$C$26:$D$26) + _xlfn.XLOOKUP(J138,Other!$C$18:$N$18,Other!$C$20:$N$20) + _xlfn.XLOOKUP(B138&amp;"|"&amp;E138,
        Calculate_cap_ener!$L$14:$L$21&amp;"|"&amp;Calculate_cap_ener!$I$14:$I$21,
        Calculate_cap_ener!$BK$14:$BK$21, "Not found", 0))</f>
        <v>111071.04064370126</v>
      </c>
    </row>
    <row r="139" spans="1:20" x14ac:dyDescent="0.25">
      <c r="A139" s="5"/>
      <c r="B139" s="5" t="str">
        <f>CONCATENATE(C139, "-", "Nom")</f>
        <v>Mod-Nom</v>
      </c>
      <c r="C139" s="5" t="s">
        <v>38</v>
      </c>
      <c r="D139" s="5" t="str">
        <f>_xlfn.TEXTAFTER(B139, "-", 1)</f>
        <v>Nom</v>
      </c>
      <c r="E139" s="5" t="s">
        <v>11</v>
      </c>
      <c r="F139" s="5" t="s">
        <v>55</v>
      </c>
      <c r="G139" s="5" t="s">
        <v>55</v>
      </c>
      <c r="H139" s="5">
        <v>5</v>
      </c>
      <c r="I139" s="5"/>
      <c r="J139" s="5">
        <f t="shared" si="8"/>
        <v>5</v>
      </c>
      <c r="K139" s="5">
        <v>500</v>
      </c>
      <c r="L139" s="8" cm="1">
        <f t="array" ref="L139">_xlfn.SWITCH(K139,200,_xlfn.XLOOKUP(J139,Manufacture_MJ!$C$18:$N$18,Manufacture_MJ!$C$20:$N$20) + _xlfn.XLOOKUP(B139&amp;"|"&amp;E139,
        Calculate_cap_ener!$L$14:$L$21&amp;"|"&amp;Calculate_cap_ener!$I$14:$I$21,
        Calculate_cap_ener!$AI$14:$AI$21, "Not found", 0), LOOKUP(K139,Manufacture_MJ!$C$24:$D$24,Manufacture_MJ!$C$26:$D$26) + _xlfn.XLOOKUP(J139,Manufacture_MJ!$C$18:$N$18,Manufacture_MJ!$C$20:$N$20) + _xlfn.XLOOKUP(B139&amp;"|"&amp;E139,
        Calculate_cap_ener!$L$14:$L$21&amp;"|"&amp;Calculate_cap_ener!$I$14:$I$21,
        Calculate_cap_ener!$AI$14:$AI$21, "Not found", 0))</f>
        <v>134242.33622846514</v>
      </c>
      <c r="M139" s="8">
        <f>_xlfn.XLOOKUP(J139,Manufacture_MJ!$C$18:$N$18,Manufacture_MJ!$C$20:$N$20)</f>
        <v>48340.647798374281</v>
      </c>
      <c r="N139" s="8" cm="1">
        <f t="array" ref="N139">_xlfn.SWITCH(K139,200,0,LOOKUP(K139,Manufacture_MJ!$C$24:$D$24,Manufacture_MJ!$C$26:$D$26))</f>
        <v>10613.59090909091</v>
      </c>
      <c r="O139" s="5" cm="1">
        <f t="array" ref="O139">_xlfn.XLOOKUP(B139&amp;"|"&amp;E139,
        Calculate_cap_ener!$L$14:$L$21&amp;"|"&amp;Calculate_cap_ener!$I$14:$I$21,
        Calculate_cap_ener!$AI$14:$AI$21, "Not found", 0)</f>
        <v>75288.097520999945</v>
      </c>
      <c r="P139" s="8">
        <f t="shared" si="12"/>
        <v>134242.33622846514</v>
      </c>
      <c r="Q139" s="8" cm="1">
        <f t="array" ref="Q139">_xlfn.SWITCH(K139,200,_xlfn.XLOOKUP(J139,Distribution_MJ!$C$18:$N$18,Distribution_MJ!$C$20:$N$20) + _xlfn.XLOOKUP(B139&amp;"|"&amp;E139,
        Calculate_cap_ener!$L$14:$L$21&amp;"|"&amp;Calculate_cap_ener!$I$14:$I$21,
        Calculate_cap_ener!$AP$14:$AP$21, "Not found", 0), LOOKUP(K139,Distribution_MJ!$C$24:$D$24,Distribution_MJ!$C$26:$D$26) + _xlfn.XLOOKUP(J139,Distribution_MJ!$C$18:$N$18,Distribution_MJ!$C$20:$N$20) + _xlfn.XLOOKUP(B139&amp;"|"&amp;E139,
        Calculate_cap_ener!$L$14:$L$21&amp;"|"&amp;Calculate_cap_ener!$I$14:$I$21,
        Calculate_cap_ener!$AP$14:$AP$21, "Not found", 0))</f>
        <v>2966.2197562494694</v>
      </c>
      <c r="R139" s="8" cm="1">
        <f t="array" ref="R139">_xlfn.SWITCH(K139,200,_xlfn.XLOOKUP(J139,Installation_MJ!$C$18:$N$18,Installation_MJ!$C$20:$N$20) + _xlfn.XLOOKUP(B139&amp;"|"&amp;E139,
        Calculate_cap_ener!$L$14:$L$21&amp;"|"&amp;Calculate_cap_ener!$I$14:$I$21,
        Calculate_cap_ener!$AW$14:$AW$21, "Not found", 0), LOOKUP(K139,Installation_MJ!$C$24:$D$24,Installation_MJ!$C$26:$D$26) + _xlfn.XLOOKUP(J139,Installation_MJ!$C$18:$N$18,Installation_MJ!$C$20:$N$20) + _xlfn.XLOOKUP(B139&amp;"|"&amp;E139,
        Calculate_cap_ener!$L$14:$L$21&amp;"|"&amp;Calculate_cap_ener!$I$14:$I$21,
        Calculate_cap_ener!$AW$14:$AW$21, "Not found", 0))</f>
        <v>295.35253218192679</v>
      </c>
      <c r="S139" s="8" cm="1">
        <f t="array" ref="S139">_xlfn.SWITCH(K139,200,_xlfn.XLOOKUP(J139,EOL_MJ!$C$18:$N$18,EOL_MJ!$C$20:$N$20) + _xlfn.XLOOKUP(B139&amp;"|"&amp;E139,
        Calculate_cap_ener!$L$14:$L$21&amp;"|"&amp;Calculate_cap_ener!$I$14:$I$21,
        Calculate_cap_ener!$BD$14:$BD$21, "Not found", 0), LOOKUP(K139,EOL_MJ!$C$24:$D$24,EOL_MJ!$C$26:$D$26) + _xlfn.XLOOKUP(J139,EOL_MJ!$C$18:$N$18,EOL_MJ!$C$20:$N$20) + _xlfn.XLOOKUP(B139&amp;"|"&amp;E139,
        Calculate_cap_ener!$L$14:$L$21&amp;"|"&amp;Calculate_cap_ener!$I$14:$I$21,
        Calculate_cap_ener!$BD$14:$BD$21, "Not found", 0))</f>
        <v>17643.368632145452</v>
      </c>
      <c r="T139" s="8" cm="1">
        <f t="array" ref="T139">_xlfn.SWITCH(K139,200,_xlfn.XLOOKUP(J139,Other!$C$18:$N$18,Other!$C$20:$N$20) + _xlfn.XLOOKUP(B139&amp;"|"&amp;E139,
        Calculate_cap_ener!$L$14:$L$21&amp;"|"&amp;Calculate_cap_ener!$I$14:$I$21,
        Calculate_cap_ener!$BK$14:$BK$21, "Not found", 0), LOOKUP(K139,Other!$C$24:$D$24,Other!$C$26:$D$26) + _xlfn.XLOOKUP(J139,Other!$C$18:$N$18,Other!$C$20:$N$20) + _xlfn.XLOOKUP(B139&amp;"|"&amp;E139,
        Calculate_cap_ener!$L$14:$L$21&amp;"|"&amp;Calculate_cap_ener!$I$14:$I$21,
        Calculate_cap_ener!$BK$14:$BK$21, "Not found", 0))</f>
        <v>110874.03289403599</v>
      </c>
    </row>
    <row r="140" spans="1:20" x14ac:dyDescent="0.25">
      <c r="A140" s="5"/>
      <c r="B140" s="5" t="str">
        <f t="shared" ref="B140:B142" si="17">CONCATENATE(C140, "-", "Nom")</f>
        <v>Mod-Nom</v>
      </c>
      <c r="C140" s="5" t="s">
        <v>38</v>
      </c>
      <c r="D140" s="5" t="str">
        <f t="shared" ref="D140:D142" si="18">_xlfn.TEXTAFTER(B140, "-", 1)</f>
        <v>Nom</v>
      </c>
      <c r="E140" s="5" t="s">
        <v>11</v>
      </c>
      <c r="F140" s="5" t="s">
        <v>55</v>
      </c>
      <c r="G140" s="5" t="s">
        <v>55</v>
      </c>
      <c r="H140" s="5">
        <v>6</v>
      </c>
      <c r="I140" s="5"/>
      <c r="J140" s="5">
        <f t="shared" si="8"/>
        <v>6</v>
      </c>
      <c r="K140" s="5">
        <v>500</v>
      </c>
      <c r="L140" s="8" cm="1">
        <f t="array" ref="L140">_xlfn.SWITCH(K140,200,_xlfn.XLOOKUP(J140,Manufacture_MJ!$C$18:$N$18,Manufacture_MJ!$C$20:$N$20) + _xlfn.XLOOKUP(B140&amp;"|"&amp;E140,
        Calculate_cap_ener!$L$14:$L$21&amp;"|"&amp;Calculate_cap_ener!$I$14:$I$21,
        Calculate_cap_ener!$AI$14:$AI$21, "Not found", 0), LOOKUP(K140,Manufacture_MJ!$C$24:$D$24,Manufacture_MJ!$C$26:$D$26) + _xlfn.XLOOKUP(J140,Manufacture_MJ!$C$18:$N$18,Manufacture_MJ!$C$20:$N$20) + _xlfn.XLOOKUP(B140&amp;"|"&amp;E140,
        Calculate_cap_ener!$L$14:$L$21&amp;"|"&amp;Calculate_cap_ener!$I$14:$I$21,
        Calculate_cap_ener!$AI$14:$AI$21, "Not found", 0))</f>
        <v>134597.17482876297</v>
      </c>
      <c r="M140" s="8">
        <f>_xlfn.XLOOKUP(J140,Manufacture_MJ!$C$18:$N$18,Manufacture_MJ!$C$20:$N$20)</f>
        <v>48695.486398672118</v>
      </c>
      <c r="N140" s="8" cm="1">
        <f t="array" ref="N140">_xlfn.SWITCH(K140,200,0,LOOKUP(K140,Manufacture_MJ!$C$24:$D$24,Manufacture_MJ!$C$26:$D$26))</f>
        <v>10613.59090909091</v>
      </c>
      <c r="O140" s="5" cm="1">
        <f t="array" ref="O140">_xlfn.XLOOKUP(B140&amp;"|"&amp;E140,
        Calculate_cap_ener!$L$14:$L$21&amp;"|"&amp;Calculate_cap_ener!$I$14:$I$21,
        Calculate_cap_ener!$AI$14:$AI$21, "Not found", 0)</f>
        <v>75288.097520999945</v>
      </c>
      <c r="P140" s="8">
        <f t="shared" si="12"/>
        <v>134597.17482876297</v>
      </c>
      <c r="Q140" s="8" cm="1">
        <f t="array" ref="Q140">_xlfn.SWITCH(K140,200,_xlfn.XLOOKUP(J140,Distribution_MJ!$C$18:$N$18,Distribution_MJ!$C$20:$N$20) + _xlfn.XLOOKUP(B140&amp;"|"&amp;E140,
        Calculate_cap_ener!$L$14:$L$21&amp;"|"&amp;Calculate_cap_ener!$I$14:$I$21,
        Calculate_cap_ener!$AP$14:$AP$21, "Not found", 0), LOOKUP(K140,Distribution_MJ!$C$24:$D$24,Distribution_MJ!$C$26:$D$26) + _xlfn.XLOOKUP(J140,Distribution_MJ!$C$18:$N$18,Distribution_MJ!$C$20:$N$20) + _xlfn.XLOOKUP(B140&amp;"|"&amp;E140,
        Calculate_cap_ener!$L$14:$L$21&amp;"|"&amp;Calculate_cap_ener!$I$14:$I$21,
        Calculate_cap_ener!$AP$14:$AP$21, "Not found", 0))</f>
        <v>2998.9240493846191</v>
      </c>
      <c r="R140" s="8" cm="1">
        <f t="array" ref="R140">_xlfn.SWITCH(K140,200,_xlfn.XLOOKUP(J140,Installation_MJ!$C$18:$N$18,Installation_MJ!$C$20:$N$20) + _xlfn.XLOOKUP(B140&amp;"|"&amp;E140,
        Calculate_cap_ener!$L$14:$L$21&amp;"|"&amp;Calculate_cap_ener!$I$14:$I$21,
        Calculate_cap_ener!$AW$14:$AW$21, "Not found", 0), LOOKUP(K140,Installation_MJ!$C$24:$D$24,Installation_MJ!$C$26:$D$26) + _xlfn.XLOOKUP(J140,Installation_MJ!$C$18:$N$18,Installation_MJ!$C$20:$N$20) + _xlfn.XLOOKUP(B140&amp;"|"&amp;E140,
        Calculate_cap_ener!$L$14:$L$21&amp;"|"&amp;Calculate_cap_ener!$I$14:$I$21,
        Calculate_cap_ener!$AW$14:$AW$21, "Not found", 0))</f>
        <v>297.81161044194903</v>
      </c>
      <c r="S140" s="8" cm="1">
        <f t="array" ref="S140">_xlfn.SWITCH(K140,200,_xlfn.XLOOKUP(J140,EOL_MJ!$C$18:$N$18,EOL_MJ!$C$20:$N$20) + _xlfn.XLOOKUP(B140&amp;"|"&amp;E140,
        Calculate_cap_ener!$L$14:$L$21&amp;"|"&amp;Calculate_cap_ener!$I$14:$I$21,
        Calculate_cap_ener!$BD$14:$BD$21, "Not found", 0), LOOKUP(K140,EOL_MJ!$C$24:$D$24,EOL_MJ!$C$26:$D$26) + _xlfn.XLOOKUP(J140,EOL_MJ!$C$18:$N$18,EOL_MJ!$C$20:$N$20) + _xlfn.XLOOKUP(B140&amp;"|"&amp;E140,
        Calculate_cap_ener!$L$14:$L$21&amp;"|"&amp;Calculate_cap_ener!$I$14:$I$21,
        Calculate_cap_ener!$BD$14:$BD$21, "Not found", 0))</f>
        <v>17643.368632145452</v>
      </c>
      <c r="T140" s="8" cm="1">
        <f t="array" ref="T140">_xlfn.SWITCH(K140,200,_xlfn.XLOOKUP(J140,Other!$C$18:$N$18,Other!$C$20:$N$20) + _xlfn.XLOOKUP(B140&amp;"|"&amp;E140,
        Calculate_cap_ener!$L$14:$L$21&amp;"|"&amp;Calculate_cap_ener!$I$14:$I$21,
        Calculate_cap_ener!$BK$14:$BK$21, "Not found", 0), LOOKUP(K140,Other!$C$24:$D$24,Other!$C$26:$D$26) + _xlfn.XLOOKUP(J140,Other!$C$18:$N$18,Other!$C$20:$N$20) + _xlfn.XLOOKUP(B140&amp;"|"&amp;E140,
        Calculate_cap_ener!$L$14:$L$21&amp;"|"&amp;Calculate_cap_ener!$I$14:$I$21,
        Calculate_cap_ener!$BK$14:$BK$21, "Not found", 0))</f>
        <v>110895.9226439988</v>
      </c>
    </row>
    <row r="141" spans="1:20" x14ac:dyDescent="0.25">
      <c r="A141" s="5"/>
      <c r="B141" s="5" t="str">
        <f t="shared" si="17"/>
        <v>Mod-Nom</v>
      </c>
      <c r="C141" s="5" t="s">
        <v>38</v>
      </c>
      <c r="D141" s="5" t="str">
        <f t="shared" si="18"/>
        <v>Nom</v>
      </c>
      <c r="E141" s="5" t="s">
        <v>11</v>
      </c>
      <c r="F141" s="5" t="s">
        <v>55</v>
      </c>
      <c r="G141" s="5" t="s">
        <v>55</v>
      </c>
      <c r="H141" s="5">
        <v>8.5</v>
      </c>
      <c r="I141" s="5"/>
      <c r="J141" s="5">
        <f t="shared" si="8"/>
        <v>9</v>
      </c>
      <c r="K141" s="5">
        <v>500</v>
      </c>
      <c r="L141" s="8" cm="1">
        <f t="array" ref="L141">_xlfn.SWITCH(K141,200,_xlfn.XLOOKUP(J141,Manufacture_MJ!$C$18:$N$18,Manufacture_MJ!$C$20:$N$20) + _xlfn.XLOOKUP(B141&amp;"|"&amp;E141,
        Calculate_cap_ener!$L$14:$L$21&amp;"|"&amp;Calculate_cap_ener!$I$14:$I$21,
        Calculate_cap_ener!$AI$14:$AI$21, "Not found", 0), LOOKUP(K141,Manufacture_MJ!$C$24:$D$24,Manufacture_MJ!$C$26:$D$26) + _xlfn.XLOOKUP(J141,Manufacture_MJ!$C$18:$N$18,Manufacture_MJ!$C$20:$N$20) + _xlfn.XLOOKUP(B141&amp;"|"&amp;E141,
        Calculate_cap_ener!$L$14:$L$21&amp;"|"&amp;Calculate_cap_ener!$I$14:$I$21,
        Calculate_cap_ener!$AI$14:$AI$21, "Not found", 0))</f>
        <v>135661.69062965648</v>
      </c>
      <c r="M141" s="8">
        <f>_xlfn.XLOOKUP(J141,Manufacture_MJ!$C$18:$N$18,Manufacture_MJ!$C$20:$N$20)</f>
        <v>49760.002199565621</v>
      </c>
      <c r="N141" s="8" cm="1">
        <f t="array" ref="N141">_xlfn.SWITCH(K141,200,0,LOOKUP(K141,Manufacture_MJ!$C$24:$D$24,Manufacture_MJ!$C$26:$D$26))</f>
        <v>10613.59090909091</v>
      </c>
      <c r="O141" s="5" cm="1">
        <f t="array" ref="O141">_xlfn.XLOOKUP(B141&amp;"|"&amp;E141,
        Calculate_cap_ener!$L$14:$L$21&amp;"|"&amp;Calculate_cap_ener!$I$14:$I$21,
        Calculate_cap_ener!$AI$14:$AI$21, "Not found", 0)</f>
        <v>75288.097520999945</v>
      </c>
      <c r="P141" s="8">
        <f t="shared" si="12"/>
        <v>135661.69062965648</v>
      </c>
      <c r="Q141" s="8" cm="1">
        <f t="array" ref="Q141">_xlfn.SWITCH(K141,200,_xlfn.XLOOKUP(J141,Distribution_MJ!$C$18:$N$18,Distribution_MJ!$C$20:$N$20) + _xlfn.XLOOKUP(B141&amp;"|"&amp;E141,
        Calculate_cap_ener!$L$14:$L$21&amp;"|"&amp;Calculate_cap_ener!$I$14:$I$21,
        Calculate_cap_ener!$AP$14:$AP$21, "Not found", 0), LOOKUP(K141,Distribution_MJ!$C$24:$D$24,Distribution_MJ!$C$26:$D$26) + _xlfn.XLOOKUP(J141,Distribution_MJ!$C$18:$N$18,Distribution_MJ!$C$20:$N$20) + _xlfn.XLOOKUP(B141&amp;"|"&amp;E141,
        Calculate_cap_ener!$L$14:$L$21&amp;"|"&amp;Calculate_cap_ener!$I$14:$I$21,
        Calculate_cap_ener!$AP$14:$AP$21, "Not found", 0))</f>
        <v>3097.0369287900694</v>
      </c>
      <c r="R141" s="8" cm="1">
        <f t="array" ref="R141">_xlfn.SWITCH(K141,200,_xlfn.XLOOKUP(J141,Installation_MJ!$C$18:$N$18,Installation_MJ!$C$20:$N$20) + _xlfn.XLOOKUP(B141&amp;"|"&amp;E141,
        Calculate_cap_ener!$L$14:$L$21&amp;"|"&amp;Calculate_cap_ener!$I$14:$I$21,
        Calculate_cap_ener!$AW$14:$AW$21, "Not found", 0), LOOKUP(K141,Installation_MJ!$C$24:$D$24,Installation_MJ!$C$26:$D$26) + _xlfn.XLOOKUP(J141,Installation_MJ!$C$18:$N$18,Installation_MJ!$C$20:$N$20) + _xlfn.XLOOKUP(B141&amp;"|"&amp;E141,
        Calculate_cap_ener!$L$14:$L$21&amp;"|"&amp;Calculate_cap_ener!$I$14:$I$21,
        Calculate_cap_ener!$AW$14:$AW$21, "Not found", 0))</f>
        <v>305.18884522201552</v>
      </c>
      <c r="S141" s="8" cm="1">
        <f t="array" ref="S141">_xlfn.SWITCH(K141,200,_xlfn.XLOOKUP(J141,EOL_MJ!$C$18:$N$18,EOL_MJ!$C$20:$N$20) + _xlfn.XLOOKUP(B141&amp;"|"&amp;E141,
        Calculate_cap_ener!$L$14:$L$21&amp;"|"&amp;Calculate_cap_ener!$I$14:$I$21,
        Calculate_cap_ener!$BD$14:$BD$21, "Not found", 0), LOOKUP(K141,EOL_MJ!$C$24:$D$24,EOL_MJ!$C$26:$D$26) + _xlfn.XLOOKUP(J141,EOL_MJ!$C$18:$N$18,EOL_MJ!$C$20:$N$20) + _xlfn.XLOOKUP(B141&amp;"|"&amp;E141,
        Calculate_cap_ener!$L$14:$L$21&amp;"|"&amp;Calculate_cap_ener!$I$14:$I$21,
        Calculate_cap_ener!$BD$14:$BD$21, "Not found", 0))</f>
        <v>17643.368632145452</v>
      </c>
      <c r="T141" s="8" cm="1">
        <f t="array" ref="T141">_xlfn.SWITCH(K141,200,_xlfn.XLOOKUP(J141,Other!$C$18:$N$18,Other!$C$20:$N$20) + _xlfn.XLOOKUP(B141&amp;"|"&amp;E141,
        Calculate_cap_ener!$L$14:$L$21&amp;"|"&amp;Calculate_cap_ener!$I$14:$I$21,
        Calculate_cap_ener!$BK$14:$BK$21, "Not found", 0), LOOKUP(K141,Other!$C$24:$D$24,Other!$C$26:$D$26) + _xlfn.XLOOKUP(J141,Other!$C$18:$N$18,Other!$C$20:$N$20) + _xlfn.XLOOKUP(B141&amp;"|"&amp;E141,
        Calculate_cap_ener!$L$14:$L$21&amp;"|"&amp;Calculate_cap_ener!$I$14:$I$21,
        Calculate_cap_ener!$BK$14:$BK$21, "Not found", 0))</f>
        <v>110961.59189388722</v>
      </c>
    </row>
    <row r="142" spans="1:20" x14ac:dyDescent="0.25">
      <c r="A142" s="5"/>
      <c r="B142" s="5" t="str">
        <f t="shared" si="17"/>
        <v>Mod-Nom</v>
      </c>
      <c r="C142" s="5" t="s">
        <v>38</v>
      </c>
      <c r="D142" s="5" t="str">
        <f t="shared" si="18"/>
        <v>Nom</v>
      </c>
      <c r="E142" s="5" t="s">
        <v>11</v>
      </c>
      <c r="F142" s="5" t="s">
        <v>55</v>
      </c>
      <c r="G142" s="5" t="s">
        <v>55</v>
      </c>
      <c r="H142" s="5">
        <v>14</v>
      </c>
      <c r="I142" s="5"/>
      <c r="J142" s="5">
        <f t="shared" si="8"/>
        <v>14</v>
      </c>
      <c r="K142" s="5">
        <v>500</v>
      </c>
      <c r="L142" s="8" cm="1">
        <f t="array" ref="L142">_xlfn.SWITCH(K142,200,_xlfn.XLOOKUP(J142,Manufacture_MJ!$C$18:$N$18,Manufacture_MJ!$C$20:$N$20) + _xlfn.XLOOKUP(B142&amp;"|"&amp;E142,
        Calculate_cap_ener!$L$14:$L$21&amp;"|"&amp;Calculate_cap_ener!$I$14:$I$21,
        Calculate_cap_ener!$AI$14:$AI$21, "Not found", 0), LOOKUP(K142,Manufacture_MJ!$C$24:$D$24,Manufacture_MJ!$C$26:$D$26) + _xlfn.XLOOKUP(J142,Manufacture_MJ!$C$18:$N$18,Manufacture_MJ!$C$20:$N$20) + _xlfn.XLOOKUP(B142&amp;"|"&amp;E142,
        Calculate_cap_ener!$L$14:$L$21&amp;"|"&amp;Calculate_cap_ener!$I$14:$I$21,
        Calculate_cap_ener!$AI$14:$AI$21, "Not found", 0))</f>
        <v>137435.88363114579</v>
      </c>
      <c r="M142" s="8">
        <f>_xlfn.XLOOKUP(J142,Manufacture_MJ!$C$18:$N$18,Manufacture_MJ!$C$20:$N$20)</f>
        <v>51534.195201054921</v>
      </c>
      <c r="N142" s="8" cm="1">
        <f t="array" ref="N142">_xlfn.SWITCH(K142,200,0,LOOKUP(K142,Manufacture_MJ!$C$24:$D$24,Manufacture_MJ!$C$26:$D$26))</f>
        <v>10613.59090909091</v>
      </c>
      <c r="O142" s="5" cm="1">
        <f t="array" ref="O142">_xlfn.XLOOKUP(B142&amp;"|"&amp;E142,
        Calculate_cap_ener!$L$14:$L$21&amp;"|"&amp;Calculate_cap_ener!$I$14:$I$21,
        Calculate_cap_ener!$AI$14:$AI$21, "Not found", 0)</f>
        <v>75288.097520999945</v>
      </c>
      <c r="P142" s="8">
        <f t="shared" si="12"/>
        <v>137435.88363114579</v>
      </c>
      <c r="Q142" s="8" cm="1">
        <f t="array" ref="Q142">_xlfn.SWITCH(K142,200,_xlfn.XLOOKUP(J142,Distribution_MJ!$C$18:$N$18,Distribution_MJ!$C$20:$N$20) + _xlfn.XLOOKUP(B142&amp;"|"&amp;E142,
        Calculate_cap_ener!$L$14:$L$21&amp;"|"&amp;Calculate_cap_ener!$I$14:$I$21,
        Calculate_cap_ener!$AP$14:$AP$21, "Not found", 0), LOOKUP(K142,Distribution_MJ!$C$24:$D$24,Distribution_MJ!$C$26:$D$26) + _xlfn.XLOOKUP(J142,Distribution_MJ!$C$18:$N$18,Distribution_MJ!$C$20:$N$20) + _xlfn.XLOOKUP(B142&amp;"|"&amp;E142,
        Calculate_cap_ener!$L$14:$L$21&amp;"|"&amp;Calculate_cap_ener!$I$14:$I$21,
        Calculate_cap_ener!$AP$14:$AP$21, "Not found", 0))</f>
        <v>3260.5583944658192</v>
      </c>
      <c r="R142" s="8" cm="1">
        <f t="array" ref="R142">_xlfn.SWITCH(K142,200,_xlfn.XLOOKUP(J142,Installation_MJ!$C$18:$N$18,Installation_MJ!$C$20:$N$20) + _xlfn.XLOOKUP(B142&amp;"|"&amp;E142,
        Calculate_cap_ener!$L$14:$L$21&amp;"|"&amp;Calculate_cap_ener!$I$14:$I$21,
        Calculate_cap_ener!$AW$14:$AW$21, "Not found", 0), LOOKUP(K142,Installation_MJ!$C$24:$D$24,Installation_MJ!$C$26:$D$26) + _xlfn.XLOOKUP(J142,Installation_MJ!$C$18:$N$18,Installation_MJ!$C$20:$N$20) + _xlfn.XLOOKUP(B142&amp;"|"&amp;E142,
        Calculate_cap_ener!$L$14:$L$21&amp;"|"&amp;Calculate_cap_ener!$I$14:$I$21,
        Calculate_cap_ener!$AW$14:$AW$21, "Not found", 0))</f>
        <v>317.48423652212671</v>
      </c>
      <c r="S142" s="8" cm="1">
        <f t="array" ref="S142">_xlfn.SWITCH(K142,200,_xlfn.XLOOKUP(J142,EOL_MJ!$C$18:$N$18,EOL_MJ!$C$20:$N$20) + _xlfn.XLOOKUP(B142&amp;"|"&amp;E142,
        Calculate_cap_ener!$L$14:$L$21&amp;"|"&amp;Calculate_cap_ener!$I$14:$I$21,
        Calculate_cap_ener!$BD$14:$BD$21, "Not found", 0), LOOKUP(K142,EOL_MJ!$C$24:$D$24,EOL_MJ!$C$26:$D$26) + _xlfn.XLOOKUP(J142,EOL_MJ!$C$18:$N$18,EOL_MJ!$C$20:$N$20) + _xlfn.XLOOKUP(B142&amp;"|"&amp;E142,
        Calculate_cap_ener!$L$14:$L$21&amp;"|"&amp;Calculate_cap_ener!$I$14:$I$21,
        Calculate_cap_ener!$BD$14:$BD$21, "Not found", 0))</f>
        <v>17643.368632145452</v>
      </c>
      <c r="T142" s="8" cm="1">
        <f t="array" ref="T142">_xlfn.SWITCH(K142,200,_xlfn.XLOOKUP(J142,Other!$C$18:$N$18,Other!$C$20:$N$20) + _xlfn.XLOOKUP(B142&amp;"|"&amp;E142,
        Calculate_cap_ener!$L$14:$L$21&amp;"|"&amp;Calculate_cap_ener!$I$14:$I$21,
        Calculate_cap_ener!$BK$14:$BK$21, "Not found", 0), LOOKUP(K142,Other!$C$24:$D$24,Other!$C$26:$D$26) + _xlfn.XLOOKUP(J142,Other!$C$18:$N$18,Other!$C$20:$N$20) + _xlfn.XLOOKUP(B142&amp;"|"&amp;E142,
        Calculate_cap_ener!$L$14:$L$21&amp;"|"&amp;Calculate_cap_ener!$I$14:$I$21,
        Calculate_cap_ener!$BK$14:$BK$21, "Not found", 0))</f>
        <v>111071.04064370126</v>
      </c>
    </row>
    <row r="143" spans="1:20" x14ac:dyDescent="0.25">
      <c r="A143" s="5"/>
      <c r="B143" s="5" t="str">
        <f>CONCATENATE(C143, "-", "Nom")</f>
        <v>Mod-Nom</v>
      </c>
      <c r="C143" s="5" t="s">
        <v>38</v>
      </c>
      <c r="D143" s="5" t="str">
        <f>_xlfn.TEXTAFTER(B143, "-", 1)</f>
        <v>Nom</v>
      </c>
      <c r="E143" s="5" t="s">
        <v>11</v>
      </c>
      <c r="F143" s="5" t="s">
        <v>57</v>
      </c>
      <c r="G143" s="5" t="s">
        <v>57</v>
      </c>
      <c r="H143" s="5">
        <v>5</v>
      </c>
      <c r="I143" s="5"/>
      <c r="J143" s="5">
        <f t="shared" si="8"/>
        <v>5</v>
      </c>
      <c r="K143" s="5">
        <v>1000</v>
      </c>
      <c r="L143" s="8" cm="1">
        <f t="array" ref="L143">_xlfn.SWITCH(K143,200,_xlfn.XLOOKUP(J143,Manufacture_MJ!$C$18:$N$18,Manufacture_MJ!$C$20:$N$20) + _xlfn.XLOOKUP(B143&amp;"|"&amp;E143,
        Calculate_cap_ener!$L$14:$L$21&amp;"|"&amp;Calculate_cap_ener!$I$14:$I$21,
        Calculate_cap_ener!$AI$14:$AI$21, "Not found", 0), LOOKUP(K143,Manufacture_MJ!$C$24:$D$24,Manufacture_MJ!$C$26:$D$26) + _xlfn.XLOOKUP(J143,Manufacture_MJ!$C$18:$N$18,Manufacture_MJ!$C$20:$N$20) + _xlfn.XLOOKUP(B143&amp;"|"&amp;E143,
        Calculate_cap_ener!$L$14:$L$21&amp;"|"&amp;Calculate_cap_ener!$I$14:$I$21,
        Calculate_cap_ener!$AI$14:$AI$21, "Not found", 0))</f>
        <v>144202.0635011924</v>
      </c>
      <c r="M143" s="8">
        <f>_xlfn.XLOOKUP(J143,Manufacture_MJ!$C$18:$N$18,Manufacture_MJ!$C$20:$N$20)</f>
        <v>48340.647798374281</v>
      </c>
      <c r="N143" s="8" cm="1">
        <f t="array" ref="N143">_xlfn.SWITCH(K143,200,0,LOOKUP(K143,Manufacture_MJ!$C$24:$D$24,Manufacture_MJ!$C$26:$D$26))</f>
        <v>20573.31818181818</v>
      </c>
      <c r="O143" s="5" cm="1">
        <f t="array" ref="O143">_xlfn.XLOOKUP(B143&amp;"|"&amp;E143,
        Calculate_cap_ener!$L$14:$L$21&amp;"|"&amp;Calculate_cap_ener!$I$14:$I$21,
        Calculate_cap_ener!$AI$14:$AI$21, "Not found", 0)</f>
        <v>75288.097520999945</v>
      </c>
      <c r="P143" s="8">
        <f t="shared" si="12"/>
        <v>144202.0635011924</v>
      </c>
      <c r="Q143" s="8" cm="1">
        <f t="array" ref="Q143">_xlfn.SWITCH(K143,200,_xlfn.XLOOKUP(J143,Distribution_MJ!$C$18:$N$18,Distribution_MJ!$C$20:$N$20) + _xlfn.XLOOKUP(B143&amp;"|"&amp;E143,
        Calculate_cap_ener!$L$14:$L$21&amp;"|"&amp;Calculate_cap_ener!$I$14:$I$21,
        Calculate_cap_ener!$AP$14:$AP$21, "Not found", 0), LOOKUP(K143,Distribution_MJ!$C$24:$D$24,Distribution_MJ!$C$26:$D$26) + _xlfn.XLOOKUP(J143,Distribution_MJ!$C$18:$N$18,Distribution_MJ!$C$20:$N$20) + _xlfn.XLOOKUP(B143&amp;"|"&amp;E143,
        Calculate_cap_ener!$L$14:$L$21&amp;"|"&amp;Calculate_cap_ener!$I$14:$I$21,
        Calculate_cap_ener!$AP$14:$AP$21, "Not found", 0))</f>
        <v>3146.8050815964693</v>
      </c>
      <c r="R143" s="8" cm="1">
        <f t="array" ref="R143">_xlfn.SWITCH(K143,200,_xlfn.XLOOKUP(J143,Installation_MJ!$C$18:$N$18,Installation_MJ!$C$20:$N$20) + _xlfn.XLOOKUP(B143&amp;"|"&amp;E143,
        Calculate_cap_ener!$L$14:$L$21&amp;"|"&amp;Calculate_cap_ener!$I$14:$I$21,
        Calculate_cap_ener!$AW$14:$AW$21, "Not found", 0), LOOKUP(K143,Installation_MJ!$C$24:$D$24,Installation_MJ!$C$26:$D$26) + _xlfn.XLOOKUP(J143,Installation_MJ!$C$18:$N$18,Installation_MJ!$C$20:$N$20) + _xlfn.XLOOKUP(B143&amp;"|"&amp;E143,
        Calculate_cap_ener!$L$14:$L$21&amp;"|"&amp;Calculate_cap_ener!$I$14:$I$21,
        Calculate_cap_ener!$AW$14:$AW$21, "Not found", 0))</f>
        <v>301.07980490919948</v>
      </c>
      <c r="S143" s="8" cm="1">
        <f t="array" ref="S143">_xlfn.SWITCH(K143,200,_xlfn.XLOOKUP(J143,EOL_MJ!$C$18:$N$18,EOL_MJ!$C$20:$N$20) + _xlfn.XLOOKUP(B143&amp;"|"&amp;E143,
        Calculate_cap_ener!$L$14:$L$21&amp;"|"&amp;Calculate_cap_ener!$I$14:$I$21,
        Calculate_cap_ener!$BD$14:$BD$21, "Not found", 0), LOOKUP(K143,EOL_MJ!$C$24:$D$24,EOL_MJ!$C$26:$D$26) + _xlfn.XLOOKUP(J143,EOL_MJ!$C$18:$N$18,EOL_MJ!$C$20:$N$20) + _xlfn.XLOOKUP(B143&amp;"|"&amp;E143,
        Calculate_cap_ener!$L$14:$L$21&amp;"|"&amp;Calculate_cap_ener!$I$14:$I$21,
        Calculate_cap_ener!$BD$14:$BD$21, "Not found", 0))</f>
        <v>27779.686813963635</v>
      </c>
      <c r="T143" s="8" cm="1">
        <f t="array" ref="T143">_xlfn.SWITCH(K143,200,_xlfn.XLOOKUP(J143,Other!$C$18:$N$18,Other!$C$20:$N$20) + _xlfn.XLOOKUP(B143&amp;"|"&amp;E143,
        Calculate_cap_ener!$L$14:$L$21&amp;"|"&amp;Calculate_cap_ener!$I$14:$I$21,
        Calculate_cap_ener!$BK$14:$BK$21, "Not found", 0), LOOKUP(K143,Other!$C$24:$D$24,Other!$C$26:$D$26) + _xlfn.XLOOKUP(J143,Other!$C$18:$N$18,Other!$C$20:$N$20) + _xlfn.XLOOKUP(B143&amp;"|"&amp;E143,
        Calculate_cap_ener!$L$14:$L$21&amp;"|"&amp;Calculate_cap_ener!$I$14:$I$21,
        Calculate_cap_ener!$BK$14:$BK$21, "Not found", 0))</f>
        <v>110874.03289403599</v>
      </c>
    </row>
    <row r="144" spans="1:20" x14ac:dyDescent="0.25">
      <c r="A144" s="5"/>
      <c r="B144" s="5" t="str">
        <f t="shared" ref="B144:B147" si="19">CONCATENATE(C144, "-", "Nom")</f>
        <v>Mod-Nom</v>
      </c>
      <c r="C144" s="5" t="s">
        <v>38</v>
      </c>
      <c r="D144" s="5" t="str">
        <f t="shared" ref="D144:D186" si="20">_xlfn.TEXTAFTER(B144, "-", 1)</f>
        <v>Nom</v>
      </c>
      <c r="E144" s="5" t="s">
        <v>11</v>
      </c>
      <c r="F144" s="5" t="s">
        <v>57</v>
      </c>
      <c r="G144" s="5" t="s">
        <v>57</v>
      </c>
      <c r="H144" s="5">
        <v>6</v>
      </c>
      <c r="I144" s="5"/>
      <c r="J144" s="5">
        <f t="shared" si="8"/>
        <v>6</v>
      </c>
      <c r="K144" s="5">
        <v>1000</v>
      </c>
      <c r="L144" s="8" cm="1">
        <f t="array" ref="L144">_xlfn.SWITCH(K144,200,_xlfn.XLOOKUP(J144,Manufacture_MJ!$C$18:$N$18,Manufacture_MJ!$C$20:$N$20) + _xlfn.XLOOKUP(B144&amp;"|"&amp;E144,
        Calculate_cap_ener!$L$14:$L$21&amp;"|"&amp;Calculate_cap_ener!$I$14:$I$21,
        Calculate_cap_ener!$AI$14:$AI$21, "Not found", 0), LOOKUP(K144,Manufacture_MJ!$C$24:$D$24,Manufacture_MJ!$C$26:$D$26) + _xlfn.XLOOKUP(J144,Manufacture_MJ!$C$18:$N$18,Manufacture_MJ!$C$20:$N$20) + _xlfn.XLOOKUP(B144&amp;"|"&amp;E144,
        Calculate_cap_ener!$L$14:$L$21&amp;"|"&amp;Calculate_cap_ener!$I$14:$I$21,
        Calculate_cap_ener!$AI$14:$AI$21, "Not found", 0))</f>
        <v>144556.90210149024</v>
      </c>
      <c r="M144" s="8">
        <f>_xlfn.XLOOKUP(J144,Manufacture_MJ!$C$18:$N$18,Manufacture_MJ!$C$20:$N$20)</f>
        <v>48695.486398672118</v>
      </c>
      <c r="N144" s="8" cm="1">
        <f t="array" ref="N144">_xlfn.SWITCH(K144,200,0,LOOKUP(K144,Manufacture_MJ!$C$24:$D$24,Manufacture_MJ!$C$26:$D$26))</f>
        <v>20573.31818181818</v>
      </c>
      <c r="O144" s="5" cm="1">
        <f t="array" ref="O144">_xlfn.XLOOKUP(B144&amp;"|"&amp;E144,
        Calculate_cap_ener!$L$14:$L$21&amp;"|"&amp;Calculate_cap_ener!$I$14:$I$21,
        Calculate_cap_ener!$AI$14:$AI$21, "Not found", 0)</f>
        <v>75288.097520999945</v>
      </c>
      <c r="P144" s="8">
        <f t="shared" si="12"/>
        <v>144556.90210149024</v>
      </c>
      <c r="Q144" s="8" cm="1">
        <f t="array" ref="Q144">_xlfn.SWITCH(K144,200,_xlfn.XLOOKUP(J144,Distribution_MJ!$C$18:$N$18,Distribution_MJ!$C$20:$N$20) + _xlfn.XLOOKUP(B144&amp;"|"&amp;E144,
        Calculate_cap_ener!$L$14:$L$21&amp;"|"&amp;Calculate_cap_ener!$I$14:$I$21,
        Calculate_cap_ener!$AP$14:$AP$21, "Not found", 0), LOOKUP(K144,Distribution_MJ!$C$24:$D$24,Distribution_MJ!$C$26:$D$26) + _xlfn.XLOOKUP(J144,Distribution_MJ!$C$18:$N$18,Distribution_MJ!$C$20:$N$20) + _xlfn.XLOOKUP(B144&amp;"|"&amp;E144,
        Calculate_cap_ener!$L$14:$L$21&amp;"|"&amp;Calculate_cap_ener!$I$14:$I$21,
        Calculate_cap_ener!$AP$14:$AP$21, "Not found", 0))</f>
        <v>3179.5093747316191</v>
      </c>
      <c r="R144" s="8" cm="1">
        <f t="array" ref="R144">_xlfn.SWITCH(K144,200,_xlfn.XLOOKUP(J144,Installation_MJ!$C$18:$N$18,Installation_MJ!$C$20:$N$20) + _xlfn.XLOOKUP(B144&amp;"|"&amp;E144,
        Calculate_cap_ener!$L$14:$L$21&amp;"|"&amp;Calculate_cap_ener!$I$14:$I$21,
        Calculate_cap_ener!$AW$14:$AW$21, "Not found", 0), LOOKUP(K144,Installation_MJ!$C$24:$D$24,Installation_MJ!$C$26:$D$26) + _xlfn.XLOOKUP(J144,Installation_MJ!$C$18:$N$18,Installation_MJ!$C$20:$N$20) + _xlfn.XLOOKUP(B144&amp;"|"&amp;E144,
        Calculate_cap_ener!$L$14:$L$21&amp;"|"&amp;Calculate_cap_ener!$I$14:$I$21,
        Calculate_cap_ener!$AW$14:$AW$21, "Not found", 0))</f>
        <v>303.53888316922178</v>
      </c>
      <c r="S144" s="8" cm="1">
        <f t="array" ref="S144">_xlfn.SWITCH(K144,200,_xlfn.XLOOKUP(J144,EOL_MJ!$C$18:$N$18,EOL_MJ!$C$20:$N$20) + _xlfn.XLOOKUP(B144&amp;"|"&amp;E144,
        Calculate_cap_ener!$L$14:$L$21&amp;"|"&amp;Calculate_cap_ener!$I$14:$I$21,
        Calculate_cap_ener!$BD$14:$BD$21, "Not found", 0), LOOKUP(K144,EOL_MJ!$C$24:$D$24,EOL_MJ!$C$26:$D$26) + _xlfn.XLOOKUP(J144,EOL_MJ!$C$18:$N$18,EOL_MJ!$C$20:$N$20) + _xlfn.XLOOKUP(B144&amp;"|"&amp;E144,
        Calculate_cap_ener!$L$14:$L$21&amp;"|"&amp;Calculate_cap_ener!$I$14:$I$21,
        Calculate_cap_ener!$BD$14:$BD$21, "Not found", 0))</f>
        <v>27779.686813963635</v>
      </c>
      <c r="T144" s="8" cm="1">
        <f t="array" ref="T144">_xlfn.SWITCH(K144,200,_xlfn.XLOOKUP(J144,Other!$C$18:$N$18,Other!$C$20:$N$20) + _xlfn.XLOOKUP(B144&amp;"|"&amp;E144,
        Calculate_cap_ener!$L$14:$L$21&amp;"|"&amp;Calculate_cap_ener!$I$14:$I$21,
        Calculate_cap_ener!$BK$14:$BK$21, "Not found", 0), LOOKUP(K144,Other!$C$24:$D$24,Other!$C$26:$D$26) + _xlfn.XLOOKUP(J144,Other!$C$18:$N$18,Other!$C$20:$N$20) + _xlfn.XLOOKUP(B144&amp;"|"&amp;E144,
        Calculate_cap_ener!$L$14:$L$21&amp;"|"&amp;Calculate_cap_ener!$I$14:$I$21,
        Calculate_cap_ener!$BK$14:$BK$21, "Not found", 0))</f>
        <v>110895.9226439988</v>
      </c>
    </row>
    <row r="145" spans="1:20" x14ac:dyDescent="0.25">
      <c r="A145" s="5"/>
      <c r="B145" s="5" t="str">
        <f t="shared" si="19"/>
        <v>Mod-Nom</v>
      </c>
      <c r="C145" s="5" t="s">
        <v>38</v>
      </c>
      <c r="D145" s="5" t="str">
        <f t="shared" si="20"/>
        <v>Nom</v>
      </c>
      <c r="E145" s="5" t="s">
        <v>11</v>
      </c>
      <c r="F145" s="5" t="s">
        <v>57</v>
      </c>
      <c r="G145" s="5" t="s">
        <v>57</v>
      </c>
      <c r="H145" s="5">
        <v>8.5</v>
      </c>
      <c r="I145" s="5"/>
      <c r="J145" s="5">
        <f t="shared" si="8"/>
        <v>9</v>
      </c>
      <c r="K145" s="5">
        <v>1000</v>
      </c>
      <c r="L145" s="8" cm="1">
        <f t="array" ref="L145">_xlfn.SWITCH(K145,200,_xlfn.XLOOKUP(J145,Manufacture_MJ!$C$18:$N$18,Manufacture_MJ!$C$20:$N$20) + _xlfn.XLOOKUP(B145&amp;"|"&amp;E145,
        Calculate_cap_ener!$L$14:$L$21&amp;"|"&amp;Calculate_cap_ener!$I$14:$I$21,
        Calculate_cap_ener!$AI$14:$AI$21, "Not found", 0), LOOKUP(K145,Manufacture_MJ!$C$24:$D$24,Manufacture_MJ!$C$26:$D$26) + _xlfn.XLOOKUP(J145,Manufacture_MJ!$C$18:$N$18,Manufacture_MJ!$C$20:$N$20) + _xlfn.XLOOKUP(B145&amp;"|"&amp;E145,
        Calculate_cap_ener!$L$14:$L$21&amp;"|"&amp;Calculate_cap_ener!$I$14:$I$21,
        Calculate_cap_ener!$AI$14:$AI$21, "Not found", 0))</f>
        <v>145621.41790238375</v>
      </c>
      <c r="M145" s="8">
        <f>_xlfn.XLOOKUP(J145,Manufacture_MJ!$C$18:$N$18,Manufacture_MJ!$C$20:$N$20)</f>
        <v>49760.002199565621</v>
      </c>
      <c r="N145" s="8" cm="1">
        <f t="array" ref="N145">_xlfn.SWITCH(K145,200,0,LOOKUP(K145,Manufacture_MJ!$C$24:$D$24,Manufacture_MJ!$C$26:$D$26))</f>
        <v>20573.31818181818</v>
      </c>
      <c r="O145" s="5" cm="1">
        <f t="array" ref="O145">_xlfn.XLOOKUP(B145&amp;"|"&amp;E145,
        Calculate_cap_ener!$L$14:$L$21&amp;"|"&amp;Calculate_cap_ener!$I$14:$I$21,
        Calculate_cap_ener!$AI$14:$AI$21, "Not found", 0)</f>
        <v>75288.097520999945</v>
      </c>
      <c r="P145" s="8">
        <f t="shared" si="12"/>
        <v>145621.41790238375</v>
      </c>
      <c r="Q145" s="8" cm="1">
        <f t="array" ref="Q145">_xlfn.SWITCH(K145,200,_xlfn.XLOOKUP(J145,Distribution_MJ!$C$18:$N$18,Distribution_MJ!$C$20:$N$20) + _xlfn.XLOOKUP(B145&amp;"|"&amp;E145,
        Calculate_cap_ener!$L$14:$L$21&amp;"|"&amp;Calculate_cap_ener!$I$14:$I$21,
        Calculate_cap_ener!$AP$14:$AP$21, "Not found", 0), LOOKUP(K145,Distribution_MJ!$C$24:$D$24,Distribution_MJ!$C$26:$D$26) + _xlfn.XLOOKUP(J145,Distribution_MJ!$C$18:$N$18,Distribution_MJ!$C$20:$N$20) + _xlfn.XLOOKUP(B145&amp;"|"&amp;E145,
        Calculate_cap_ener!$L$14:$L$21&amp;"|"&amp;Calculate_cap_ener!$I$14:$I$21,
        Calculate_cap_ener!$AP$14:$AP$21, "Not found", 0))</f>
        <v>3277.6222541370689</v>
      </c>
      <c r="R145" s="8" cm="1">
        <f t="array" ref="R145">_xlfn.SWITCH(K145,200,_xlfn.XLOOKUP(J145,Installation_MJ!$C$18:$N$18,Installation_MJ!$C$20:$N$20) + _xlfn.XLOOKUP(B145&amp;"|"&amp;E145,
        Calculate_cap_ener!$L$14:$L$21&amp;"|"&amp;Calculate_cap_ener!$I$14:$I$21,
        Calculate_cap_ener!$AW$14:$AW$21, "Not found", 0), LOOKUP(K145,Installation_MJ!$C$24:$D$24,Installation_MJ!$C$26:$D$26) + _xlfn.XLOOKUP(J145,Installation_MJ!$C$18:$N$18,Installation_MJ!$C$20:$N$20) + _xlfn.XLOOKUP(B145&amp;"|"&amp;E145,
        Calculate_cap_ener!$L$14:$L$21&amp;"|"&amp;Calculate_cap_ener!$I$14:$I$21,
        Calculate_cap_ener!$AW$14:$AW$21, "Not found", 0))</f>
        <v>310.91611794928826</v>
      </c>
      <c r="S145" s="8" cm="1">
        <f t="array" ref="S145">_xlfn.SWITCH(K145,200,_xlfn.XLOOKUP(J145,EOL_MJ!$C$18:$N$18,EOL_MJ!$C$20:$N$20) + _xlfn.XLOOKUP(B145&amp;"|"&amp;E145,
        Calculate_cap_ener!$L$14:$L$21&amp;"|"&amp;Calculate_cap_ener!$I$14:$I$21,
        Calculate_cap_ener!$BD$14:$BD$21, "Not found", 0), LOOKUP(K145,EOL_MJ!$C$24:$D$24,EOL_MJ!$C$26:$D$26) + _xlfn.XLOOKUP(J145,EOL_MJ!$C$18:$N$18,EOL_MJ!$C$20:$N$20) + _xlfn.XLOOKUP(B145&amp;"|"&amp;E145,
        Calculate_cap_ener!$L$14:$L$21&amp;"|"&amp;Calculate_cap_ener!$I$14:$I$21,
        Calculate_cap_ener!$BD$14:$BD$21, "Not found", 0))</f>
        <v>27779.686813963635</v>
      </c>
      <c r="T145" s="8" cm="1">
        <f t="array" ref="T145">_xlfn.SWITCH(K145,200,_xlfn.XLOOKUP(J145,Other!$C$18:$N$18,Other!$C$20:$N$20) + _xlfn.XLOOKUP(B145&amp;"|"&amp;E145,
        Calculate_cap_ener!$L$14:$L$21&amp;"|"&amp;Calculate_cap_ener!$I$14:$I$21,
        Calculate_cap_ener!$BK$14:$BK$21, "Not found", 0), LOOKUP(K145,Other!$C$24:$D$24,Other!$C$26:$D$26) + _xlfn.XLOOKUP(J145,Other!$C$18:$N$18,Other!$C$20:$N$20) + _xlfn.XLOOKUP(B145&amp;"|"&amp;E145,
        Calculate_cap_ener!$L$14:$L$21&amp;"|"&amp;Calculate_cap_ener!$I$14:$I$21,
        Calculate_cap_ener!$BK$14:$BK$21, "Not found", 0))</f>
        <v>110961.59189388722</v>
      </c>
    </row>
    <row r="146" spans="1:20" x14ac:dyDescent="0.25">
      <c r="A146" s="5"/>
      <c r="B146" s="5" t="str">
        <f t="shared" si="19"/>
        <v>Mod-Nom</v>
      </c>
      <c r="C146" s="5" t="s">
        <v>38</v>
      </c>
      <c r="D146" s="5" t="str">
        <f t="shared" si="20"/>
        <v>Nom</v>
      </c>
      <c r="E146" s="5" t="s">
        <v>11</v>
      </c>
      <c r="F146" s="5" t="s">
        <v>57</v>
      </c>
      <c r="G146" s="5" t="s">
        <v>57</v>
      </c>
      <c r="H146" s="5">
        <v>11.2</v>
      </c>
      <c r="I146" s="5"/>
      <c r="J146" s="5">
        <f t="shared" si="8"/>
        <v>12</v>
      </c>
      <c r="K146" s="5">
        <v>1000</v>
      </c>
      <c r="L146" s="8" cm="1">
        <f t="array" ref="L146">_xlfn.SWITCH(K146,200,_xlfn.XLOOKUP(J146,Manufacture_MJ!$C$18:$N$18,Manufacture_MJ!$C$20:$N$20) + _xlfn.XLOOKUP(B146&amp;"|"&amp;E146,
        Calculate_cap_ener!$L$14:$L$21&amp;"|"&amp;Calculate_cap_ener!$I$14:$I$21,
        Calculate_cap_ener!$AI$14:$AI$21, "Not found", 0), LOOKUP(K146,Manufacture_MJ!$C$24:$D$24,Manufacture_MJ!$C$26:$D$26) + _xlfn.XLOOKUP(J146,Manufacture_MJ!$C$18:$N$18,Manufacture_MJ!$C$20:$N$20) + _xlfn.XLOOKUP(B146&amp;"|"&amp;E146,
        Calculate_cap_ener!$L$14:$L$21&amp;"|"&amp;Calculate_cap_ener!$I$14:$I$21,
        Calculate_cap_ener!$AI$14:$AI$21, "Not found", 0))</f>
        <v>146685.93370327738</v>
      </c>
      <c r="M146" s="8">
        <f>_xlfn.XLOOKUP(J146,Manufacture_MJ!$C$18:$N$18,Manufacture_MJ!$C$20:$N$20)</f>
        <v>50824.518000459248</v>
      </c>
      <c r="N146" s="8" cm="1">
        <f t="array" ref="N146">_xlfn.SWITCH(K146,200,0,LOOKUP(K146,Manufacture_MJ!$C$24:$D$24,Manufacture_MJ!$C$26:$D$26))</f>
        <v>20573.31818181818</v>
      </c>
      <c r="O146" s="5" cm="1">
        <f t="array" ref="O146">_xlfn.XLOOKUP(B146&amp;"|"&amp;E146,
        Calculate_cap_ener!$L$14:$L$21&amp;"|"&amp;Calculate_cap_ener!$I$14:$I$21,
        Calculate_cap_ener!$AI$14:$AI$21, "Not found", 0)</f>
        <v>75288.097520999945</v>
      </c>
      <c r="P146" s="8">
        <f t="shared" si="12"/>
        <v>146685.93370327738</v>
      </c>
      <c r="Q146" s="8" cm="1">
        <f t="array" ref="Q146">_xlfn.SWITCH(K146,200,_xlfn.XLOOKUP(J146,Distribution_MJ!$C$18:$N$18,Distribution_MJ!$C$20:$N$20) + _xlfn.XLOOKUP(B146&amp;"|"&amp;E146,
        Calculate_cap_ener!$L$14:$L$21&amp;"|"&amp;Calculate_cap_ener!$I$14:$I$21,
        Calculate_cap_ener!$AP$14:$AP$21, "Not found", 0), LOOKUP(K146,Distribution_MJ!$C$24:$D$24,Distribution_MJ!$C$26:$D$26) + _xlfn.XLOOKUP(J146,Distribution_MJ!$C$18:$N$18,Distribution_MJ!$C$20:$N$20) + _xlfn.XLOOKUP(B146&amp;"|"&amp;E146,
        Calculate_cap_ener!$L$14:$L$21&amp;"|"&amp;Calculate_cap_ener!$I$14:$I$21,
        Calculate_cap_ener!$AP$14:$AP$21, "Not found", 0))</f>
        <v>3375.7351335425192</v>
      </c>
      <c r="R146" s="8" cm="1">
        <f t="array" ref="R146">_xlfn.SWITCH(K146,200,_xlfn.XLOOKUP(J146,Installation_MJ!$C$18:$N$18,Installation_MJ!$C$20:$N$20) + _xlfn.XLOOKUP(B146&amp;"|"&amp;E146,
        Calculate_cap_ener!$L$14:$L$21&amp;"|"&amp;Calculate_cap_ener!$I$14:$I$21,
        Calculate_cap_ener!$AW$14:$AW$21, "Not found", 0), LOOKUP(K146,Installation_MJ!$C$24:$D$24,Installation_MJ!$C$26:$D$26) + _xlfn.XLOOKUP(J146,Installation_MJ!$C$18:$N$18,Installation_MJ!$C$20:$N$20) + _xlfn.XLOOKUP(B146&amp;"|"&amp;E146,
        Calculate_cap_ener!$L$14:$L$21&amp;"|"&amp;Calculate_cap_ener!$I$14:$I$21,
        Calculate_cap_ener!$AW$14:$AW$21, "Not found", 0))</f>
        <v>318.29335272935492</v>
      </c>
      <c r="S146" s="8" cm="1">
        <f t="array" ref="S146">_xlfn.SWITCH(K146,200,_xlfn.XLOOKUP(J146,EOL_MJ!$C$18:$N$18,EOL_MJ!$C$20:$N$20) + _xlfn.XLOOKUP(B146&amp;"|"&amp;E146,
        Calculate_cap_ener!$L$14:$L$21&amp;"|"&amp;Calculate_cap_ener!$I$14:$I$21,
        Calculate_cap_ener!$BD$14:$BD$21, "Not found", 0), LOOKUP(K146,EOL_MJ!$C$24:$D$24,EOL_MJ!$C$26:$D$26) + _xlfn.XLOOKUP(J146,EOL_MJ!$C$18:$N$18,EOL_MJ!$C$20:$N$20) + _xlfn.XLOOKUP(B146&amp;"|"&amp;E146,
        Calculate_cap_ener!$L$14:$L$21&amp;"|"&amp;Calculate_cap_ener!$I$14:$I$21,
        Calculate_cap_ener!$BD$14:$BD$21, "Not found", 0))</f>
        <v>27779.686813963635</v>
      </c>
      <c r="T146" s="8" cm="1">
        <f t="array" ref="T146">_xlfn.SWITCH(K146,200,_xlfn.XLOOKUP(J146,Other!$C$18:$N$18,Other!$C$20:$N$20) + _xlfn.XLOOKUP(B146&amp;"|"&amp;E146,
        Calculate_cap_ener!$L$14:$L$21&amp;"|"&amp;Calculate_cap_ener!$I$14:$I$21,
        Calculate_cap_ener!$BK$14:$BK$21, "Not found", 0), LOOKUP(K146,Other!$C$24:$D$24,Other!$C$26:$D$26) + _xlfn.XLOOKUP(J146,Other!$C$18:$N$18,Other!$C$20:$N$20) + _xlfn.XLOOKUP(B146&amp;"|"&amp;E146,
        Calculate_cap_ener!$L$14:$L$21&amp;"|"&amp;Calculate_cap_ener!$I$14:$I$21,
        Calculate_cap_ener!$BK$14:$BK$21, "Not found", 0))</f>
        <v>111027.26114377564</v>
      </c>
    </row>
    <row r="147" spans="1:20" x14ac:dyDescent="0.25">
      <c r="A147" s="5"/>
      <c r="B147" s="5" t="str">
        <f t="shared" si="19"/>
        <v>Mod-Nom</v>
      </c>
      <c r="C147" s="5" t="s">
        <v>38</v>
      </c>
      <c r="D147" s="5" t="str">
        <f t="shared" si="20"/>
        <v>Nom</v>
      </c>
      <c r="E147" s="5" t="s">
        <v>11</v>
      </c>
      <c r="F147" s="5" t="s">
        <v>57</v>
      </c>
      <c r="G147" s="5" t="s">
        <v>57</v>
      </c>
      <c r="H147" s="5">
        <v>14</v>
      </c>
      <c r="I147" s="5"/>
      <c r="J147" s="5">
        <f t="shared" si="8"/>
        <v>14</v>
      </c>
      <c r="K147" s="5">
        <v>1000</v>
      </c>
      <c r="L147" s="8" cm="1">
        <f t="array" ref="L147">_xlfn.SWITCH(K147,200,_xlfn.XLOOKUP(J147,Manufacture_MJ!$C$18:$N$18,Manufacture_MJ!$C$20:$N$20) + _xlfn.XLOOKUP(B147&amp;"|"&amp;E147,
        Calculate_cap_ener!$L$14:$L$21&amp;"|"&amp;Calculate_cap_ener!$I$14:$I$21,
        Calculate_cap_ener!$AI$14:$AI$21, "Not found", 0), LOOKUP(K147,Manufacture_MJ!$C$24:$D$24,Manufacture_MJ!$C$26:$D$26) + _xlfn.XLOOKUP(J147,Manufacture_MJ!$C$18:$N$18,Manufacture_MJ!$C$20:$N$20) + _xlfn.XLOOKUP(B147&amp;"|"&amp;E147,
        Calculate_cap_ener!$L$14:$L$21&amp;"|"&amp;Calculate_cap_ener!$I$14:$I$21,
        Calculate_cap_ener!$AI$14:$AI$21, "Not found", 0))</f>
        <v>147395.61090387305</v>
      </c>
      <c r="M147" s="8">
        <f>_xlfn.XLOOKUP(J147,Manufacture_MJ!$C$18:$N$18,Manufacture_MJ!$C$20:$N$20)</f>
        <v>51534.195201054921</v>
      </c>
      <c r="N147" s="8" cm="1">
        <f t="array" ref="N147">_xlfn.SWITCH(K147,200,0,LOOKUP(K147,Manufacture_MJ!$C$24:$D$24,Manufacture_MJ!$C$26:$D$26))</f>
        <v>20573.31818181818</v>
      </c>
      <c r="O147" s="5" cm="1">
        <f t="array" ref="O147">_xlfn.XLOOKUP(B147&amp;"|"&amp;E147,
        Calculate_cap_ener!$L$14:$L$21&amp;"|"&amp;Calculate_cap_ener!$I$14:$I$21,
        Calculate_cap_ener!$AI$14:$AI$21, "Not found", 0)</f>
        <v>75288.097520999945</v>
      </c>
      <c r="P147" s="8">
        <f t="shared" si="12"/>
        <v>147395.61090387305</v>
      </c>
      <c r="Q147" s="8" cm="1">
        <f t="array" ref="Q147">_xlfn.SWITCH(K147,200,_xlfn.XLOOKUP(J147,Distribution_MJ!$C$18:$N$18,Distribution_MJ!$C$20:$N$20) + _xlfn.XLOOKUP(B147&amp;"|"&amp;E147,
        Calculate_cap_ener!$L$14:$L$21&amp;"|"&amp;Calculate_cap_ener!$I$14:$I$21,
        Calculate_cap_ener!$AP$14:$AP$21, "Not found", 0), LOOKUP(K147,Distribution_MJ!$C$24:$D$24,Distribution_MJ!$C$26:$D$26) + _xlfn.XLOOKUP(J147,Distribution_MJ!$C$18:$N$18,Distribution_MJ!$C$20:$N$20) + _xlfn.XLOOKUP(B147&amp;"|"&amp;E147,
        Calculate_cap_ener!$L$14:$L$21&amp;"|"&amp;Calculate_cap_ener!$I$14:$I$21,
        Calculate_cap_ener!$AP$14:$AP$21, "Not found", 0))</f>
        <v>3441.1437198128187</v>
      </c>
      <c r="R147" s="8" cm="1">
        <f t="array" ref="R147">_xlfn.SWITCH(K147,200,_xlfn.XLOOKUP(J147,Installation_MJ!$C$18:$N$18,Installation_MJ!$C$20:$N$20) + _xlfn.XLOOKUP(B147&amp;"|"&amp;E147,
        Calculate_cap_ener!$L$14:$L$21&amp;"|"&amp;Calculate_cap_ener!$I$14:$I$21,
        Calculate_cap_ener!$AW$14:$AW$21, "Not found", 0), LOOKUP(K147,Installation_MJ!$C$24:$D$24,Installation_MJ!$C$26:$D$26) + _xlfn.XLOOKUP(J147,Installation_MJ!$C$18:$N$18,Installation_MJ!$C$20:$N$20) + _xlfn.XLOOKUP(B147&amp;"|"&amp;E147,
        Calculate_cap_ener!$L$14:$L$21&amp;"|"&amp;Calculate_cap_ener!$I$14:$I$21,
        Calculate_cap_ener!$AW$14:$AW$21, "Not found", 0))</f>
        <v>323.21150924939946</v>
      </c>
      <c r="S147" s="8" cm="1">
        <f t="array" ref="S147">_xlfn.SWITCH(K147,200,_xlfn.XLOOKUP(J147,EOL_MJ!$C$18:$N$18,EOL_MJ!$C$20:$N$20) + _xlfn.XLOOKUP(B147&amp;"|"&amp;E147,
        Calculate_cap_ener!$L$14:$L$21&amp;"|"&amp;Calculate_cap_ener!$I$14:$I$21,
        Calculate_cap_ener!$BD$14:$BD$21, "Not found", 0), LOOKUP(K147,EOL_MJ!$C$24:$D$24,EOL_MJ!$C$26:$D$26) + _xlfn.XLOOKUP(J147,EOL_MJ!$C$18:$N$18,EOL_MJ!$C$20:$N$20) + _xlfn.XLOOKUP(B147&amp;"|"&amp;E147,
        Calculate_cap_ener!$L$14:$L$21&amp;"|"&amp;Calculate_cap_ener!$I$14:$I$21,
        Calculate_cap_ener!$BD$14:$BD$21, "Not found", 0))</f>
        <v>27779.686813963635</v>
      </c>
      <c r="T147" s="8" cm="1">
        <f t="array" ref="T147">_xlfn.SWITCH(K147,200,_xlfn.XLOOKUP(J147,Other!$C$18:$N$18,Other!$C$20:$N$20) + _xlfn.XLOOKUP(B147&amp;"|"&amp;E147,
        Calculate_cap_ener!$L$14:$L$21&amp;"|"&amp;Calculate_cap_ener!$I$14:$I$21,
        Calculate_cap_ener!$BK$14:$BK$21, "Not found", 0), LOOKUP(K147,Other!$C$24:$D$24,Other!$C$26:$D$26) + _xlfn.XLOOKUP(J147,Other!$C$18:$N$18,Other!$C$20:$N$20) + _xlfn.XLOOKUP(B147&amp;"|"&amp;E147,
        Calculate_cap_ener!$L$14:$L$21&amp;"|"&amp;Calculate_cap_ener!$I$14:$I$21,
        Calculate_cap_ener!$BK$14:$BK$21, "Not found", 0))</f>
        <v>111071.04064370126</v>
      </c>
    </row>
    <row r="148" spans="1:20" x14ac:dyDescent="0.25">
      <c r="A148" s="5"/>
      <c r="B148" s="5" t="str">
        <f>CONCATENATE(C148, "-", "H1")</f>
        <v>Mass-H1</v>
      </c>
      <c r="C148" s="5" t="s">
        <v>37</v>
      </c>
      <c r="D148" s="5" t="str">
        <f t="shared" si="20"/>
        <v>H1</v>
      </c>
      <c r="E148" s="5" t="s">
        <v>3</v>
      </c>
      <c r="F148" s="5" t="s">
        <v>54</v>
      </c>
      <c r="G148" s="5" t="s">
        <v>54</v>
      </c>
      <c r="H148" s="5">
        <v>8.5</v>
      </c>
      <c r="I148" s="5"/>
      <c r="J148" s="5">
        <f>_xlfn.CEILING.MATH(H148,1)</f>
        <v>9</v>
      </c>
      <c r="K148" s="5">
        <v>200</v>
      </c>
      <c r="L148" s="8" cm="1">
        <f t="array" ref="L148">_xlfn.SWITCH(K148,200,_xlfn.XLOOKUP(J148,Manufacture_MJ!$C$18:$N$18,Manufacture_MJ!$C$20:$N$20) + _xlfn.XLOOKUP(B148&amp;"|"&amp;E148,
        Calculate_cap_ener!$L$14:$L$21&amp;"|"&amp;Calculate_cap_ener!$I$14:$I$21,
        Calculate_cap_ener!$AI$14:$AI$21, "Not found", 0), LOOKUP(K148,Manufacture_MJ!$C$24:$D$24,Manufacture_MJ!$C$26:$D$26) + _xlfn.XLOOKUP(J148,Manufacture_MJ!$C$18:$N$18,Manufacture_MJ!$C$20:$N$20) + _xlfn.XLOOKUP(B148&amp;"|"&amp;E148,
        Calculate_cap_ener!$L$14:$L$21&amp;"|"&amp;Calculate_cap_ener!$I$14:$I$21,
        Calculate_cap_ener!$AI$14:$AI$21, "Not found", 0))</f>
        <v>89913.643244565581</v>
      </c>
      <c r="M148" s="8">
        <f>LOOKUP(J148,Manufacture_MJ!$C$18:$N$18,Manufacture_MJ!$C$20:$N$20)</f>
        <v>49760.002199565621</v>
      </c>
      <c r="N148" s="8" cm="1">
        <f t="array" ref="N148">_xlfn.SWITCH(K148,200,0,LOOKUP(K148,Manufacture_MJ!$C$24:$D$24,Manufacture_MJ!$C$26:$D$26))</f>
        <v>0</v>
      </c>
      <c r="O148" s="5" cm="1">
        <f t="array" ref="O148">_xlfn.XLOOKUP(B148&amp;"|"&amp;E148,
        Calculate_cap_ener!$L$14:$L$21&amp;"|"&amp;Calculate_cap_ener!$I$14:$I$21,
        Calculate_cap_ener!$AI$14:$AI$21, "Not found", 0)</f>
        <v>40153.641044999968</v>
      </c>
      <c r="P148" s="8">
        <f>SUM(M148:O148)</f>
        <v>89913.643244565581</v>
      </c>
      <c r="Q148" s="8" cm="1">
        <f t="array" ref="Q148">_xlfn.SWITCH(K148,200,_xlfn.XLOOKUP(J148,Distribution_MJ!$C$18:$N$18,Distribution_MJ!$C$20:$N$20) + _xlfn.XLOOKUP(B148&amp;"|"&amp;E148,
        Calculate_cap_ener!$L$14:$L$21&amp;"|"&amp;Calculate_cap_ener!$I$14:$I$21,
        Calculate_cap_ener!$AP$14:$AP$21, "Not found", 0), LOOKUP(K148,Distribution_MJ!$C$24:$D$24,Distribution_MJ!$C$26:$D$26) + _xlfn.XLOOKUP(J148,Distribution_MJ!$C$18:$N$18,Distribution_MJ!$C$20:$N$20) + _xlfn.XLOOKUP(B148&amp;"|"&amp;E148,
        Calculate_cap_ener!$L$14:$L$21&amp;"|"&amp;Calculate_cap_ener!$I$14:$I$21,
        Calculate_cap_ener!$AP$14:$AP$21, "Not found", 0))</f>
        <v>2365.6581890149</v>
      </c>
      <c r="R148" s="8" cm="1">
        <f t="array" ref="R148">_xlfn.SWITCH(K148,200,_xlfn.XLOOKUP(J148,Installation_MJ!$C$18:$N$18,Installation_MJ!$C$20:$N$20) + _xlfn.XLOOKUP(B148&amp;"|"&amp;E148,
        Calculate_cap_ener!$L$14:$L$21&amp;"|"&amp;Calculate_cap_ener!$I$14:$I$21,
        Calculate_cap_ener!$AW$14:$AW$21, "Not found", 0), LOOKUP(K148,Installation_MJ!$C$24:$D$24,Installation_MJ!$C$26:$D$26) + _xlfn.XLOOKUP(J148,Installation_MJ!$C$18:$N$18,Installation_MJ!$C$20:$N$20) + _xlfn.XLOOKUP(B148&amp;"|"&amp;E148,
        Calculate_cap_ener!$L$14:$L$21&amp;"|"&amp;Calculate_cap_ener!$I$14:$I$21,
        Calculate_cap_ener!$AW$14:$AW$21, "Not found", 0))</f>
        <v>177.60102708451552</v>
      </c>
      <c r="S148" s="8" cm="1">
        <f t="array" ref="S148">_xlfn.SWITCH(K148,200,_xlfn.XLOOKUP(J148,EOL_MJ!$C$18:$N$18,EOL_MJ!$C$20:$N$20) + _xlfn.XLOOKUP(B148&amp;"|"&amp;E148,
        Calculate_cap_ener!$L$14:$L$21&amp;"|"&amp;Calculate_cap_ener!$I$14:$I$21,
        Calculate_cap_ener!$BD$14:$BD$21, "Not found", 0), LOOKUP(K148,EOL_MJ!$C$24:$D$24,EOL_MJ!$C$26:$D$26) + _xlfn.XLOOKUP(J148,EOL_MJ!$C$18:$N$18,EOL_MJ!$C$20:$N$20) + _xlfn.XLOOKUP(B148&amp;"|"&amp;E148,
        Calculate_cap_ener!$L$14:$L$21&amp;"|"&amp;Calculate_cap_ener!$I$14:$I$21,
        Calculate_cap_ener!$BD$14:$BD$21, "Not found", 0))</f>
        <v>4660.8750719999998</v>
      </c>
      <c r="T148" s="8" cm="1">
        <f t="array" ref="T148">_xlfn.SWITCH(K148,200,_xlfn.XLOOKUP(J148,Other!$C$18:$N$18,Other!$C$20:$N$20) + _xlfn.XLOOKUP(B148&amp;"|"&amp;E148,
        Calculate_cap_ener!$L$14:$L$21&amp;"|"&amp;Calculate_cap_ener!$I$14:$I$21,
        Calculate_cap_ener!$BK$14:$BK$21, "Not found", 0), LOOKUP(K148,Other!$C$24:$D$24,Other!$C$26:$D$26) + _xlfn.XLOOKUP(J148,Other!$C$18:$N$18,Other!$C$20:$N$20) + _xlfn.XLOOKUP(B148&amp;"|"&amp;E148,
        Calculate_cap_ener!$L$14:$L$21&amp;"|"&amp;Calculate_cap_ener!$I$14:$I$21,
        Calculate_cap_ener!$BK$14:$BK$21, "Not found", 0))</f>
        <v>57409.520125237199</v>
      </c>
    </row>
    <row r="149" spans="1:20" x14ac:dyDescent="0.25">
      <c r="A149" s="5"/>
      <c r="B149" s="5" t="str">
        <f t="shared" ref="B149:B186" si="21">CONCATENATE(C149, "-", "H1")</f>
        <v>Mass-H1</v>
      </c>
      <c r="C149" s="5" t="s">
        <v>37</v>
      </c>
      <c r="D149" s="5" t="str">
        <f t="shared" si="20"/>
        <v>H1</v>
      </c>
      <c r="E149" s="5" t="s">
        <v>3</v>
      </c>
      <c r="F149" s="5" t="s">
        <v>54</v>
      </c>
      <c r="G149" s="5" t="s">
        <v>54</v>
      </c>
      <c r="H149" s="5">
        <v>11.2</v>
      </c>
      <c r="I149" s="5"/>
      <c r="J149" s="5">
        <f t="shared" ref="J149:J195" si="22">_xlfn.CEILING.MATH(H149,1)</f>
        <v>12</v>
      </c>
      <c r="K149" s="5">
        <v>200</v>
      </c>
      <c r="L149" s="8" cm="1">
        <f t="array" ref="L149">_xlfn.SWITCH(K149,200,_xlfn.XLOOKUP(J149,Manufacture_MJ!$C$18:$N$18,Manufacture_MJ!$C$20:$N$20) + _xlfn.XLOOKUP(B149&amp;"|"&amp;E149,
        Calculate_cap_ener!$L$14:$L$21&amp;"|"&amp;Calculate_cap_ener!$I$14:$I$21,
        Calculate_cap_ener!$AI$14:$AI$21, "Not found", 0), LOOKUP(K149,Manufacture_MJ!$C$24:$D$24,Manufacture_MJ!$C$26:$D$26) + _xlfn.XLOOKUP(J149,Manufacture_MJ!$C$18:$N$18,Manufacture_MJ!$C$20:$N$20) + _xlfn.XLOOKUP(B149&amp;"|"&amp;E149,
        Calculate_cap_ener!$L$14:$L$21&amp;"|"&amp;Calculate_cap_ener!$I$14:$I$21,
        Calculate_cap_ener!$AI$14:$AI$21, "Not found", 0))</f>
        <v>90978.159045459208</v>
      </c>
      <c r="M149" s="8">
        <f>LOOKUP(J149,Manufacture_MJ!$C$18:$N$18,Manufacture_MJ!$C$20:$N$20)</f>
        <v>50824.518000459248</v>
      </c>
      <c r="N149" s="8" cm="1">
        <f t="array" ref="N149">_xlfn.SWITCH(K149,200,0,LOOKUP(K149,Manufacture_MJ!$C$24:$D$24,Manufacture_MJ!$C$26:$D$26))</f>
        <v>0</v>
      </c>
      <c r="O149" s="5" cm="1">
        <f t="array" ref="O149">_xlfn.XLOOKUP(B149&amp;"|"&amp;E149,
        Calculate_cap_ener!$L$14:$L$21&amp;"|"&amp;Calculate_cap_ener!$I$14:$I$21,
        Calculate_cap_ener!$AI$14:$AI$21, "Not found", 0)</f>
        <v>40153.641044999968</v>
      </c>
      <c r="P149" s="8">
        <f t="shared" ref="P149:P195" si="23">SUM(M149:O149)</f>
        <v>90978.159045459208</v>
      </c>
      <c r="Q149" s="8" cm="1">
        <f t="array" ref="Q149">_xlfn.SWITCH(K149,200,_xlfn.XLOOKUP(J149,Distribution_MJ!$C$18:$N$18,Distribution_MJ!$C$20:$N$20) + _xlfn.XLOOKUP(B149&amp;"|"&amp;E149,
        Calculate_cap_ener!$L$14:$L$21&amp;"|"&amp;Calculate_cap_ener!$I$14:$I$21,
        Calculate_cap_ener!$AP$14:$AP$21, "Not found", 0), LOOKUP(K149,Distribution_MJ!$C$24:$D$24,Distribution_MJ!$C$26:$D$26) + _xlfn.XLOOKUP(J149,Distribution_MJ!$C$18:$N$18,Distribution_MJ!$C$20:$N$20) + _xlfn.XLOOKUP(B149&amp;"|"&amp;E149,
        Calculate_cap_ener!$L$14:$L$21&amp;"|"&amp;Calculate_cap_ener!$I$14:$I$21,
        Calculate_cap_ener!$AP$14:$AP$21, "Not found", 0))</f>
        <v>2463.7710684203498</v>
      </c>
      <c r="R149" s="8" cm="1">
        <f t="array" ref="R149">_xlfn.SWITCH(K149,200,_xlfn.XLOOKUP(J149,Installation_MJ!$C$18:$N$18,Installation_MJ!$C$20:$N$20) + _xlfn.XLOOKUP(B149&amp;"|"&amp;E149,
        Calculate_cap_ener!$L$14:$L$21&amp;"|"&amp;Calculate_cap_ener!$I$14:$I$21,
        Calculate_cap_ener!$AW$14:$AW$21, "Not found", 0), LOOKUP(K149,Installation_MJ!$C$24:$D$24,Installation_MJ!$C$26:$D$26) + _xlfn.XLOOKUP(J149,Installation_MJ!$C$18:$N$18,Installation_MJ!$C$20:$N$20) + _xlfn.XLOOKUP(B149&amp;"|"&amp;E149,
        Calculate_cap_ener!$L$14:$L$21&amp;"|"&amp;Calculate_cap_ener!$I$14:$I$21,
        Calculate_cap_ener!$AW$14:$AW$21, "Not found", 0))</f>
        <v>184.97826186458221</v>
      </c>
      <c r="S149" s="8" cm="1">
        <f t="array" ref="S149">_xlfn.SWITCH(K149,200,_xlfn.XLOOKUP(J149,EOL_MJ!$C$18:$N$18,EOL_MJ!$C$20:$N$20) + _xlfn.XLOOKUP(B149&amp;"|"&amp;E149,
        Calculate_cap_ener!$L$14:$L$21&amp;"|"&amp;Calculate_cap_ener!$I$14:$I$21,
        Calculate_cap_ener!$BD$14:$BD$21, "Not found", 0), LOOKUP(K149,EOL_MJ!$C$24:$D$24,EOL_MJ!$C$26:$D$26) + _xlfn.XLOOKUP(J149,EOL_MJ!$C$18:$N$18,EOL_MJ!$C$20:$N$20) + _xlfn.XLOOKUP(B149&amp;"|"&amp;E149,
        Calculate_cap_ener!$L$14:$L$21&amp;"|"&amp;Calculate_cap_ener!$I$14:$I$21,
        Calculate_cap_ener!$BD$14:$BD$21, "Not found", 0))</f>
        <v>4660.8750719999998</v>
      </c>
      <c r="T149" s="8" cm="1">
        <f t="array" ref="T149">_xlfn.SWITCH(K149,200,_xlfn.XLOOKUP(J149,Other!$C$18:$N$18,Other!$C$20:$N$20) + _xlfn.XLOOKUP(B149&amp;"|"&amp;E149,
        Calculate_cap_ener!$L$14:$L$21&amp;"|"&amp;Calculate_cap_ener!$I$14:$I$21,
        Calculate_cap_ener!$BK$14:$BK$21, "Not found", 0), LOOKUP(K149,Other!$C$24:$D$24,Other!$C$26:$D$26) + _xlfn.XLOOKUP(J149,Other!$C$18:$N$18,Other!$C$20:$N$20) + _xlfn.XLOOKUP(B149&amp;"|"&amp;E149,
        Calculate_cap_ener!$L$14:$L$21&amp;"|"&amp;Calculate_cap_ener!$I$14:$I$21,
        Calculate_cap_ener!$BK$14:$BK$21, "Not found", 0))</f>
        <v>57475.189375125621</v>
      </c>
    </row>
    <row r="150" spans="1:20" x14ac:dyDescent="0.25">
      <c r="A150" s="5"/>
      <c r="B150" s="5" t="str">
        <f t="shared" si="21"/>
        <v>Mass-H1</v>
      </c>
      <c r="C150" s="5" t="s">
        <v>37</v>
      </c>
      <c r="D150" s="5" t="str">
        <f t="shared" si="20"/>
        <v>H1</v>
      </c>
      <c r="E150" s="5" t="s">
        <v>3</v>
      </c>
      <c r="F150" s="5" t="s">
        <v>54</v>
      </c>
      <c r="G150" s="5" t="s">
        <v>54</v>
      </c>
      <c r="H150" s="5">
        <v>14</v>
      </c>
      <c r="I150" s="5"/>
      <c r="J150" s="5">
        <f t="shared" si="22"/>
        <v>14</v>
      </c>
      <c r="K150" s="5">
        <v>200</v>
      </c>
      <c r="L150" s="8" cm="1">
        <f t="array" ref="L150">_xlfn.SWITCH(K150,200,_xlfn.XLOOKUP(J150,Manufacture_MJ!$C$18:$N$18,Manufacture_MJ!$C$20:$N$20) + _xlfn.XLOOKUP(B150&amp;"|"&amp;E150,
        Calculate_cap_ener!$L$14:$L$21&amp;"|"&amp;Calculate_cap_ener!$I$14:$I$21,
        Calculate_cap_ener!$AI$14:$AI$21, "Not found", 0), LOOKUP(K150,Manufacture_MJ!$C$24:$D$24,Manufacture_MJ!$C$26:$D$26) + _xlfn.XLOOKUP(J150,Manufacture_MJ!$C$18:$N$18,Manufacture_MJ!$C$20:$N$20) + _xlfn.XLOOKUP(B150&amp;"|"&amp;E150,
        Calculate_cap_ener!$L$14:$L$21&amp;"|"&amp;Calculate_cap_ener!$I$14:$I$21,
        Calculate_cap_ener!$AI$14:$AI$21, "Not found", 0))</f>
        <v>91687.836246054881</v>
      </c>
      <c r="M150" s="8">
        <f>LOOKUP(J150,Manufacture_MJ!$C$18:$N$18,Manufacture_MJ!$C$20:$N$20)</f>
        <v>51534.195201054921</v>
      </c>
      <c r="N150" s="8" cm="1">
        <f t="array" ref="N150">_xlfn.SWITCH(K150,200,0,LOOKUP(K150,Manufacture_MJ!$C$24:$D$24,Manufacture_MJ!$C$26:$D$26))</f>
        <v>0</v>
      </c>
      <c r="O150" s="5" cm="1">
        <f t="array" ref="O150">_xlfn.XLOOKUP(B150&amp;"|"&amp;E150,
        Calculate_cap_ener!$L$14:$L$21&amp;"|"&amp;Calculate_cap_ener!$I$14:$I$21,
        Calculate_cap_ener!$AI$14:$AI$21, "Not found", 0)</f>
        <v>40153.641044999968</v>
      </c>
      <c r="P150" s="8">
        <f t="shared" si="23"/>
        <v>91687.836246054881</v>
      </c>
      <c r="Q150" s="8" cm="1">
        <f t="array" ref="Q150">_xlfn.SWITCH(K150,200,_xlfn.XLOOKUP(J150,Distribution_MJ!$C$18:$N$18,Distribution_MJ!$C$20:$N$20) + _xlfn.XLOOKUP(B150&amp;"|"&amp;E150,
        Calculate_cap_ener!$L$14:$L$21&amp;"|"&amp;Calculate_cap_ener!$I$14:$I$21,
        Calculate_cap_ener!$AP$14:$AP$21, "Not found", 0), LOOKUP(K150,Distribution_MJ!$C$24:$D$24,Distribution_MJ!$C$26:$D$26) + _xlfn.XLOOKUP(J150,Distribution_MJ!$C$18:$N$18,Distribution_MJ!$C$20:$N$20) + _xlfn.XLOOKUP(B150&amp;"|"&amp;E150,
        Calculate_cap_ener!$L$14:$L$21&amp;"|"&amp;Calculate_cap_ener!$I$14:$I$21,
        Calculate_cap_ener!$AP$14:$AP$21, "Not found", 0))</f>
        <v>2529.1796546906498</v>
      </c>
      <c r="R150" s="8" cm="1">
        <f t="array" ref="R150">_xlfn.SWITCH(K150,200,_xlfn.XLOOKUP(J150,Installation_MJ!$C$18:$N$18,Installation_MJ!$C$20:$N$20) + _xlfn.XLOOKUP(B150&amp;"|"&amp;E150,
        Calculate_cap_ener!$L$14:$L$21&amp;"|"&amp;Calculate_cap_ener!$I$14:$I$21,
        Calculate_cap_ener!$AW$14:$AW$21, "Not found", 0), LOOKUP(K150,Installation_MJ!$C$24:$D$24,Installation_MJ!$C$26:$D$26) + _xlfn.XLOOKUP(J150,Installation_MJ!$C$18:$N$18,Installation_MJ!$C$20:$N$20) + _xlfn.XLOOKUP(B150&amp;"|"&amp;E150,
        Calculate_cap_ener!$L$14:$L$21&amp;"|"&amp;Calculate_cap_ener!$I$14:$I$21,
        Calculate_cap_ener!$AW$14:$AW$21, "Not found", 0))</f>
        <v>189.89641838462671</v>
      </c>
      <c r="S150" s="8" cm="1">
        <f t="array" ref="S150">_xlfn.SWITCH(K150,200,_xlfn.XLOOKUP(J150,EOL_MJ!$C$18:$N$18,EOL_MJ!$C$20:$N$20) + _xlfn.XLOOKUP(B150&amp;"|"&amp;E150,
        Calculate_cap_ener!$L$14:$L$21&amp;"|"&amp;Calculate_cap_ener!$I$14:$I$21,
        Calculate_cap_ener!$BD$14:$BD$21, "Not found", 0), LOOKUP(K150,EOL_MJ!$C$24:$D$24,EOL_MJ!$C$26:$D$26) + _xlfn.XLOOKUP(J150,EOL_MJ!$C$18:$N$18,EOL_MJ!$C$20:$N$20) + _xlfn.XLOOKUP(B150&amp;"|"&amp;E150,
        Calculate_cap_ener!$L$14:$L$21&amp;"|"&amp;Calculate_cap_ener!$I$14:$I$21,
        Calculate_cap_ener!$BD$14:$BD$21, "Not found", 0))</f>
        <v>4660.8750719999998</v>
      </c>
      <c r="T150" s="8" cm="1">
        <f t="array" ref="T150">_xlfn.SWITCH(K150,200,_xlfn.XLOOKUP(J150,Other!$C$18:$N$18,Other!$C$20:$N$20) + _xlfn.XLOOKUP(B150&amp;"|"&amp;E150,
        Calculate_cap_ener!$L$14:$L$21&amp;"|"&amp;Calculate_cap_ener!$I$14:$I$21,
        Calculate_cap_ener!$BK$14:$BK$21, "Not found", 0), LOOKUP(K150,Other!$C$24:$D$24,Other!$C$26:$D$26) + _xlfn.XLOOKUP(J150,Other!$C$18:$N$18,Other!$C$20:$N$20) + _xlfn.XLOOKUP(B150&amp;"|"&amp;E150,
        Calculate_cap_ener!$L$14:$L$21&amp;"|"&amp;Calculate_cap_ener!$I$14:$I$21,
        Calculate_cap_ener!$BK$14:$BK$21, "Not found", 0))</f>
        <v>57518.968875051236</v>
      </c>
    </row>
    <row r="151" spans="1:20" x14ac:dyDescent="0.25">
      <c r="A151" s="5"/>
      <c r="B151" s="5" t="str">
        <f t="shared" si="21"/>
        <v>Mass-H1</v>
      </c>
      <c r="C151" s="5" t="s">
        <v>37</v>
      </c>
      <c r="D151" s="5" t="str">
        <f t="shared" si="20"/>
        <v>H1</v>
      </c>
      <c r="E151" s="5" t="s">
        <v>3</v>
      </c>
      <c r="F151" s="5" t="s">
        <v>55</v>
      </c>
      <c r="G151" s="5" t="s">
        <v>55</v>
      </c>
      <c r="H151" s="5">
        <v>5</v>
      </c>
      <c r="I151" s="5"/>
      <c r="J151" s="5">
        <f t="shared" si="22"/>
        <v>5</v>
      </c>
      <c r="K151" s="5">
        <v>500</v>
      </c>
      <c r="L151" s="8" cm="1">
        <f t="array" ref="L151">_xlfn.SWITCH(K151,200,_xlfn.XLOOKUP(J151,Manufacture_MJ!$C$18:$N$18,Manufacture_MJ!$C$20:$N$20) + _xlfn.XLOOKUP(B151&amp;"|"&amp;E151,
        Calculate_cap_ener!$L$14:$L$21&amp;"|"&amp;Calculate_cap_ener!$I$14:$I$21,
        Calculate_cap_ener!$AI$14:$AI$21, "Not found", 0), LOOKUP(K151,Manufacture_MJ!$C$24:$D$24,Manufacture_MJ!$C$26:$D$26) + _xlfn.XLOOKUP(J151,Manufacture_MJ!$C$18:$N$18,Manufacture_MJ!$C$20:$N$20) + _xlfn.XLOOKUP(B151&amp;"|"&amp;E151,
        Calculate_cap_ener!$L$14:$L$21&amp;"|"&amp;Calculate_cap_ener!$I$14:$I$21,
        Calculate_cap_ener!$AI$14:$AI$21, "Not found", 0))</f>
        <v>99107.87975246516</v>
      </c>
      <c r="M151" s="8">
        <f>LOOKUP(J151,Manufacture_MJ!$C$18:$N$18,Manufacture_MJ!$C$20:$N$20)</f>
        <v>48340.647798374281</v>
      </c>
      <c r="N151" s="8" cm="1">
        <f t="array" ref="N151">_xlfn.SWITCH(K151,200,0,LOOKUP(K151,Manufacture_MJ!$C$24:$D$24,Manufacture_MJ!$C$26:$D$26))</f>
        <v>10613.59090909091</v>
      </c>
      <c r="O151" s="5" cm="1">
        <f t="array" ref="O151">_xlfn.XLOOKUP(B151&amp;"|"&amp;E151,
        Calculate_cap_ener!$L$14:$L$21&amp;"|"&amp;Calculate_cap_ener!$I$14:$I$21,
        Calculate_cap_ener!$AI$14:$AI$21, "Not found", 0)</f>
        <v>40153.641044999968</v>
      </c>
      <c r="P151" s="8">
        <f t="shared" si="23"/>
        <v>99107.87975246516</v>
      </c>
      <c r="Q151" s="8" cm="1">
        <f t="array" ref="Q151">_xlfn.SWITCH(K151,200,_xlfn.XLOOKUP(J151,Distribution_MJ!$C$18:$N$18,Distribution_MJ!$C$20:$N$20) + _xlfn.XLOOKUP(B151&amp;"|"&amp;E151,
        Calculate_cap_ener!$L$14:$L$21&amp;"|"&amp;Calculate_cap_ener!$I$14:$I$21,
        Calculate_cap_ener!$AP$14:$AP$21, "Not found", 0), LOOKUP(K151,Distribution_MJ!$C$24:$D$24,Distribution_MJ!$C$26:$D$26) + _xlfn.XLOOKUP(J151,Distribution_MJ!$C$18:$N$18,Distribution_MJ!$C$20:$N$20) + _xlfn.XLOOKUP(B151&amp;"|"&amp;E151,
        Calculate_cap_ener!$L$14:$L$21&amp;"|"&amp;Calculate_cap_ener!$I$14:$I$21,
        Calculate_cap_ener!$AP$14:$AP$21, "Not found", 0))</f>
        <v>2421.6949912993005</v>
      </c>
      <c r="R151" s="8" cm="1">
        <f t="array" ref="R151">_xlfn.SWITCH(K151,200,_xlfn.XLOOKUP(J151,Installation_MJ!$C$18:$N$18,Installation_MJ!$C$20:$N$20) + _xlfn.XLOOKUP(B151&amp;"|"&amp;E151,
        Calculate_cap_ener!$L$14:$L$21&amp;"|"&amp;Calculate_cap_ener!$I$14:$I$21,
        Calculate_cap_ener!$AW$14:$AW$21, "Not found", 0), LOOKUP(K151,Installation_MJ!$C$24:$D$24,Installation_MJ!$C$26:$D$26) + _xlfn.XLOOKUP(J151,Installation_MJ!$C$18:$N$18,Installation_MJ!$C$20:$N$20) + _xlfn.XLOOKUP(B151&amp;"|"&amp;E151,
        Calculate_cap_ener!$L$14:$L$21&amp;"|"&amp;Calculate_cap_ener!$I$14:$I$21,
        Calculate_cap_ener!$AW$14:$AW$21, "Not found", 0))</f>
        <v>188.76471404442677</v>
      </c>
      <c r="S151" s="8" cm="1">
        <f t="array" ref="S151">_xlfn.SWITCH(K151,200,_xlfn.XLOOKUP(J151,EOL_MJ!$C$18:$N$18,EOL_MJ!$C$20:$N$20) + _xlfn.XLOOKUP(B151&amp;"|"&amp;E151,
        Calculate_cap_ener!$L$14:$L$21&amp;"|"&amp;Calculate_cap_ener!$I$14:$I$21,
        Calculate_cap_ener!$BD$14:$BD$21, "Not found", 0), LOOKUP(K151,EOL_MJ!$C$24:$D$24,EOL_MJ!$C$26:$D$26) + _xlfn.XLOOKUP(J151,EOL_MJ!$C$18:$N$18,EOL_MJ!$C$20:$N$20) + _xlfn.XLOOKUP(B151&amp;"|"&amp;E151,
        Calculate_cap_ener!$L$14:$L$21&amp;"|"&amp;Calculate_cap_ener!$I$14:$I$21,
        Calculate_cap_ener!$BD$14:$BD$21, "Not found", 0))</f>
        <v>15159.920526545453</v>
      </c>
      <c r="T151" s="8" cm="1">
        <f t="array" ref="T151">_xlfn.SWITCH(K151,200,_xlfn.XLOOKUP(J151,Other!$C$18:$N$18,Other!$C$20:$N$20) + _xlfn.XLOOKUP(B151&amp;"|"&amp;E151,
        Calculate_cap_ener!$L$14:$L$21&amp;"|"&amp;Calculate_cap_ener!$I$14:$I$21,
        Calculate_cap_ener!$BK$14:$BK$21, "Not found", 0), LOOKUP(K151,Other!$C$24:$D$24,Other!$C$26:$D$26) + _xlfn.XLOOKUP(J151,Other!$C$18:$N$18,Other!$C$20:$N$20) + _xlfn.XLOOKUP(B151&amp;"|"&amp;E151,
        Calculate_cap_ener!$L$14:$L$21&amp;"|"&amp;Calculate_cap_ener!$I$14:$I$21,
        Calculate_cap_ener!$BK$14:$BK$21, "Not found", 0))</f>
        <v>57321.961125385969</v>
      </c>
    </row>
    <row r="152" spans="1:20" x14ac:dyDescent="0.25">
      <c r="A152" s="5"/>
      <c r="B152" s="5" t="str">
        <f t="shared" si="21"/>
        <v>Mass-H1</v>
      </c>
      <c r="C152" s="5" t="s">
        <v>37</v>
      </c>
      <c r="D152" s="5" t="str">
        <f t="shared" si="20"/>
        <v>H1</v>
      </c>
      <c r="E152" s="5" t="s">
        <v>3</v>
      </c>
      <c r="F152" s="5" t="s">
        <v>55</v>
      </c>
      <c r="G152" s="5" t="s">
        <v>55</v>
      </c>
      <c r="H152" s="5">
        <v>6</v>
      </c>
      <c r="I152" s="5"/>
      <c r="J152" s="5">
        <f t="shared" si="22"/>
        <v>6</v>
      </c>
      <c r="K152" s="5">
        <v>500</v>
      </c>
      <c r="L152" s="8" cm="1">
        <f t="array" ref="L152">_xlfn.SWITCH(K152,200,_xlfn.XLOOKUP(J152,Manufacture_MJ!$C$18:$N$18,Manufacture_MJ!$C$20:$N$20) + _xlfn.XLOOKUP(B152&amp;"|"&amp;E152,
        Calculate_cap_ener!$L$14:$L$21&amp;"|"&amp;Calculate_cap_ener!$I$14:$I$21,
        Calculate_cap_ener!$AI$14:$AI$21, "Not found", 0), LOOKUP(K152,Manufacture_MJ!$C$24:$D$24,Manufacture_MJ!$C$26:$D$26) + _xlfn.XLOOKUP(J152,Manufacture_MJ!$C$18:$N$18,Manufacture_MJ!$C$20:$N$20) + _xlfn.XLOOKUP(B152&amp;"|"&amp;E152,
        Calculate_cap_ener!$L$14:$L$21&amp;"|"&amp;Calculate_cap_ener!$I$14:$I$21,
        Calculate_cap_ener!$AI$14:$AI$21, "Not found", 0))</f>
        <v>99462.718352762997</v>
      </c>
      <c r="M152" s="8">
        <f>LOOKUP(J152,Manufacture_MJ!$C$18:$N$18,Manufacture_MJ!$C$20:$N$20)</f>
        <v>48695.486398672118</v>
      </c>
      <c r="N152" s="8" cm="1">
        <f t="array" ref="N152">_xlfn.SWITCH(K152,200,0,LOOKUP(K152,Manufacture_MJ!$C$24:$D$24,Manufacture_MJ!$C$26:$D$26))</f>
        <v>10613.59090909091</v>
      </c>
      <c r="O152" s="5" cm="1">
        <f t="array" ref="O152">_xlfn.XLOOKUP(B152&amp;"|"&amp;E152,
        Calculate_cap_ener!$L$14:$L$21&amp;"|"&amp;Calculate_cap_ener!$I$14:$I$21,
        Calculate_cap_ener!$AI$14:$AI$21, "Not found", 0)</f>
        <v>40153.641044999968</v>
      </c>
      <c r="P152" s="8">
        <f t="shared" si="23"/>
        <v>99462.718352762997</v>
      </c>
      <c r="Q152" s="8" cm="1">
        <f t="array" ref="Q152">_xlfn.SWITCH(K152,200,_xlfn.XLOOKUP(J152,Distribution_MJ!$C$18:$N$18,Distribution_MJ!$C$20:$N$20) + _xlfn.XLOOKUP(B152&amp;"|"&amp;E152,
        Calculate_cap_ener!$L$14:$L$21&amp;"|"&amp;Calculate_cap_ener!$I$14:$I$21,
        Calculate_cap_ener!$AP$14:$AP$21, "Not found", 0), LOOKUP(K152,Distribution_MJ!$C$24:$D$24,Distribution_MJ!$C$26:$D$26) + _xlfn.XLOOKUP(J152,Distribution_MJ!$C$18:$N$18,Distribution_MJ!$C$20:$N$20) + _xlfn.XLOOKUP(B152&amp;"|"&amp;E152,
        Calculate_cap_ener!$L$14:$L$21&amp;"|"&amp;Calculate_cap_ener!$I$14:$I$21,
        Calculate_cap_ener!$AP$14:$AP$21, "Not found", 0))</f>
        <v>2454.3992844344502</v>
      </c>
      <c r="R152" s="8" cm="1">
        <f t="array" ref="R152">_xlfn.SWITCH(K152,200,_xlfn.XLOOKUP(J152,Installation_MJ!$C$18:$N$18,Installation_MJ!$C$20:$N$20) + _xlfn.XLOOKUP(B152&amp;"|"&amp;E152,
        Calculate_cap_ener!$L$14:$L$21&amp;"|"&amp;Calculate_cap_ener!$I$14:$I$21,
        Calculate_cap_ener!$AW$14:$AW$21, "Not found", 0), LOOKUP(K152,Installation_MJ!$C$24:$D$24,Installation_MJ!$C$26:$D$26) + _xlfn.XLOOKUP(J152,Installation_MJ!$C$18:$N$18,Installation_MJ!$C$20:$N$20) + _xlfn.XLOOKUP(B152&amp;"|"&amp;E152,
        Calculate_cap_ener!$L$14:$L$21&amp;"|"&amp;Calculate_cap_ener!$I$14:$I$21,
        Calculate_cap_ener!$AW$14:$AW$21, "Not found", 0))</f>
        <v>191.22379230444903</v>
      </c>
      <c r="S152" s="8" cm="1">
        <f t="array" ref="S152">_xlfn.SWITCH(K152,200,_xlfn.XLOOKUP(J152,EOL_MJ!$C$18:$N$18,EOL_MJ!$C$20:$N$20) + _xlfn.XLOOKUP(B152&amp;"|"&amp;E152,
        Calculate_cap_ener!$L$14:$L$21&amp;"|"&amp;Calculate_cap_ener!$I$14:$I$21,
        Calculate_cap_ener!$BD$14:$BD$21, "Not found", 0), LOOKUP(K152,EOL_MJ!$C$24:$D$24,EOL_MJ!$C$26:$D$26) + _xlfn.XLOOKUP(J152,EOL_MJ!$C$18:$N$18,EOL_MJ!$C$20:$N$20) + _xlfn.XLOOKUP(B152&amp;"|"&amp;E152,
        Calculate_cap_ener!$L$14:$L$21&amp;"|"&amp;Calculate_cap_ener!$I$14:$I$21,
        Calculate_cap_ener!$BD$14:$BD$21, "Not found", 0))</f>
        <v>15159.920526545453</v>
      </c>
      <c r="T152" s="8" cm="1">
        <f t="array" ref="T152">_xlfn.SWITCH(K152,200,_xlfn.XLOOKUP(J152,Other!$C$18:$N$18,Other!$C$20:$N$20) + _xlfn.XLOOKUP(B152&amp;"|"&amp;E152,
        Calculate_cap_ener!$L$14:$L$21&amp;"|"&amp;Calculate_cap_ener!$I$14:$I$21,
        Calculate_cap_ener!$BK$14:$BK$21, "Not found", 0), LOOKUP(K152,Other!$C$24:$D$24,Other!$C$26:$D$26) + _xlfn.XLOOKUP(J152,Other!$C$18:$N$18,Other!$C$20:$N$20) + _xlfn.XLOOKUP(B152&amp;"|"&amp;E152,
        Calculate_cap_ener!$L$14:$L$21&amp;"|"&amp;Calculate_cap_ener!$I$14:$I$21,
        Calculate_cap_ener!$BK$14:$BK$21, "Not found", 0))</f>
        <v>57343.850875348777</v>
      </c>
    </row>
    <row r="153" spans="1:20" x14ac:dyDescent="0.25">
      <c r="A153" s="5"/>
      <c r="B153" s="5" t="str">
        <f t="shared" si="21"/>
        <v>Mass-H1</v>
      </c>
      <c r="C153" s="5" t="s">
        <v>37</v>
      </c>
      <c r="D153" s="5" t="str">
        <f t="shared" si="20"/>
        <v>H1</v>
      </c>
      <c r="E153" s="5" t="s">
        <v>3</v>
      </c>
      <c r="F153" s="5" t="s">
        <v>55</v>
      </c>
      <c r="G153" s="5" t="s">
        <v>55</v>
      </c>
      <c r="H153" s="5">
        <v>8.5</v>
      </c>
      <c r="I153" s="5"/>
      <c r="J153" s="5">
        <f t="shared" si="22"/>
        <v>9</v>
      </c>
      <c r="K153" s="5">
        <v>500</v>
      </c>
      <c r="L153" s="8" cm="1">
        <f t="array" ref="L153">_xlfn.SWITCH(K153,200,_xlfn.XLOOKUP(J153,Manufacture_MJ!$C$18:$N$18,Manufacture_MJ!$C$20:$N$20) + _xlfn.XLOOKUP(B153&amp;"|"&amp;E153,
        Calculate_cap_ener!$L$14:$L$21&amp;"|"&amp;Calculate_cap_ener!$I$14:$I$21,
        Calculate_cap_ener!$AI$14:$AI$21, "Not found", 0), LOOKUP(K153,Manufacture_MJ!$C$24:$D$24,Manufacture_MJ!$C$26:$D$26) + _xlfn.XLOOKUP(J153,Manufacture_MJ!$C$18:$N$18,Manufacture_MJ!$C$20:$N$20) + _xlfn.XLOOKUP(B153&amp;"|"&amp;E153,
        Calculate_cap_ener!$L$14:$L$21&amp;"|"&amp;Calculate_cap_ener!$I$14:$I$21,
        Calculate_cap_ener!$AI$14:$AI$21, "Not found", 0))</f>
        <v>100527.23415365649</v>
      </c>
      <c r="M153" s="8">
        <f>LOOKUP(J153,Manufacture_MJ!$C$18:$N$18,Manufacture_MJ!$C$20:$N$20)</f>
        <v>49760.002199565621</v>
      </c>
      <c r="N153" s="8" cm="1">
        <f t="array" ref="N153">_xlfn.SWITCH(K153,200,0,LOOKUP(K153,Manufacture_MJ!$C$24:$D$24,Manufacture_MJ!$C$26:$D$26))</f>
        <v>10613.59090909091</v>
      </c>
      <c r="O153" s="5" cm="1">
        <f t="array" ref="O153">_xlfn.XLOOKUP(B153&amp;"|"&amp;E153,
        Calculate_cap_ener!$L$14:$L$21&amp;"|"&amp;Calculate_cap_ener!$I$14:$I$21,
        Calculate_cap_ener!$AI$14:$AI$21, "Not found", 0)</f>
        <v>40153.641044999968</v>
      </c>
      <c r="P153" s="8">
        <f t="shared" si="23"/>
        <v>100527.23415365649</v>
      </c>
      <c r="Q153" s="8" cm="1">
        <f t="array" ref="Q153">_xlfn.SWITCH(K153,200,_xlfn.XLOOKUP(J153,Distribution_MJ!$C$18:$N$18,Distribution_MJ!$C$20:$N$20) + _xlfn.XLOOKUP(B153&amp;"|"&amp;E153,
        Calculate_cap_ener!$L$14:$L$21&amp;"|"&amp;Calculate_cap_ener!$I$14:$I$21,
        Calculate_cap_ener!$AP$14:$AP$21, "Not found", 0), LOOKUP(K153,Distribution_MJ!$C$24:$D$24,Distribution_MJ!$C$26:$D$26) + _xlfn.XLOOKUP(J153,Distribution_MJ!$C$18:$N$18,Distribution_MJ!$C$20:$N$20) + _xlfn.XLOOKUP(B153&amp;"|"&amp;E153,
        Calculate_cap_ener!$L$14:$L$21&amp;"|"&amp;Calculate_cap_ener!$I$14:$I$21,
        Calculate_cap_ener!$AP$14:$AP$21, "Not found", 0))</f>
        <v>2552.5121638399</v>
      </c>
      <c r="R153" s="8" cm="1">
        <f t="array" ref="R153">_xlfn.SWITCH(K153,200,_xlfn.XLOOKUP(J153,Installation_MJ!$C$18:$N$18,Installation_MJ!$C$20:$N$20) + _xlfn.XLOOKUP(B153&amp;"|"&amp;E153,
        Calculate_cap_ener!$L$14:$L$21&amp;"|"&amp;Calculate_cap_ener!$I$14:$I$21,
        Calculate_cap_ener!$AW$14:$AW$21, "Not found", 0), LOOKUP(K153,Installation_MJ!$C$24:$D$24,Installation_MJ!$C$26:$D$26) + _xlfn.XLOOKUP(J153,Installation_MJ!$C$18:$N$18,Installation_MJ!$C$20:$N$20) + _xlfn.XLOOKUP(B153&amp;"|"&amp;E153,
        Calculate_cap_ener!$L$14:$L$21&amp;"|"&amp;Calculate_cap_ener!$I$14:$I$21,
        Calculate_cap_ener!$AW$14:$AW$21, "Not found", 0))</f>
        <v>198.60102708451552</v>
      </c>
      <c r="S153" s="8" cm="1">
        <f t="array" ref="S153">_xlfn.SWITCH(K153,200,_xlfn.XLOOKUP(J153,EOL_MJ!$C$18:$N$18,EOL_MJ!$C$20:$N$20) + _xlfn.XLOOKUP(B153&amp;"|"&amp;E153,
        Calculate_cap_ener!$L$14:$L$21&amp;"|"&amp;Calculate_cap_ener!$I$14:$I$21,
        Calculate_cap_ener!$BD$14:$BD$21, "Not found", 0), LOOKUP(K153,EOL_MJ!$C$24:$D$24,EOL_MJ!$C$26:$D$26) + _xlfn.XLOOKUP(J153,EOL_MJ!$C$18:$N$18,EOL_MJ!$C$20:$N$20) + _xlfn.XLOOKUP(B153&amp;"|"&amp;E153,
        Calculate_cap_ener!$L$14:$L$21&amp;"|"&amp;Calculate_cap_ener!$I$14:$I$21,
        Calculate_cap_ener!$BD$14:$BD$21, "Not found", 0))</f>
        <v>15159.920526545453</v>
      </c>
      <c r="T153" s="8" cm="1">
        <f t="array" ref="T153">_xlfn.SWITCH(K153,200,_xlfn.XLOOKUP(J153,Other!$C$18:$N$18,Other!$C$20:$N$20) + _xlfn.XLOOKUP(B153&amp;"|"&amp;E153,
        Calculate_cap_ener!$L$14:$L$21&amp;"|"&amp;Calculate_cap_ener!$I$14:$I$21,
        Calculate_cap_ener!$BK$14:$BK$21, "Not found", 0), LOOKUP(K153,Other!$C$24:$D$24,Other!$C$26:$D$26) + _xlfn.XLOOKUP(J153,Other!$C$18:$N$18,Other!$C$20:$N$20) + _xlfn.XLOOKUP(B153&amp;"|"&amp;E153,
        Calculate_cap_ener!$L$14:$L$21&amp;"|"&amp;Calculate_cap_ener!$I$14:$I$21,
        Calculate_cap_ener!$BK$14:$BK$21, "Not found", 0))</f>
        <v>57409.520125237199</v>
      </c>
    </row>
    <row r="154" spans="1:20" x14ac:dyDescent="0.25">
      <c r="A154" s="5"/>
      <c r="B154" s="5" t="str">
        <f t="shared" si="21"/>
        <v>Mass-H1</v>
      </c>
      <c r="C154" s="5" t="s">
        <v>37</v>
      </c>
      <c r="D154" s="5" t="str">
        <f t="shared" si="20"/>
        <v>H1</v>
      </c>
      <c r="E154" s="5" t="s">
        <v>3</v>
      </c>
      <c r="F154" s="5" t="s">
        <v>55</v>
      </c>
      <c r="G154" s="5" t="s">
        <v>55</v>
      </c>
      <c r="H154" s="5">
        <v>14</v>
      </c>
      <c r="I154" s="5"/>
      <c r="J154" s="5">
        <f t="shared" si="22"/>
        <v>14</v>
      </c>
      <c r="K154" s="5">
        <v>500</v>
      </c>
      <c r="L154" s="8" cm="1">
        <f t="array" ref="L154">_xlfn.SWITCH(K154,200,_xlfn.XLOOKUP(J154,Manufacture_MJ!$C$18:$N$18,Manufacture_MJ!$C$20:$N$20) + _xlfn.XLOOKUP(B154&amp;"|"&amp;E154,
        Calculate_cap_ener!$L$14:$L$21&amp;"|"&amp;Calculate_cap_ener!$I$14:$I$21,
        Calculate_cap_ener!$AI$14:$AI$21, "Not found", 0), LOOKUP(K154,Manufacture_MJ!$C$24:$D$24,Manufacture_MJ!$C$26:$D$26) + _xlfn.XLOOKUP(J154,Manufacture_MJ!$C$18:$N$18,Manufacture_MJ!$C$20:$N$20) + _xlfn.XLOOKUP(B154&amp;"|"&amp;E154,
        Calculate_cap_ener!$L$14:$L$21&amp;"|"&amp;Calculate_cap_ener!$I$14:$I$21,
        Calculate_cap_ener!$AI$14:$AI$21, "Not found", 0))</f>
        <v>102301.42715514579</v>
      </c>
      <c r="M154" s="8">
        <f>LOOKUP(J154,Manufacture_MJ!$C$18:$N$18,Manufacture_MJ!$C$20:$N$20)</f>
        <v>51534.195201054921</v>
      </c>
      <c r="N154" s="8" cm="1">
        <f t="array" ref="N154">_xlfn.SWITCH(K154,200,0,LOOKUP(K154,Manufacture_MJ!$C$24:$D$24,Manufacture_MJ!$C$26:$D$26))</f>
        <v>10613.59090909091</v>
      </c>
      <c r="O154" s="5" cm="1">
        <f t="array" ref="O154">_xlfn.XLOOKUP(B154&amp;"|"&amp;E154,
        Calculate_cap_ener!$L$14:$L$21&amp;"|"&amp;Calculate_cap_ener!$I$14:$I$21,
        Calculate_cap_ener!$AI$14:$AI$21, "Not found", 0)</f>
        <v>40153.641044999968</v>
      </c>
      <c r="P154" s="8">
        <f t="shared" si="23"/>
        <v>102301.42715514579</v>
      </c>
      <c r="Q154" s="8" cm="1">
        <f t="array" ref="Q154">_xlfn.SWITCH(K154,200,_xlfn.XLOOKUP(J154,Distribution_MJ!$C$18:$N$18,Distribution_MJ!$C$20:$N$20) + _xlfn.XLOOKUP(B154&amp;"|"&amp;E154,
        Calculate_cap_ener!$L$14:$L$21&amp;"|"&amp;Calculate_cap_ener!$I$14:$I$21,
        Calculate_cap_ener!$AP$14:$AP$21, "Not found", 0), LOOKUP(K154,Distribution_MJ!$C$24:$D$24,Distribution_MJ!$C$26:$D$26) + _xlfn.XLOOKUP(J154,Distribution_MJ!$C$18:$N$18,Distribution_MJ!$C$20:$N$20) + _xlfn.XLOOKUP(B154&amp;"|"&amp;E154,
        Calculate_cap_ener!$L$14:$L$21&amp;"|"&amp;Calculate_cap_ener!$I$14:$I$21,
        Calculate_cap_ener!$AP$14:$AP$21, "Not found", 0))</f>
        <v>2716.0336295156499</v>
      </c>
      <c r="R154" s="8" cm="1">
        <f t="array" ref="R154">_xlfn.SWITCH(K154,200,_xlfn.XLOOKUP(J154,Installation_MJ!$C$18:$N$18,Installation_MJ!$C$20:$N$20) + _xlfn.XLOOKUP(B154&amp;"|"&amp;E154,
        Calculate_cap_ener!$L$14:$L$21&amp;"|"&amp;Calculate_cap_ener!$I$14:$I$21,
        Calculate_cap_ener!$AW$14:$AW$21, "Not found", 0), LOOKUP(K154,Installation_MJ!$C$24:$D$24,Installation_MJ!$C$26:$D$26) + _xlfn.XLOOKUP(J154,Installation_MJ!$C$18:$N$18,Installation_MJ!$C$20:$N$20) + _xlfn.XLOOKUP(B154&amp;"|"&amp;E154,
        Calculate_cap_ener!$L$14:$L$21&amp;"|"&amp;Calculate_cap_ener!$I$14:$I$21,
        Calculate_cap_ener!$AW$14:$AW$21, "Not found", 0))</f>
        <v>210.89641838462671</v>
      </c>
      <c r="S154" s="8" cm="1">
        <f t="array" ref="S154">_xlfn.SWITCH(K154,200,_xlfn.XLOOKUP(J154,EOL_MJ!$C$18:$N$18,EOL_MJ!$C$20:$N$20) + _xlfn.XLOOKUP(B154&amp;"|"&amp;E154,
        Calculate_cap_ener!$L$14:$L$21&amp;"|"&amp;Calculate_cap_ener!$I$14:$I$21,
        Calculate_cap_ener!$BD$14:$BD$21, "Not found", 0), LOOKUP(K154,EOL_MJ!$C$24:$D$24,EOL_MJ!$C$26:$D$26) + _xlfn.XLOOKUP(J154,EOL_MJ!$C$18:$N$18,EOL_MJ!$C$20:$N$20) + _xlfn.XLOOKUP(B154&amp;"|"&amp;E154,
        Calculate_cap_ener!$L$14:$L$21&amp;"|"&amp;Calculate_cap_ener!$I$14:$I$21,
        Calculate_cap_ener!$BD$14:$BD$21, "Not found", 0))</f>
        <v>15159.920526545453</v>
      </c>
      <c r="T154" s="8" cm="1">
        <f t="array" ref="T154">_xlfn.SWITCH(K154,200,_xlfn.XLOOKUP(J154,Other!$C$18:$N$18,Other!$C$20:$N$20) + _xlfn.XLOOKUP(B154&amp;"|"&amp;E154,
        Calculate_cap_ener!$L$14:$L$21&amp;"|"&amp;Calculate_cap_ener!$I$14:$I$21,
        Calculate_cap_ener!$BK$14:$BK$21, "Not found", 0), LOOKUP(K154,Other!$C$24:$D$24,Other!$C$26:$D$26) + _xlfn.XLOOKUP(J154,Other!$C$18:$N$18,Other!$C$20:$N$20) + _xlfn.XLOOKUP(B154&amp;"|"&amp;E154,
        Calculate_cap_ener!$L$14:$L$21&amp;"|"&amp;Calculate_cap_ener!$I$14:$I$21,
        Calculate_cap_ener!$BK$14:$BK$21, "Not found", 0))</f>
        <v>57518.968875051236</v>
      </c>
    </row>
    <row r="155" spans="1:20" x14ac:dyDescent="0.25">
      <c r="A155" s="5"/>
      <c r="B155" s="5" t="str">
        <f t="shared" si="21"/>
        <v>Mass-H1</v>
      </c>
      <c r="C155" s="5" t="s">
        <v>37</v>
      </c>
      <c r="D155" s="5" t="str">
        <f t="shared" si="20"/>
        <v>H1</v>
      </c>
      <c r="E155" s="5" t="s">
        <v>3</v>
      </c>
      <c r="F155" s="5" t="s">
        <v>57</v>
      </c>
      <c r="G155" s="5" t="s">
        <v>57</v>
      </c>
      <c r="H155" s="5">
        <v>5</v>
      </c>
      <c r="I155" s="5"/>
      <c r="J155" s="5">
        <f t="shared" si="22"/>
        <v>5</v>
      </c>
      <c r="K155" s="5">
        <v>1000</v>
      </c>
      <c r="L155" s="8" cm="1">
        <f t="array" ref="L155">_xlfn.SWITCH(K155,200,_xlfn.XLOOKUP(J155,Manufacture_MJ!$C$18:$N$18,Manufacture_MJ!$C$20:$N$20) + _xlfn.XLOOKUP(B155&amp;"|"&amp;E155,
        Calculate_cap_ener!$L$14:$L$21&amp;"|"&amp;Calculate_cap_ener!$I$14:$I$21,
        Calculate_cap_ener!$AI$14:$AI$21, "Not found", 0), LOOKUP(K155,Manufacture_MJ!$C$24:$D$24,Manufacture_MJ!$C$26:$D$26) + _xlfn.XLOOKUP(J155,Manufacture_MJ!$C$18:$N$18,Manufacture_MJ!$C$20:$N$20) + _xlfn.XLOOKUP(B155&amp;"|"&amp;E155,
        Calculate_cap_ener!$L$14:$L$21&amp;"|"&amp;Calculate_cap_ener!$I$14:$I$21,
        Calculate_cap_ener!$AI$14:$AI$21, "Not found", 0))</f>
        <v>109067.60702519242</v>
      </c>
      <c r="M155" s="8">
        <f>LOOKUP(J155,Manufacture_MJ!$C$18:$N$18,Manufacture_MJ!$C$20:$N$20)</f>
        <v>48340.647798374281</v>
      </c>
      <c r="N155" s="8" cm="1">
        <f t="array" ref="N155">_xlfn.SWITCH(K155,200,0,LOOKUP(K155,Manufacture_MJ!$C$24:$D$24,Manufacture_MJ!$C$26:$D$26))</f>
        <v>20573.31818181818</v>
      </c>
      <c r="O155" s="5" cm="1">
        <f t="array" ref="O155">_xlfn.XLOOKUP(B155&amp;"|"&amp;E155,
        Calculate_cap_ener!$L$14:$L$21&amp;"|"&amp;Calculate_cap_ener!$I$14:$I$21,
        Calculate_cap_ener!$AI$14:$AI$21, "Not found", 0)</f>
        <v>40153.641044999968</v>
      </c>
      <c r="P155" s="8">
        <f t="shared" si="23"/>
        <v>109067.60702519242</v>
      </c>
      <c r="Q155" s="8" cm="1">
        <f t="array" ref="Q155">_xlfn.SWITCH(K155,200,_xlfn.XLOOKUP(J155,Distribution_MJ!$C$18:$N$18,Distribution_MJ!$C$20:$N$20) + _xlfn.XLOOKUP(B155&amp;"|"&amp;E155,
        Calculate_cap_ener!$L$14:$L$21&amp;"|"&amp;Calculate_cap_ener!$I$14:$I$21,
        Calculate_cap_ener!$AP$14:$AP$21, "Not found", 0), LOOKUP(K155,Distribution_MJ!$C$24:$D$24,Distribution_MJ!$C$26:$D$26) + _xlfn.XLOOKUP(J155,Distribution_MJ!$C$18:$N$18,Distribution_MJ!$C$20:$N$20) + _xlfn.XLOOKUP(B155&amp;"|"&amp;E155,
        Calculate_cap_ener!$L$14:$L$21&amp;"|"&amp;Calculate_cap_ener!$I$14:$I$21,
        Calculate_cap_ener!$AP$14:$AP$21, "Not found", 0))</f>
        <v>2602.2803166463004</v>
      </c>
      <c r="R155" s="8" cm="1">
        <f t="array" ref="R155">_xlfn.SWITCH(K155,200,_xlfn.XLOOKUP(J155,Installation_MJ!$C$18:$N$18,Installation_MJ!$C$20:$N$20) + _xlfn.XLOOKUP(B155&amp;"|"&amp;E155,
        Calculate_cap_ener!$L$14:$L$21&amp;"|"&amp;Calculate_cap_ener!$I$14:$I$21,
        Calculate_cap_ener!$AW$14:$AW$21, "Not found", 0), LOOKUP(K155,Installation_MJ!$C$24:$D$24,Installation_MJ!$C$26:$D$26) + _xlfn.XLOOKUP(J155,Installation_MJ!$C$18:$N$18,Installation_MJ!$C$20:$N$20) + _xlfn.XLOOKUP(B155&amp;"|"&amp;E155,
        Calculate_cap_ener!$L$14:$L$21&amp;"|"&amp;Calculate_cap_ener!$I$14:$I$21,
        Calculate_cap_ener!$AW$14:$AW$21, "Not found", 0))</f>
        <v>194.49198677169949</v>
      </c>
      <c r="S155" s="8" cm="1">
        <f t="array" ref="S155">_xlfn.SWITCH(K155,200,_xlfn.XLOOKUP(J155,EOL_MJ!$C$18:$N$18,EOL_MJ!$C$20:$N$20) + _xlfn.XLOOKUP(B155&amp;"|"&amp;E155,
        Calculate_cap_ener!$L$14:$L$21&amp;"|"&amp;Calculate_cap_ener!$I$14:$I$21,
        Calculate_cap_ener!$BD$14:$BD$21, "Not found", 0), LOOKUP(K155,EOL_MJ!$C$24:$D$24,EOL_MJ!$C$26:$D$26) + _xlfn.XLOOKUP(J155,EOL_MJ!$C$18:$N$18,EOL_MJ!$C$20:$N$20) + _xlfn.XLOOKUP(B155&amp;"|"&amp;E155,
        Calculate_cap_ener!$L$14:$L$21&amp;"|"&amp;Calculate_cap_ener!$I$14:$I$21,
        Calculate_cap_ener!$BD$14:$BD$21, "Not found", 0))</f>
        <v>25296.238708363635</v>
      </c>
      <c r="T155" s="8" cm="1">
        <f t="array" ref="T155">_xlfn.SWITCH(K155,200,_xlfn.XLOOKUP(J155,Other!$C$18:$N$18,Other!$C$20:$N$20) + _xlfn.XLOOKUP(B155&amp;"|"&amp;E155,
        Calculate_cap_ener!$L$14:$L$21&amp;"|"&amp;Calculate_cap_ener!$I$14:$I$21,
        Calculate_cap_ener!$BK$14:$BK$21, "Not found", 0), LOOKUP(K155,Other!$C$24:$D$24,Other!$C$26:$D$26) + _xlfn.XLOOKUP(J155,Other!$C$18:$N$18,Other!$C$20:$N$20) + _xlfn.XLOOKUP(B155&amp;"|"&amp;E155,
        Calculate_cap_ener!$L$14:$L$21&amp;"|"&amp;Calculate_cap_ener!$I$14:$I$21,
        Calculate_cap_ener!$BK$14:$BK$21, "Not found", 0))</f>
        <v>57321.961125385969</v>
      </c>
    </row>
    <row r="156" spans="1:20" x14ac:dyDescent="0.25">
      <c r="A156" s="5"/>
      <c r="B156" s="5" t="str">
        <f t="shared" si="21"/>
        <v>Mass-H1</v>
      </c>
      <c r="C156" s="5" t="s">
        <v>37</v>
      </c>
      <c r="D156" s="5" t="str">
        <f t="shared" si="20"/>
        <v>H1</v>
      </c>
      <c r="E156" s="5" t="s">
        <v>3</v>
      </c>
      <c r="F156" s="5" t="s">
        <v>57</v>
      </c>
      <c r="G156" s="5" t="s">
        <v>57</v>
      </c>
      <c r="H156" s="5">
        <v>6</v>
      </c>
      <c r="I156" s="5"/>
      <c r="J156" s="5">
        <f t="shared" si="22"/>
        <v>6</v>
      </c>
      <c r="K156" s="5">
        <v>1000</v>
      </c>
      <c r="L156" s="8" cm="1">
        <f t="array" ref="L156">_xlfn.SWITCH(K156,200,_xlfn.XLOOKUP(J156,Manufacture_MJ!$C$18:$N$18,Manufacture_MJ!$C$20:$N$20) + _xlfn.XLOOKUP(B156&amp;"|"&amp;E156,
        Calculate_cap_ener!$L$14:$L$21&amp;"|"&amp;Calculate_cap_ener!$I$14:$I$21,
        Calculate_cap_ener!$AI$14:$AI$21, "Not found", 0), LOOKUP(K156,Manufacture_MJ!$C$24:$D$24,Manufacture_MJ!$C$26:$D$26) + _xlfn.XLOOKUP(J156,Manufacture_MJ!$C$18:$N$18,Manufacture_MJ!$C$20:$N$20) + _xlfn.XLOOKUP(B156&amp;"|"&amp;E156,
        Calculate_cap_ener!$L$14:$L$21&amp;"|"&amp;Calculate_cap_ener!$I$14:$I$21,
        Calculate_cap_ener!$AI$14:$AI$21, "Not found", 0))</f>
        <v>109422.44562549026</v>
      </c>
      <c r="M156" s="8">
        <f>LOOKUP(J156,Manufacture_MJ!$C$18:$N$18,Manufacture_MJ!$C$20:$N$20)</f>
        <v>48695.486398672118</v>
      </c>
      <c r="N156" s="8" cm="1">
        <f t="array" ref="N156">_xlfn.SWITCH(K156,200,0,LOOKUP(K156,Manufacture_MJ!$C$24:$D$24,Manufacture_MJ!$C$26:$D$26))</f>
        <v>20573.31818181818</v>
      </c>
      <c r="O156" s="5" cm="1">
        <f t="array" ref="O156">_xlfn.XLOOKUP(B156&amp;"|"&amp;E156,
        Calculate_cap_ener!$L$14:$L$21&amp;"|"&amp;Calculate_cap_ener!$I$14:$I$21,
        Calculate_cap_ener!$AI$14:$AI$21, "Not found", 0)</f>
        <v>40153.641044999968</v>
      </c>
      <c r="P156" s="8">
        <f t="shared" si="23"/>
        <v>109422.44562549026</v>
      </c>
      <c r="Q156" s="8" cm="1">
        <f t="array" ref="Q156">_xlfn.SWITCH(K156,200,_xlfn.XLOOKUP(J156,Distribution_MJ!$C$18:$N$18,Distribution_MJ!$C$20:$N$20) + _xlfn.XLOOKUP(B156&amp;"|"&amp;E156,
        Calculate_cap_ener!$L$14:$L$21&amp;"|"&amp;Calculate_cap_ener!$I$14:$I$21,
        Calculate_cap_ener!$AP$14:$AP$21, "Not found", 0), LOOKUP(K156,Distribution_MJ!$C$24:$D$24,Distribution_MJ!$C$26:$D$26) + _xlfn.XLOOKUP(J156,Distribution_MJ!$C$18:$N$18,Distribution_MJ!$C$20:$N$20) + _xlfn.XLOOKUP(B156&amp;"|"&amp;E156,
        Calculate_cap_ener!$L$14:$L$21&amp;"|"&amp;Calculate_cap_ener!$I$14:$I$21,
        Calculate_cap_ener!$AP$14:$AP$21, "Not found", 0))</f>
        <v>2634.9846097814502</v>
      </c>
      <c r="R156" s="8" cm="1">
        <f t="array" ref="R156">_xlfn.SWITCH(K156,200,_xlfn.XLOOKUP(J156,Installation_MJ!$C$18:$N$18,Installation_MJ!$C$20:$N$20) + _xlfn.XLOOKUP(B156&amp;"|"&amp;E156,
        Calculate_cap_ener!$L$14:$L$21&amp;"|"&amp;Calculate_cap_ener!$I$14:$I$21,
        Calculate_cap_ener!$AW$14:$AW$21, "Not found", 0), LOOKUP(K156,Installation_MJ!$C$24:$D$24,Installation_MJ!$C$26:$D$26) + _xlfn.XLOOKUP(J156,Installation_MJ!$C$18:$N$18,Installation_MJ!$C$20:$N$20) + _xlfn.XLOOKUP(B156&amp;"|"&amp;E156,
        Calculate_cap_ener!$L$14:$L$21&amp;"|"&amp;Calculate_cap_ener!$I$14:$I$21,
        Calculate_cap_ener!$AW$14:$AW$21, "Not found", 0))</f>
        <v>196.95106503172175</v>
      </c>
      <c r="S156" s="8" cm="1">
        <f t="array" ref="S156">_xlfn.SWITCH(K156,200,_xlfn.XLOOKUP(J156,EOL_MJ!$C$18:$N$18,EOL_MJ!$C$20:$N$20) + _xlfn.XLOOKUP(B156&amp;"|"&amp;E156,
        Calculate_cap_ener!$L$14:$L$21&amp;"|"&amp;Calculate_cap_ener!$I$14:$I$21,
        Calculate_cap_ener!$BD$14:$BD$21, "Not found", 0), LOOKUP(K156,EOL_MJ!$C$24:$D$24,EOL_MJ!$C$26:$D$26) + _xlfn.XLOOKUP(J156,EOL_MJ!$C$18:$N$18,EOL_MJ!$C$20:$N$20) + _xlfn.XLOOKUP(B156&amp;"|"&amp;E156,
        Calculate_cap_ener!$L$14:$L$21&amp;"|"&amp;Calculate_cap_ener!$I$14:$I$21,
        Calculate_cap_ener!$BD$14:$BD$21, "Not found", 0))</f>
        <v>25296.238708363635</v>
      </c>
      <c r="T156" s="8" cm="1">
        <f t="array" ref="T156">_xlfn.SWITCH(K156,200,_xlfn.XLOOKUP(J156,Other!$C$18:$N$18,Other!$C$20:$N$20) + _xlfn.XLOOKUP(B156&amp;"|"&amp;E156,
        Calculate_cap_ener!$L$14:$L$21&amp;"|"&amp;Calculate_cap_ener!$I$14:$I$21,
        Calculate_cap_ener!$BK$14:$BK$21, "Not found", 0), LOOKUP(K156,Other!$C$24:$D$24,Other!$C$26:$D$26) + _xlfn.XLOOKUP(J156,Other!$C$18:$N$18,Other!$C$20:$N$20) + _xlfn.XLOOKUP(B156&amp;"|"&amp;E156,
        Calculate_cap_ener!$L$14:$L$21&amp;"|"&amp;Calculate_cap_ener!$I$14:$I$21,
        Calculate_cap_ener!$BK$14:$BK$21, "Not found", 0))</f>
        <v>57343.850875348777</v>
      </c>
    </row>
    <row r="157" spans="1:20" x14ac:dyDescent="0.25">
      <c r="A157" s="5"/>
      <c r="B157" s="5" t="str">
        <f t="shared" si="21"/>
        <v>Mass-H1</v>
      </c>
      <c r="C157" s="5" t="s">
        <v>37</v>
      </c>
      <c r="D157" s="5" t="str">
        <f t="shared" si="20"/>
        <v>H1</v>
      </c>
      <c r="E157" s="5" t="s">
        <v>3</v>
      </c>
      <c r="F157" s="5" t="s">
        <v>57</v>
      </c>
      <c r="G157" s="5" t="s">
        <v>57</v>
      </c>
      <c r="H157" s="5">
        <v>8.5</v>
      </c>
      <c r="I157" s="5"/>
      <c r="J157" s="5">
        <f t="shared" si="22"/>
        <v>9</v>
      </c>
      <c r="K157" s="5">
        <v>1000</v>
      </c>
      <c r="L157" s="8" cm="1">
        <f t="array" ref="L157">_xlfn.SWITCH(K157,200,_xlfn.XLOOKUP(J157,Manufacture_MJ!$C$18:$N$18,Manufacture_MJ!$C$20:$N$20) + _xlfn.XLOOKUP(B157&amp;"|"&amp;E157,
        Calculate_cap_ener!$L$14:$L$21&amp;"|"&amp;Calculate_cap_ener!$I$14:$I$21,
        Calculate_cap_ener!$AI$14:$AI$21, "Not found", 0), LOOKUP(K157,Manufacture_MJ!$C$24:$D$24,Manufacture_MJ!$C$26:$D$26) + _xlfn.XLOOKUP(J157,Manufacture_MJ!$C$18:$N$18,Manufacture_MJ!$C$20:$N$20) + _xlfn.XLOOKUP(B157&amp;"|"&amp;E157,
        Calculate_cap_ener!$L$14:$L$21&amp;"|"&amp;Calculate_cap_ener!$I$14:$I$21,
        Calculate_cap_ener!$AI$14:$AI$21, "Not found", 0))</f>
        <v>110486.96142638377</v>
      </c>
      <c r="M157" s="8">
        <f>LOOKUP(J157,Manufacture_MJ!$C$18:$N$18,Manufacture_MJ!$C$20:$N$20)</f>
        <v>49760.002199565621</v>
      </c>
      <c r="N157" s="8" cm="1">
        <f t="array" ref="N157">_xlfn.SWITCH(K157,200,0,LOOKUP(K157,Manufacture_MJ!$C$24:$D$24,Manufacture_MJ!$C$26:$D$26))</f>
        <v>20573.31818181818</v>
      </c>
      <c r="O157" s="5" cm="1">
        <f t="array" ref="O157">_xlfn.XLOOKUP(B157&amp;"|"&amp;E157,
        Calculate_cap_ener!$L$14:$L$21&amp;"|"&amp;Calculate_cap_ener!$I$14:$I$21,
        Calculate_cap_ener!$AI$14:$AI$21, "Not found", 0)</f>
        <v>40153.641044999968</v>
      </c>
      <c r="P157" s="8">
        <f t="shared" si="23"/>
        <v>110486.96142638377</v>
      </c>
      <c r="Q157" s="8" cm="1">
        <f t="array" ref="Q157">_xlfn.SWITCH(K157,200,_xlfn.XLOOKUP(J157,Distribution_MJ!$C$18:$N$18,Distribution_MJ!$C$20:$N$20) + _xlfn.XLOOKUP(B157&amp;"|"&amp;E157,
        Calculate_cap_ener!$L$14:$L$21&amp;"|"&amp;Calculate_cap_ener!$I$14:$I$21,
        Calculate_cap_ener!$AP$14:$AP$21, "Not found", 0), LOOKUP(K157,Distribution_MJ!$C$24:$D$24,Distribution_MJ!$C$26:$D$26) + _xlfn.XLOOKUP(J157,Distribution_MJ!$C$18:$N$18,Distribution_MJ!$C$20:$N$20) + _xlfn.XLOOKUP(B157&amp;"|"&amp;E157,
        Calculate_cap_ener!$L$14:$L$21&amp;"|"&amp;Calculate_cap_ener!$I$14:$I$21,
        Calculate_cap_ener!$AP$14:$AP$21, "Not found", 0))</f>
        <v>2733.0974891869</v>
      </c>
      <c r="R157" s="8" cm="1">
        <f t="array" ref="R157">_xlfn.SWITCH(K157,200,_xlfn.XLOOKUP(J157,Installation_MJ!$C$18:$N$18,Installation_MJ!$C$20:$N$20) + _xlfn.XLOOKUP(B157&amp;"|"&amp;E157,
        Calculate_cap_ener!$L$14:$L$21&amp;"|"&amp;Calculate_cap_ener!$I$14:$I$21,
        Calculate_cap_ener!$AW$14:$AW$21, "Not found", 0), LOOKUP(K157,Installation_MJ!$C$24:$D$24,Installation_MJ!$C$26:$D$26) + _xlfn.XLOOKUP(J157,Installation_MJ!$C$18:$N$18,Installation_MJ!$C$20:$N$20) + _xlfn.XLOOKUP(B157&amp;"|"&amp;E157,
        Calculate_cap_ener!$L$14:$L$21&amp;"|"&amp;Calculate_cap_ener!$I$14:$I$21,
        Calculate_cap_ener!$AW$14:$AW$21, "Not found", 0))</f>
        <v>204.32829981178827</v>
      </c>
      <c r="S157" s="8" cm="1">
        <f t="array" ref="S157">_xlfn.SWITCH(K157,200,_xlfn.XLOOKUP(J157,EOL_MJ!$C$18:$N$18,EOL_MJ!$C$20:$N$20) + _xlfn.XLOOKUP(B157&amp;"|"&amp;E157,
        Calculate_cap_ener!$L$14:$L$21&amp;"|"&amp;Calculate_cap_ener!$I$14:$I$21,
        Calculate_cap_ener!$BD$14:$BD$21, "Not found", 0), LOOKUP(K157,EOL_MJ!$C$24:$D$24,EOL_MJ!$C$26:$D$26) + _xlfn.XLOOKUP(J157,EOL_MJ!$C$18:$N$18,EOL_MJ!$C$20:$N$20) + _xlfn.XLOOKUP(B157&amp;"|"&amp;E157,
        Calculate_cap_ener!$L$14:$L$21&amp;"|"&amp;Calculate_cap_ener!$I$14:$I$21,
        Calculate_cap_ener!$BD$14:$BD$21, "Not found", 0))</f>
        <v>25296.238708363635</v>
      </c>
      <c r="T157" s="8" cm="1">
        <f t="array" ref="T157">_xlfn.SWITCH(K157,200,_xlfn.XLOOKUP(J157,Other!$C$18:$N$18,Other!$C$20:$N$20) + _xlfn.XLOOKUP(B157&amp;"|"&amp;E157,
        Calculate_cap_ener!$L$14:$L$21&amp;"|"&amp;Calculate_cap_ener!$I$14:$I$21,
        Calculate_cap_ener!$BK$14:$BK$21, "Not found", 0), LOOKUP(K157,Other!$C$24:$D$24,Other!$C$26:$D$26) + _xlfn.XLOOKUP(J157,Other!$C$18:$N$18,Other!$C$20:$N$20) + _xlfn.XLOOKUP(B157&amp;"|"&amp;E157,
        Calculate_cap_ener!$L$14:$L$21&amp;"|"&amp;Calculate_cap_ener!$I$14:$I$21,
        Calculate_cap_ener!$BK$14:$BK$21, "Not found", 0))</f>
        <v>57409.520125237199</v>
      </c>
    </row>
    <row r="158" spans="1:20" x14ac:dyDescent="0.25">
      <c r="A158" s="5"/>
      <c r="B158" s="5" t="str">
        <f t="shared" si="21"/>
        <v>Mass-H1</v>
      </c>
      <c r="C158" s="5" t="s">
        <v>37</v>
      </c>
      <c r="D158" s="5" t="str">
        <f t="shared" si="20"/>
        <v>H1</v>
      </c>
      <c r="E158" s="5" t="s">
        <v>3</v>
      </c>
      <c r="F158" s="5" t="s">
        <v>57</v>
      </c>
      <c r="G158" s="5" t="s">
        <v>57</v>
      </c>
      <c r="H158" s="5">
        <v>11.2</v>
      </c>
      <c r="I158" s="5"/>
      <c r="J158" s="5">
        <f t="shared" si="22"/>
        <v>12</v>
      </c>
      <c r="K158" s="5">
        <v>1000</v>
      </c>
      <c r="L158" s="8" cm="1">
        <f t="array" ref="L158">_xlfn.SWITCH(K158,200,_xlfn.XLOOKUP(J158,Manufacture_MJ!$C$18:$N$18,Manufacture_MJ!$C$20:$N$20) + _xlfn.XLOOKUP(B158&amp;"|"&amp;E158,
        Calculate_cap_ener!$L$14:$L$21&amp;"|"&amp;Calculate_cap_ener!$I$14:$I$21,
        Calculate_cap_ener!$AI$14:$AI$21, "Not found", 0), LOOKUP(K158,Manufacture_MJ!$C$24:$D$24,Manufacture_MJ!$C$26:$D$26) + _xlfn.XLOOKUP(J158,Manufacture_MJ!$C$18:$N$18,Manufacture_MJ!$C$20:$N$20) + _xlfn.XLOOKUP(B158&amp;"|"&amp;E158,
        Calculate_cap_ener!$L$14:$L$21&amp;"|"&amp;Calculate_cap_ener!$I$14:$I$21,
        Calculate_cap_ener!$AI$14:$AI$21, "Not found", 0))</f>
        <v>111551.4772272774</v>
      </c>
      <c r="M158" s="8">
        <f>LOOKUP(J158,Manufacture_MJ!$C$18:$N$18,Manufacture_MJ!$C$20:$N$20)</f>
        <v>50824.518000459248</v>
      </c>
      <c r="N158" s="8" cm="1">
        <f t="array" ref="N158">_xlfn.SWITCH(K158,200,0,LOOKUP(K158,Manufacture_MJ!$C$24:$D$24,Manufacture_MJ!$C$26:$D$26))</f>
        <v>20573.31818181818</v>
      </c>
      <c r="O158" s="5" cm="1">
        <f t="array" ref="O158">_xlfn.XLOOKUP(B158&amp;"|"&amp;E158,
        Calculate_cap_ener!$L$14:$L$21&amp;"|"&amp;Calculate_cap_ener!$I$14:$I$21,
        Calculate_cap_ener!$AI$14:$AI$21, "Not found", 0)</f>
        <v>40153.641044999968</v>
      </c>
      <c r="P158" s="8">
        <f t="shared" si="23"/>
        <v>111551.4772272774</v>
      </c>
      <c r="Q158" s="8" cm="1">
        <f t="array" ref="Q158">_xlfn.SWITCH(K158,200,_xlfn.XLOOKUP(J158,Distribution_MJ!$C$18:$N$18,Distribution_MJ!$C$20:$N$20) + _xlfn.XLOOKUP(B158&amp;"|"&amp;E158,
        Calculate_cap_ener!$L$14:$L$21&amp;"|"&amp;Calculate_cap_ener!$I$14:$I$21,
        Calculate_cap_ener!$AP$14:$AP$21, "Not found", 0), LOOKUP(K158,Distribution_MJ!$C$24:$D$24,Distribution_MJ!$C$26:$D$26) + _xlfn.XLOOKUP(J158,Distribution_MJ!$C$18:$N$18,Distribution_MJ!$C$20:$N$20) + _xlfn.XLOOKUP(B158&amp;"|"&amp;E158,
        Calculate_cap_ener!$L$14:$L$21&amp;"|"&amp;Calculate_cap_ener!$I$14:$I$21,
        Calculate_cap_ener!$AP$14:$AP$21, "Not found", 0))</f>
        <v>2831.2103685923498</v>
      </c>
      <c r="R158" s="8" cm="1">
        <f t="array" ref="R158">_xlfn.SWITCH(K158,200,_xlfn.XLOOKUP(J158,Installation_MJ!$C$18:$N$18,Installation_MJ!$C$20:$N$20) + _xlfn.XLOOKUP(B158&amp;"|"&amp;E158,
        Calculate_cap_ener!$L$14:$L$21&amp;"|"&amp;Calculate_cap_ener!$I$14:$I$21,
        Calculate_cap_ener!$AW$14:$AW$21, "Not found", 0), LOOKUP(K158,Installation_MJ!$C$24:$D$24,Installation_MJ!$C$26:$D$26) + _xlfn.XLOOKUP(J158,Installation_MJ!$C$18:$N$18,Installation_MJ!$C$20:$N$20) + _xlfn.XLOOKUP(B158&amp;"|"&amp;E158,
        Calculate_cap_ener!$L$14:$L$21&amp;"|"&amp;Calculate_cap_ener!$I$14:$I$21,
        Calculate_cap_ener!$AW$14:$AW$21, "Not found", 0))</f>
        <v>211.70553459185493</v>
      </c>
      <c r="S158" s="8" cm="1">
        <f t="array" ref="S158">_xlfn.SWITCH(K158,200,_xlfn.XLOOKUP(J158,EOL_MJ!$C$18:$N$18,EOL_MJ!$C$20:$N$20) + _xlfn.XLOOKUP(B158&amp;"|"&amp;E158,
        Calculate_cap_ener!$L$14:$L$21&amp;"|"&amp;Calculate_cap_ener!$I$14:$I$21,
        Calculate_cap_ener!$BD$14:$BD$21, "Not found", 0), LOOKUP(K158,EOL_MJ!$C$24:$D$24,EOL_MJ!$C$26:$D$26) + _xlfn.XLOOKUP(J158,EOL_MJ!$C$18:$N$18,EOL_MJ!$C$20:$N$20) + _xlfn.XLOOKUP(B158&amp;"|"&amp;E158,
        Calculate_cap_ener!$L$14:$L$21&amp;"|"&amp;Calculate_cap_ener!$I$14:$I$21,
        Calculate_cap_ener!$BD$14:$BD$21, "Not found", 0))</f>
        <v>25296.238708363635</v>
      </c>
      <c r="T158" s="8" cm="1">
        <f t="array" ref="T158">_xlfn.SWITCH(K158,200,_xlfn.XLOOKUP(J158,Other!$C$18:$N$18,Other!$C$20:$N$20) + _xlfn.XLOOKUP(B158&amp;"|"&amp;E158,
        Calculate_cap_ener!$L$14:$L$21&amp;"|"&amp;Calculate_cap_ener!$I$14:$I$21,
        Calculate_cap_ener!$BK$14:$BK$21, "Not found", 0), LOOKUP(K158,Other!$C$24:$D$24,Other!$C$26:$D$26) + _xlfn.XLOOKUP(J158,Other!$C$18:$N$18,Other!$C$20:$N$20) + _xlfn.XLOOKUP(B158&amp;"|"&amp;E158,
        Calculate_cap_ener!$L$14:$L$21&amp;"|"&amp;Calculate_cap_ener!$I$14:$I$21,
        Calculate_cap_ener!$BK$14:$BK$21, "Not found", 0))</f>
        <v>57475.189375125621</v>
      </c>
    </row>
    <row r="159" spans="1:20" x14ac:dyDescent="0.25">
      <c r="A159" s="5"/>
      <c r="B159" s="5" t="str">
        <f t="shared" si="21"/>
        <v>Mass-H1</v>
      </c>
      <c r="C159" s="5" t="s">
        <v>37</v>
      </c>
      <c r="D159" s="5" t="str">
        <f t="shared" si="20"/>
        <v>H1</v>
      </c>
      <c r="E159" s="5" t="s">
        <v>3</v>
      </c>
      <c r="F159" s="5" t="s">
        <v>57</v>
      </c>
      <c r="G159" s="5" t="s">
        <v>57</v>
      </c>
      <c r="H159" s="5">
        <v>14</v>
      </c>
      <c r="I159" s="5"/>
      <c r="J159" s="5">
        <f t="shared" si="22"/>
        <v>14</v>
      </c>
      <c r="K159" s="5">
        <v>1000</v>
      </c>
      <c r="L159" s="8" cm="1">
        <f t="array" ref="L159">_xlfn.SWITCH(K159,200,_xlfn.XLOOKUP(J159,Manufacture_MJ!$C$18:$N$18,Manufacture_MJ!$C$20:$N$20) + _xlfn.XLOOKUP(B159&amp;"|"&amp;E159,
        Calculate_cap_ener!$L$14:$L$21&amp;"|"&amp;Calculate_cap_ener!$I$14:$I$21,
        Calculate_cap_ener!$AI$14:$AI$21, "Not found", 0), LOOKUP(K159,Manufacture_MJ!$C$24:$D$24,Manufacture_MJ!$C$26:$D$26) + _xlfn.XLOOKUP(J159,Manufacture_MJ!$C$18:$N$18,Manufacture_MJ!$C$20:$N$20) + _xlfn.XLOOKUP(B159&amp;"|"&amp;E159,
        Calculate_cap_ener!$L$14:$L$21&amp;"|"&amp;Calculate_cap_ener!$I$14:$I$21,
        Calculate_cap_ener!$AI$14:$AI$21, "Not found", 0))</f>
        <v>112261.15442787307</v>
      </c>
      <c r="M159" s="8">
        <f>LOOKUP(J159,Manufacture_MJ!$C$18:$N$18,Manufacture_MJ!$C$20:$N$20)</f>
        <v>51534.195201054921</v>
      </c>
      <c r="N159" s="8" cm="1">
        <f t="array" ref="N159">_xlfn.SWITCH(K159,200,0,LOOKUP(K159,Manufacture_MJ!$C$24:$D$24,Manufacture_MJ!$C$26:$D$26))</f>
        <v>20573.31818181818</v>
      </c>
      <c r="O159" s="5" cm="1">
        <f t="array" ref="O159">_xlfn.XLOOKUP(B159&amp;"|"&amp;E159,
        Calculate_cap_ener!$L$14:$L$21&amp;"|"&amp;Calculate_cap_ener!$I$14:$I$21,
        Calculate_cap_ener!$AI$14:$AI$21, "Not found", 0)</f>
        <v>40153.641044999968</v>
      </c>
      <c r="P159" s="8">
        <f t="shared" si="23"/>
        <v>112261.15442787307</v>
      </c>
      <c r="Q159" s="8" cm="1">
        <f t="array" ref="Q159">_xlfn.SWITCH(K159,200,_xlfn.XLOOKUP(J159,Distribution_MJ!$C$18:$N$18,Distribution_MJ!$C$20:$N$20) + _xlfn.XLOOKUP(B159&amp;"|"&amp;E159,
        Calculate_cap_ener!$L$14:$L$21&amp;"|"&amp;Calculate_cap_ener!$I$14:$I$21,
        Calculate_cap_ener!$AP$14:$AP$21, "Not found", 0), LOOKUP(K159,Distribution_MJ!$C$24:$D$24,Distribution_MJ!$C$26:$D$26) + _xlfn.XLOOKUP(J159,Distribution_MJ!$C$18:$N$18,Distribution_MJ!$C$20:$N$20) + _xlfn.XLOOKUP(B159&amp;"|"&amp;E159,
        Calculate_cap_ener!$L$14:$L$21&amp;"|"&amp;Calculate_cap_ener!$I$14:$I$21,
        Calculate_cap_ener!$AP$14:$AP$21, "Not found", 0))</f>
        <v>2896.6189548626498</v>
      </c>
      <c r="R159" s="8" cm="1">
        <f t="array" ref="R159">_xlfn.SWITCH(K159,200,_xlfn.XLOOKUP(J159,Installation_MJ!$C$18:$N$18,Installation_MJ!$C$20:$N$20) + _xlfn.XLOOKUP(B159&amp;"|"&amp;E159,
        Calculate_cap_ener!$L$14:$L$21&amp;"|"&amp;Calculate_cap_ener!$I$14:$I$21,
        Calculate_cap_ener!$AW$14:$AW$21, "Not found", 0), LOOKUP(K159,Installation_MJ!$C$24:$D$24,Installation_MJ!$C$26:$D$26) + _xlfn.XLOOKUP(J159,Installation_MJ!$C$18:$N$18,Installation_MJ!$C$20:$N$20) + _xlfn.XLOOKUP(B159&amp;"|"&amp;E159,
        Calculate_cap_ener!$L$14:$L$21&amp;"|"&amp;Calculate_cap_ener!$I$14:$I$21,
        Calculate_cap_ener!$AW$14:$AW$21, "Not found", 0))</f>
        <v>216.62369111189946</v>
      </c>
      <c r="S159" s="8" cm="1">
        <f t="array" ref="S159">_xlfn.SWITCH(K159,200,_xlfn.XLOOKUP(J159,EOL_MJ!$C$18:$N$18,EOL_MJ!$C$20:$N$20) + _xlfn.XLOOKUP(B159&amp;"|"&amp;E159,
        Calculate_cap_ener!$L$14:$L$21&amp;"|"&amp;Calculate_cap_ener!$I$14:$I$21,
        Calculate_cap_ener!$BD$14:$BD$21, "Not found", 0), LOOKUP(K159,EOL_MJ!$C$24:$D$24,EOL_MJ!$C$26:$D$26) + _xlfn.XLOOKUP(J159,EOL_MJ!$C$18:$N$18,EOL_MJ!$C$20:$N$20) + _xlfn.XLOOKUP(B159&amp;"|"&amp;E159,
        Calculate_cap_ener!$L$14:$L$21&amp;"|"&amp;Calculate_cap_ener!$I$14:$I$21,
        Calculate_cap_ener!$BD$14:$BD$21, "Not found", 0))</f>
        <v>25296.238708363635</v>
      </c>
      <c r="T159" s="8" cm="1">
        <f t="array" ref="T159">_xlfn.SWITCH(K159,200,_xlfn.XLOOKUP(J159,Other!$C$18:$N$18,Other!$C$20:$N$20) + _xlfn.XLOOKUP(B159&amp;"|"&amp;E159,
        Calculate_cap_ener!$L$14:$L$21&amp;"|"&amp;Calculate_cap_ener!$I$14:$I$21,
        Calculate_cap_ener!$BK$14:$BK$21, "Not found", 0), LOOKUP(K159,Other!$C$24:$D$24,Other!$C$26:$D$26) + _xlfn.XLOOKUP(J159,Other!$C$18:$N$18,Other!$C$20:$N$20) + _xlfn.XLOOKUP(B159&amp;"|"&amp;E159,
        Calculate_cap_ener!$L$14:$L$21&amp;"|"&amp;Calculate_cap_ener!$I$14:$I$21,
        Calculate_cap_ener!$BK$14:$BK$21, "Not found", 0))</f>
        <v>57518.968875051236</v>
      </c>
    </row>
    <row r="160" spans="1:20" x14ac:dyDescent="0.25">
      <c r="A160" s="5"/>
      <c r="B160" s="5" t="str">
        <f t="shared" si="21"/>
        <v>Mod-H1</v>
      </c>
      <c r="C160" s="5" t="s">
        <v>38</v>
      </c>
      <c r="D160" s="5" t="str">
        <f t="shared" si="20"/>
        <v>H1</v>
      </c>
      <c r="E160" s="5" t="s">
        <v>3</v>
      </c>
      <c r="F160" s="5" t="s">
        <v>54</v>
      </c>
      <c r="G160" s="5" t="s">
        <v>54</v>
      </c>
      <c r="H160" s="5">
        <v>8.5</v>
      </c>
      <c r="I160" s="5"/>
      <c r="J160" s="5">
        <f t="shared" si="22"/>
        <v>9</v>
      </c>
      <c r="K160" s="5">
        <v>200</v>
      </c>
      <c r="L160" s="8" cm="1">
        <f t="array" ref="L160">_xlfn.SWITCH(K160,200,_xlfn.XLOOKUP(J160,Manufacture_MJ!$C$18:$N$18,Manufacture_MJ!$C$20:$N$20) + _xlfn.XLOOKUP(B160&amp;"|"&amp;E160,
        Calculate_cap_ener!$L$14:$L$21&amp;"|"&amp;Calculate_cap_ener!$I$14:$I$21,
        Calculate_cap_ener!$AI$14:$AI$21, "Not found", 0), LOOKUP(K160,Manufacture_MJ!$C$24:$D$24,Manufacture_MJ!$C$26:$D$26) + _xlfn.XLOOKUP(J160,Manufacture_MJ!$C$18:$N$18,Manufacture_MJ!$C$20:$N$20) + _xlfn.XLOOKUP(B160&amp;"|"&amp;E160,
        Calculate_cap_ener!$L$14:$L$21&amp;"|"&amp;Calculate_cap_ener!$I$14:$I$21,
        Calculate_cap_ener!$AI$14:$AI$21, "Not found", 0))</f>
        <v>102461.64579031555</v>
      </c>
      <c r="M160" s="8">
        <f>LOOKUP(J160,Manufacture_MJ!$C$18:$N$18,Manufacture_MJ!$C$20:$N$20)</f>
        <v>49760.002199565621</v>
      </c>
      <c r="N160" s="8" cm="1">
        <f t="array" ref="N160">_xlfn.SWITCH(K160,200,0,LOOKUP(K160,Manufacture_MJ!$C$24:$D$24,Manufacture_MJ!$C$26:$D$26))</f>
        <v>0</v>
      </c>
      <c r="O160" s="5" cm="1">
        <f t="array" ref="O160">_xlfn.XLOOKUP(B160&amp;"|"&amp;E160,
        Calculate_cap_ener!$L$14:$L$21&amp;"|"&amp;Calculate_cap_ener!$I$14:$I$21,
        Calculate_cap_ener!$AI$14:$AI$21, "Not found", 0)</f>
        <v>52701.643590749925</v>
      </c>
      <c r="P160" s="8">
        <f t="shared" si="23"/>
        <v>102461.64579031555</v>
      </c>
      <c r="Q160" s="8" cm="1">
        <f t="array" ref="Q160">_xlfn.SWITCH(K160,200,_xlfn.XLOOKUP(J160,Distribution_MJ!$C$18:$N$18,Distribution_MJ!$C$20:$N$20) + _xlfn.XLOOKUP(B160&amp;"|"&amp;E160,
        Calculate_cap_ener!$L$14:$L$21&amp;"|"&amp;Calculate_cap_ener!$I$14:$I$21,
        Calculate_cap_ener!$AP$14:$AP$21, "Not found", 0), LOOKUP(K160,Distribution_MJ!$C$24:$D$24,Distribution_MJ!$C$26:$D$26) + _xlfn.XLOOKUP(J160,Distribution_MJ!$C$18:$N$18,Distribution_MJ!$C$20:$N$20) + _xlfn.XLOOKUP(B160&amp;"|"&amp;E160,
        Calculate_cap_ener!$L$14:$L$21&amp;"|"&amp;Calculate_cap_ener!$I$14:$I$21,
        Calculate_cap_ener!$AP$14:$AP$21, "Not found", 0))</f>
        <v>2555.8690790364763</v>
      </c>
      <c r="R160" s="8" cm="1">
        <f t="array" ref="R160">_xlfn.SWITCH(K160,200,_xlfn.XLOOKUP(J160,Installation_MJ!$C$18:$N$18,Installation_MJ!$C$20:$N$20) + _xlfn.XLOOKUP(B160&amp;"|"&amp;E160,
        Calculate_cap_ener!$L$14:$L$21&amp;"|"&amp;Calculate_cap_ener!$I$14:$I$21,
        Calculate_cap_ener!$AW$14:$AW$21, "Not found", 0), LOOKUP(K160,Installation_MJ!$C$24:$D$24,Installation_MJ!$C$26:$D$26) + _xlfn.XLOOKUP(J160,Installation_MJ!$C$18:$N$18,Installation_MJ!$C$20:$N$20) + _xlfn.XLOOKUP(B160&amp;"|"&amp;E160,
        Calculate_cap_ener!$L$14:$L$21&amp;"|"&amp;Calculate_cap_ener!$I$14:$I$21,
        Calculate_cap_ener!$AW$14:$AW$21, "Not found", 0))</f>
        <v>181.24497077514053</v>
      </c>
      <c r="S160" s="8" cm="1">
        <f t="array" ref="S160">_xlfn.SWITCH(K160,200,_xlfn.XLOOKUP(J160,EOL_MJ!$C$18:$N$18,EOL_MJ!$C$20:$N$20) + _xlfn.XLOOKUP(B160&amp;"|"&amp;E160,
        Calculate_cap_ener!$L$14:$L$21&amp;"|"&amp;Calculate_cap_ener!$I$14:$I$21,
        Calculate_cap_ener!$BD$14:$BD$21, "Not found", 0), LOOKUP(K160,EOL_MJ!$C$24:$D$24,EOL_MJ!$C$26:$D$26) + _xlfn.XLOOKUP(J160,EOL_MJ!$C$18:$N$18,EOL_MJ!$C$20:$N$20) + _xlfn.XLOOKUP(B160&amp;"|"&amp;E160,
        Calculate_cap_ener!$L$14:$L$21&amp;"|"&amp;Calculate_cap_ener!$I$14:$I$21,
        Calculate_cap_ener!$BD$14:$BD$21, "Not found", 0))</f>
        <v>5528.3817581999992</v>
      </c>
      <c r="T160" s="8" cm="1">
        <f t="array" ref="T160">_xlfn.SWITCH(K160,200,_xlfn.XLOOKUP(J160,Other!$C$18:$N$18,Other!$C$20:$N$20) + _xlfn.XLOOKUP(B160&amp;"|"&amp;E160,
        Calculate_cap_ener!$L$14:$L$21&amp;"|"&amp;Calculate_cap_ener!$I$14:$I$21,
        Calculate_cap_ener!$BK$14:$BK$21, "Not found", 0), LOOKUP(K160,Other!$C$24:$D$24,Other!$C$26:$D$26) + _xlfn.XLOOKUP(J160,Other!$C$18:$N$18,Other!$C$20:$N$20) + _xlfn.XLOOKUP(B160&amp;"|"&amp;E160,
        Calculate_cap_ener!$L$14:$L$21&amp;"|"&amp;Calculate_cap_ener!$I$14:$I$21,
        Calculate_cap_ener!$BK$14:$BK$21, "Not found", 0))</f>
        <v>73104.755539837191</v>
      </c>
    </row>
    <row r="161" spans="1:20" x14ac:dyDescent="0.25">
      <c r="A161" s="5"/>
      <c r="B161" s="5" t="str">
        <f t="shared" si="21"/>
        <v>Mod-H1</v>
      </c>
      <c r="C161" s="5" t="s">
        <v>38</v>
      </c>
      <c r="D161" s="5" t="str">
        <f t="shared" si="20"/>
        <v>H1</v>
      </c>
      <c r="E161" s="5" t="s">
        <v>3</v>
      </c>
      <c r="F161" s="5" t="s">
        <v>54</v>
      </c>
      <c r="G161" s="5" t="s">
        <v>54</v>
      </c>
      <c r="H161" s="5">
        <v>11.2</v>
      </c>
      <c r="I161" s="5"/>
      <c r="J161" s="5">
        <f t="shared" si="22"/>
        <v>12</v>
      </c>
      <c r="K161" s="5">
        <v>200</v>
      </c>
      <c r="L161" s="8" cm="1">
        <f t="array" ref="L161">_xlfn.SWITCH(K161,200,_xlfn.XLOOKUP(J161,Manufacture_MJ!$C$18:$N$18,Manufacture_MJ!$C$20:$N$20) + _xlfn.XLOOKUP(B161&amp;"|"&amp;E161,
        Calculate_cap_ener!$L$14:$L$21&amp;"|"&amp;Calculate_cap_ener!$I$14:$I$21,
        Calculate_cap_ener!$AI$14:$AI$21, "Not found", 0), LOOKUP(K161,Manufacture_MJ!$C$24:$D$24,Manufacture_MJ!$C$26:$D$26) + _xlfn.XLOOKUP(J161,Manufacture_MJ!$C$18:$N$18,Manufacture_MJ!$C$20:$N$20) + _xlfn.XLOOKUP(B161&amp;"|"&amp;E161,
        Calculate_cap_ener!$L$14:$L$21&amp;"|"&amp;Calculate_cap_ener!$I$14:$I$21,
        Calculate_cap_ener!$AI$14:$AI$21, "Not found", 0))</f>
        <v>103526.16159120918</v>
      </c>
      <c r="M161" s="8">
        <f>LOOKUP(J161,Manufacture_MJ!$C$18:$N$18,Manufacture_MJ!$C$20:$N$20)</f>
        <v>50824.518000459248</v>
      </c>
      <c r="N161" s="8" cm="1">
        <f t="array" ref="N161">_xlfn.SWITCH(K161,200,0,LOOKUP(K161,Manufacture_MJ!$C$24:$D$24,Manufacture_MJ!$C$26:$D$26))</f>
        <v>0</v>
      </c>
      <c r="O161" s="5" cm="1">
        <f t="array" ref="O161">_xlfn.XLOOKUP(B161&amp;"|"&amp;E161,
        Calculate_cap_ener!$L$14:$L$21&amp;"|"&amp;Calculate_cap_ener!$I$14:$I$21,
        Calculate_cap_ener!$AI$14:$AI$21, "Not found", 0)</f>
        <v>52701.643590749925</v>
      </c>
      <c r="P161" s="8">
        <f t="shared" si="23"/>
        <v>103526.16159120918</v>
      </c>
      <c r="Q161" s="8" cm="1">
        <f t="array" ref="Q161">_xlfn.SWITCH(K161,200,_xlfn.XLOOKUP(J161,Distribution_MJ!$C$18:$N$18,Distribution_MJ!$C$20:$N$20) + _xlfn.XLOOKUP(B161&amp;"|"&amp;E161,
        Calculate_cap_ener!$L$14:$L$21&amp;"|"&amp;Calculate_cap_ener!$I$14:$I$21,
        Calculate_cap_ener!$AP$14:$AP$21, "Not found", 0), LOOKUP(K161,Distribution_MJ!$C$24:$D$24,Distribution_MJ!$C$26:$D$26) + _xlfn.XLOOKUP(J161,Distribution_MJ!$C$18:$N$18,Distribution_MJ!$C$20:$N$20) + _xlfn.XLOOKUP(B161&amp;"|"&amp;E161,
        Calculate_cap_ener!$L$14:$L$21&amp;"|"&amp;Calculate_cap_ener!$I$14:$I$21,
        Calculate_cap_ener!$AP$14:$AP$21, "Not found", 0))</f>
        <v>2653.9819584419261</v>
      </c>
      <c r="R161" s="8" cm="1">
        <f t="array" ref="R161">_xlfn.SWITCH(K161,200,_xlfn.XLOOKUP(J161,Installation_MJ!$C$18:$N$18,Installation_MJ!$C$20:$N$20) + _xlfn.XLOOKUP(B161&amp;"|"&amp;E161,
        Calculate_cap_ener!$L$14:$L$21&amp;"|"&amp;Calculate_cap_ener!$I$14:$I$21,
        Calculate_cap_ener!$AW$14:$AW$21, "Not found", 0), LOOKUP(K161,Installation_MJ!$C$24:$D$24,Installation_MJ!$C$26:$D$26) + _xlfn.XLOOKUP(J161,Installation_MJ!$C$18:$N$18,Installation_MJ!$C$20:$N$20) + _xlfn.XLOOKUP(B161&amp;"|"&amp;E161,
        Calculate_cap_ener!$L$14:$L$21&amp;"|"&amp;Calculate_cap_ener!$I$14:$I$21,
        Calculate_cap_ener!$AW$14:$AW$21, "Not found", 0))</f>
        <v>188.62220555520722</v>
      </c>
      <c r="S161" s="8" cm="1">
        <f t="array" ref="S161">_xlfn.SWITCH(K161,200,_xlfn.XLOOKUP(J161,EOL_MJ!$C$18:$N$18,EOL_MJ!$C$20:$N$20) + _xlfn.XLOOKUP(B161&amp;"|"&amp;E161,
        Calculate_cap_ener!$L$14:$L$21&amp;"|"&amp;Calculate_cap_ener!$I$14:$I$21,
        Calculate_cap_ener!$BD$14:$BD$21, "Not found", 0), LOOKUP(K161,EOL_MJ!$C$24:$D$24,EOL_MJ!$C$26:$D$26) + _xlfn.XLOOKUP(J161,EOL_MJ!$C$18:$N$18,EOL_MJ!$C$20:$N$20) + _xlfn.XLOOKUP(B161&amp;"|"&amp;E161,
        Calculate_cap_ener!$L$14:$L$21&amp;"|"&amp;Calculate_cap_ener!$I$14:$I$21,
        Calculate_cap_ener!$BD$14:$BD$21, "Not found", 0))</f>
        <v>5528.3817581999992</v>
      </c>
      <c r="T161" s="8" cm="1">
        <f t="array" ref="T161">_xlfn.SWITCH(K161,200,_xlfn.XLOOKUP(J161,Other!$C$18:$N$18,Other!$C$20:$N$20) + _xlfn.XLOOKUP(B161&amp;"|"&amp;E161,
        Calculate_cap_ener!$L$14:$L$21&amp;"|"&amp;Calculate_cap_ener!$I$14:$I$21,
        Calculate_cap_ener!$BK$14:$BK$21, "Not found", 0), LOOKUP(K161,Other!$C$24:$D$24,Other!$C$26:$D$26) + _xlfn.XLOOKUP(J161,Other!$C$18:$N$18,Other!$C$20:$N$20) + _xlfn.XLOOKUP(B161&amp;"|"&amp;E161,
        Calculate_cap_ener!$L$14:$L$21&amp;"|"&amp;Calculate_cap_ener!$I$14:$I$21,
        Calculate_cap_ener!$BK$14:$BK$21, "Not found", 0))</f>
        <v>73170.424789725614</v>
      </c>
    </row>
    <row r="162" spans="1:20" x14ac:dyDescent="0.25">
      <c r="A162" s="5"/>
      <c r="B162" s="5" t="str">
        <f t="shared" si="21"/>
        <v>Mod-H1</v>
      </c>
      <c r="C162" s="5" t="s">
        <v>38</v>
      </c>
      <c r="D162" s="5" t="str">
        <f t="shared" si="20"/>
        <v>H1</v>
      </c>
      <c r="E162" s="5" t="s">
        <v>3</v>
      </c>
      <c r="F162" s="5" t="s">
        <v>54</v>
      </c>
      <c r="G162" s="5" t="s">
        <v>54</v>
      </c>
      <c r="H162" s="5">
        <v>14</v>
      </c>
      <c r="I162" s="5"/>
      <c r="J162" s="5">
        <f t="shared" si="22"/>
        <v>14</v>
      </c>
      <c r="K162" s="5">
        <v>200</v>
      </c>
      <c r="L162" s="8" cm="1">
        <f t="array" ref="L162">_xlfn.SWITCH(K162,200,_xlfn.XLOOKUP(J162,Manufacture_MJ!$C$18:$N$18,Manufacture_MJ!$C$20:$N$20) + _xlfn.XLOOKUP(B162&amp;"|"&amp;E162,
        Calculate_cap_ener!$L$14:$L$21&amp;"|"&amp;Calculate_cap_ener!$I$14:$I$21,
        Calculate_cap_ener!$AI$14:$AI$21, "Not found", 0), LOOKUP(K162,Manufacture_MJ!$C$24:$D$24,Manufacture_MJ!$C$26:$D$26) + _xlfn.XLOOKUP(J162,Manufacture_MJ!$C$18:$N$18,Manufacture_MJ!$C$20:$N$20) + _xlfn.XLOOKUP(B162&amp;"|"&amp;E162,
        Calculate_cap_ener!$L$14:$L$21&amp;"|"&amp;Calculate_cap_ener!$I$14:$I$21,
        Calculate_cap_ener!$AI$14:$AI$21, "Not found", 0))</f>
        <v>104235.83879180485</v>
      </c>
      <c r="M162" s="8">
        <f>LOOKUP(J162,Manufacture_MJ!$C$18:$N$18,Manufacture_MJ!$C$20:$N$20)</f>
        <v>51534.195201054921</v>
      </c>
      <c r="N162" s="8" cm="1">
        <f t="array" ref="N162">_xlfn.SWITCH(K162,200,0,LOOKUP(K162,Manufacture_MJ!$C$24:$D$24,Manufacture_MJ!$C$26:$D$26))</f>
        <v>0</v>
      </c>
      <c r="O162" s="5" cm="1">
        <f t="array" ref="O162">_xlfn.XLOOKUP(B162&amp;"|"&amp;E162,
        Calculate_cap_ener!$L$14:$L$21&amp;"|"&amp;Calculate_cap_ener!$I$14:$I$21,
        Calculate_cap_ener!$AI$14:$AI$21, "Not found", 0)</f>
        <v>52701.643590749925</v>
      </c>
      <c r="P162" s="8">
        <f t="shared" si="23"/>
        <v>104235.83879180485</v>
      </c>
      <c r="Q162" s="8" cm="1">
        <f t="array" ref="Q162">_xlfn.SWITCH(K162,200,_xlfn.XLOOKUP(J162,Distribution_MJ!$C$18:$N$18,Distribution_MJ!$C$20:$N$20) + _xlfn.XLOOKUP(B162&amp;"|"&amp;E162,
        Calculate_cap_ener!$L$14:$L$21&amp;"|"&amp;Calculate_cap_ener!$I$14:$I$21,
        Calculate_cap_ener!$AP$14:$AP$21, "Not found", 0), LOOKUP(K162,Distribution_MJ!$C$24:$D$24,Distribution_MJ!$C$26:$D$26) + _xlfn.XLOOKUP(J162,Distribution_MJ!$C$18:$N$18,Distribution_MJ!$C$20:$N$20) + _xlfn.XLOOKUP(B162&amp;"|"&amp;E162,
        Calculate_cap_ener!$L$14:$L$21&amp;"|"&amp;Calculate_cap_ener!$I$14:$I$21,
        Calculate_cap_ener!$AP$14:$AP$21, "Not found", 0))</f>
        <v>2719.3905447122261</v>
      </c>
      <c r="R162" s="8" cm="1">
        <f t="array" ref="R162">_xlfn.SWITCH(K162,200,_xlfn.XLOOKUP(J162,Installation_MJ!$C$18:$N$18,Installation_MJ!$C$20:$N$20) + _xlfn.XLOOKUP(B162&amp;"|"&amp;E162,
        Calculate_cap_ener!$L$14:$L$21&amp;"|"&amp;Calculate_cap_ener!$I$14:$I$21,
        Calculate_cap_ener!$AW$14:$AW$21, "Not found", 0), LOOKUP(K162,Installation_MJ!$C$24:$D$24,Installation_MJ!$C$26:$D$26) + _xlfn.XLOOKUP(J162,Installation_MJ!$C$18:$N$18,Installation_MJ!$C$20:$N$20) + _xlfn.XLOOKUP(B162&amp;"|"&amp;E162,
        Calculate_cap_ener!$L$14:$L$21&amp;"|"&amp;Calculate_cap_ener!$I$14:$I$21,
        Calculate_cap_ener!$AW$14:$AW$21, "Not found", 0))</f>
        <v>193.54036207525172</v>
      </c>
      <c r="S162" s="8" cm="1">
        <f t="array" ref="S162">_xlfn.SWITCH(K162,200,_xlfn.XLOOKUP(J162,EOL_MJ!$C$18:$N$18,EOL_MJ!$C$20:$N$20) + _xlfn.XLOOKUP(B162&amp;"|"&amp;E162,
        Calculate_cap_ener!$L$14:$L$21&amp;"|"&amp;Calculate_cap_ener!$I$14:$I$21,
        Calculate_cap_ener!$BD$14:$BD$21, "Not found", 0), LOOKUP(K162,EOL_MJ!$C$24:$D$24,EOL_MJ!$C$26:$D$26) + _xlfn.XLOOKUP(J162,EOL_MJ!$C$18:$N$18,EOL_MJ!$C$20:$N$20) + _xlfn.XLOOKUP(B162&amp;"|"&amp;E162,
        Calculate_cap_ener!$L$14:$L$21&amp;"|"&amp;Calculate_cap_ener!$I$14:$I$21,
        Calculate_cap_ener!$BD$14:$BD$21, "Not found", 0))</f>
        <v>5528.3817581999992</v>
      </c>
      <c r="T162" s="8" cm="1">
        <f t="array" ref="T162">_xlfn.SWITCH(K162,200,_xlfn.XLOOKUP(J162,Other!$C$18:$N$18,Other!$C$20:$N$20) + _xlfn.XLOOKUP(B162&amp;"|"&amp;E162,
        Calculate_cap_ener!$L$14:$L$21&amp;"|"&amp;Calculate_cap_ener!$I$14:$I$21,
        Calculate_cap_ener!$BK$14:$BK$21, "Not found", 0), LOOKUP(K162,Other!$C$24:$D$24,Other!$C$26:$D$26) + _xlfn.XLOOKUP(J162,Other!$C$18:$N$18,Other!$C$20:$N$20) + _xlfn.XLOOKUP(B162&amp;"|"&amp;E162,
        Calculate_cap_ener!$L$14:$L$21&amp;"|"&amp;Calculate_cap_ener!$I$14:$I$21,
        Calculate_cap_ener!$BK$14:$BK$21, "Not found", 0))</f>
        <v>73214.204289651228</v>
      </c>
    </row>
    <row r="163" spans="1:20" x14ac:dyDescent="0.25">
      <c r="A163" s="5"/>
      <c r="B163" s="5" t="str">
        <f t="shared" si="21"/>
        <v>Mod-H1</v>
      </c>
      <c r="C163" s="5" t="s">
        <v>38</v>
      </c>
      <c r="D163" s="5" t="str">
        <f t="shared" si="20"/>
        <v>H1</v>
      </c>
      <c r="E163" s="5" t="s">
        <v>3</v>
      </c>
      <c r="F163" s="5" t="s">
        <v>55</v>
      </c>
      <c r="G163" s="5" t="s">
        <v>55</v>
      </c>
      <c r="H163" s="5">
        <v>5</v>
      </c>
      <c r="I163" s="5"/>
      <c r="J163" s="5">
        <f t="shared" si="22"/>
        <v>5</v>
      </c>
      <c r="K163" s="5">
        <v>500</v>
      </c>
      <c r="L163" s="8" cm="1">
        <f t="array" ref="L163">_xlfn.SWITCH(K163,200,_xlfn.XLOOKUP(J163,Manufacture_MJ!$C$18:$N$18,Manufacture_MJ!$C$20:$N$20) + _xlfn.XLOOKUP(B163&amp;"|"&amp;E163,
        Calculate_cap_ener!$L$14:$L$21&amp;"|"&amp;Calculate_cap_ener!$I$14:$I$21,
        Calculate_cap_ener!$AI$14:$AI$21, "Not found", 0), LOOKUP(K163,Manufacture_MJ!$C$24:$D$24,Manufacture_MJ!$C$26:$D$26) + _xlfn.XLOOKUP(J163,Manufacture_MJ!$C$18:$N$18,Manufacture_MJ!$C$20:$N$20) + _xlfn.XLOOKUP(B163&amp;"|"&amp;E163,
        Calculate_cap_ener!$L$14:$L$21&amp;"|"&amp;Calculate_cap_ener!$I$14:$I$21,
        Calculate_cap_ener!$AI$14:$AI$21, "Not found", 0))</f>
        <v>111655.88229821512</v>
      </c>
      <c r="M163" s="8">
        <f>LOOKUP(J163,Manufacture_MJ!$C$18:$N$18,Manufacture_MJ!$C$20:$N$20)</f>
        <v>48340.647798374281</v>
      </c>
      <c r="N163" s="8" cm="1">
        <f t="array" ref="N163">_xlfn.SWITCH(K163,200,0,LOOKUP(K163,Manufacture_MJ!$C$24:$D$24,Manufacture_MJ!$C$26:$D$26))</f>
        <v>10613.59090909091</v>
      </c>
      <c r="O163" s="5" cm="1">
        <f t="array" ref="O163">_xlfn.XLOOKUP(B163&amp;"|"&amp;E163,
        Calculate_cap_ener!$L$14:$L$21&amp;"|"&amp;Calculate_cap_ener!$I$14:$I$21,
        Calculate_cap_ener!$AI$14:$AI$21, "Not found", 0)</f>
        <v>52701.643590749925</v>
      </c>
      <c r="P163" s="8">
        <f t="shared" si="23"/>
        <v>111655.88229821512</v>
      </c>
      <c r="Q163" s="8" cm="1">
        <f t="array" ref="Q163">_xlfn.SWITCH(K163,200,_xlfn.XLOOKUP(J163,Distribution_MJ!$C$18:$N$18,Distribution_MJ!$C$20:$N$20) + _xlfn.XLOOKUP(B163&amp;"|"&amp;E163,
        Calculate_cap_ener!$L$14:$L$21&amp;"|"&amp;Calculate_cap_ener!$I$14:$I$21,
        Calculate_cap_ener!$AP$14:$AP$21, "Not found", 0), LOOKUP(K163,Distribution_MJ!$C$24:$D$24,Distribution_MJ!$C$26:$D$26) + _xlfn.XLOOKUP(J163,Distribution_MJ!$C$18:$N$18,Distribution_MJ!$C$20:$N$20) + _xlfn.XLOOKUP(B163&amp;"|"&amp;E163,
        Calculate_cap_ener!$L$14:$L$21&amp;"|"&amp;Calculate_cap_ener!$I$14:$I$21,
        Calculate_cap_ener!$AP$14:$AP$21, "Not found", 0))</f>
        <v>2611.9058813208767</v>
      </c>
      <c r="R163" s="8" cm="1">
        <f t="array" ref="R163">_xlfn.SWITCH(K163,200,_xlfn.XLOOKUP(J163,Installation_MJ!$C$18:$N$18,Installation_MJ!$C$20:$N$20) + _xlfn.XLOOKUP(B163&amp;"|"&amp;E163,
        Calculate_cap_ener!$L$14:$L$21&amp;"|"&amp;Calculate_cap_ener!$I$14:$I$21,
        Calculate_cap_ener!$AW$14:$AW$21, "Not found", 0), LOOKUP(K163,Installation_MJ!$C$24:$D$24,Installation_MJ!$C$26:$D$26) + _xlfn.XLOOKUP(J163,Installation_MJ!$C$18:$N$18,Installation_MJ!$C$20:$N$20) + _xlfn.XLOOKUP(B163&amp;"|"&amp;E163,
        Calculate_cap_ener!$L$14:$L$21&amp;"|"&amp;Calculate_cap_ener!$I$14:$I$21,
        Calculate_cap_ener!$AW$14:$AW$21, "Not found", 0))</f>
        <v>192.40865773505178</v>
      </c>
      <c r="S163" s="8" cm="1">
        <f t="array" ref="S163">_xlfn.SWITCH(K163,200,_xlfn.XLOOKUP(J163,EOL_MJ!$C$18:$N$18,EOL_MJ!$C$20:$N$20) + _xlfn.XLOOKUP(B163&amp;"|"&amp;E163,
        Calculate_cap_ener!$L$14:$L$21&amp;"|"&amp;Calculate_cap_ener!$I$14:$I$21,
        Calculate_cap_ener!$BD$14:$BD$21, "Not found", 0), LOOKUP(K163,EOL_MJ!$C$24:$D$24,EOL_MJ!$C$26:$D$26) + _xlfn.XLOOKUP(J163,EOL_MJ!$C$18:$N$18,EOL_MJ!$C$20:$N$20) + _xlfn.XLOOKUP(B163&amp;"|"&amp;E163,
        Calculate_cap_ener!$L$14:$L$21&amp;"|"&amp;Calculate_cap_ener!$I$14:$I$21,
        Calculate_cap_ener!$BD$14:$BD$21, "Not found", 0))</f>
        <v>16027.427212745453</v>
      </c>
      <c r="T163" s="8" cm="1">
        <f t="array" ref="T163">_xlfn.SWITCH(K163,200,_xlfn.XLOOKUP(J163,Other!$C$18:$N$18,Other!$C$20:$N$20) + _xlfn.XLOOKUP(B163&amp;"|"&amp;E163,
        Calculate_cap_ener!$L$14:$L$21&amp;"|"&amp;Calculate_cap_ener!$I$14:$I$21,
        Calculate_cap_ener!$BK$14:$BK$21, "Not found", 0), LOOKUP(K163,Other!$C$24:$D$24,Other!$C$26:$D$26) + _xlfn.XLOOKUP(J163,Other!$C$18:$N$18,Other!$C$20:$N$20) + _xlfn.XLOOKUP(B163&amp;"|"&amp;E163,
        Calculate_cap_ener!$L$14:$L$21&amp;"|"&amp;Calculate_cap_ener!$I$14:$I$21,
        Calculate_cap_ener!$BK$14:$BK$21, "Not found", 0))</f>
        <v>73017.196539985962</v>
      </c>
    </row>
    <row r="164" spans="1:20" x14ac:dyDescent="0.25">
      <c r="A164" s="5"/>
      <c r="B164" s="5" t="str">
        <f t="shared" si="21"/>
        <v>Mod-H1</v>
      </c>
      <c r="C164" s="5" t="s">
        <v>38</v>
      </c>
      <c r="D164" s="5" t="str">
        <f t="shared" si="20"/>
        <v>H1</v>
      </c>
      <c r="E164" s="5" t="s">
        <v>3</v>
      </c>
      <c r="F164" s="5" t="s">
        <v>55</v>
      </c>
      <c r="G164" s="5" t="s">
        <v>55</v>
      </c>
      <c r="H164" s="5">
        <v>6</v>
      </c>
      <c r="I164" s="5"/>
      <c r="J164" s="5">
        <f t="shared" si="22"/>
        <v>6</v>
      </c>
      <c r="K164" s="5">
        <v>500</v>
      </c>
      <c r="L164" s="8" cm="1">
        <f t="array" ref="L164">_xlfn.SWITCH(K164,200,_xlfn.XLOOKUP(J164,Manufacture_MJ!$C$18:$N$18,Manufacture_MJ!$C$20:$N$20) + _xlfn.XLOOKUP(B164&amp;"|"&amp;E164,
        Calculate_cap_ener!$L$14:$L$21&amp;"|"&amp;Calculate_cap_ener!$I$14:$I$21,
        Calculate_cap_ener!$AI$14:$AI$21, "Not found", 0), LOOKUP(K164,Manufacture_MJ!$C$24:$D$24,Manufacture_MJ!$C$26:$D$26) + _xlfn.XLOOKUP(J164,Manufacture_MJ!$C$18:$N$18,Manufacture_MJ!$C$20:$N$20) + _xlfn.XLOOKUP(B164&amp;"|"&amp;E164,
        Calculate_cap_ener!$L$14:$L$21&amp;"|"&amp;Calculate_cap_ener!$I$14:$I$21,
        Calculate_cap_ener!$AI$14:$AI$21, "Not found", 0))</f>
        <v>112010.72089851295</v>
      </c>
      <c r="M164" s="8">
        <f>LOOKUP(J164,Manufacture_MJ!$C$18:$N$18,Manufacture_MJ!$C$20:$N$20)</f>
        <v>48695.486398672118</v>
      </c>
      <c r="N164" s="8" cm="1">
        <f t="array" ref="N164">_xlfn.SWITCH(K164,200,0,LOOKUP(K164,Manufacture_MJ!$C$24:$D$24,Manufacture_MJ!$C$26:$D$26))</f>
        <v>10613.59090909091</v>
      </c>
      <c r="O164" s="5" cm="1">
        <f t="array" ref="O164">_xlfn.XLOOKUP(B164&amp;"|"&amp;E164,
        Calculate_cap_ener!$L$14:$L$21&amp;"|"&amp;Calculate_cap_ener!$I$14:$I$21,
        Calculate_cap_ener!$AI$14:$AI$21, "Not found", 0)</f>
        <v>52701.643590749925</v>
      </c>
      <c r="P164" s="8">
        <f t="shared" si="23"/>
        <v>112010.72089851295</v>
      </c>
      <c r="Q164" s="8" cm="1">
        <f t="array" ref="Q164">_xlfn.SWITCH(K164,200,_xlfn.XLOOKUP(J164,Distribution_MJ!$C$18:$N$18,Distribution_MJ!$C$20:$N$20) + _xlfn.XLOOKUP(B164&amp;"|"&amp;E164,
        Calculate_cap_ener!$L$14:$L$21&amp;"|"&amp;Calculate_cap_ener!$I$14:$I$21,
        Calculate_cap_ener!$AP$14:$AP$21, "Not found", 0), LOOKUP(K164,Distribution_MJ!$C$24:$D$24,Distribution_MJ!$C$26:$D$26) + _xlfn.XLOOKUP(J164,Distribution_MJ!$C$18:$N$18,Distribution_MJ!$C$20:$N$20) + _xlfn.XLOOKUP(B164&amp;"|"&amp;E164,
        Calculate_cap_ener!$L$14:$L$21&amp;"|"&amp;Calculate_cap_ener!$I$14:$I$21,
        Calculate_cap_ener!$AP$14:$AP$21, "Not found", 0))</f>
        <v>2644.6101744560265</v>
      </c>
      <c r="R164" s="8" cm="1">
        <f t="array" ref="R164">_xlfn.SWITCH(K164,200,_xlfn.XLOOKUP(J164,Installation_MJ!$C$18:$N$18,Installation_MJ!$C$20:$N$20) + _xlfn.XLOOKUP(B164&amp;"|"&amp;E164,
        Calculate_cap_ener!$L$14:$L$21&amp;"|"&amp;Calculate_cap_ener!$I$14:$I$21,
        Calculate_cap_ener!$AW$14:$AW$21, "Not found", 0), LOOKUP(K164,Installation_MJ!$C$24:$D$24,Installation_MJ!$C$26:$D$26) + _xlfn.XLOOKUP(J164,Installation_MJ!$C$18:$N$18,Installation_MJ!$C$20:$N$20) + _xlfn.XLOOKUP(B164&amp;"|"&amp;E164,
        Calculate_cap_ener!$L$14:$L$21&amp;"|"&amp;Calculate_cap_ener!$I$14:$I$21,
        Calculate_cap_ener!$AW$14:$AW$21, "Not found", 0))</f>
        <v>194.86773599507404</v>
      </c>
      <c r="S164" s="8" cm="1">
        <f t="array" ref="S164">_xlfn.SWITCH(K164,200,_xlfn.XLOOKUP(J164,EOL_MJ!$C$18:$N$18,EOL_MJ!$C$20:$N$20) + _xlfn.XLOOKUP(B164&amp;"|"&amp;E164,
        Calculate_cap_ener!$L$14:$L$21&amp;"|"&amp;Calculate_cap_ener!$I$14:$I$21,
        Calculate_cap_ener!$BD$14:$BD$21, "Not found", 0), LOOKUP(K164,EOL_MJ!$C$24:$D$24,EOL_MJ!$C$26:$D$26) + _xlfn.XLOOKUP(J164,EOL_MJ!$C$18:$N$18,EOL_MJ!$C$20:$N$20) + _xlfn.XLOOKUP(B164&amp;"|"&amp;E164,
        Calculate_cap_ener!$L$14:$L$21&amp;"|"&amp;Calculate_cap_ener!$I$14:$I$21,
        Calculate_cap_ener!$BD$14:$BD$21, "Not found", 0))</f>
        <v>16027.427212745453</v>
      </c>
      <c r="T164" s="8" cm="1">
        <f t="array" ref="T164">_xlfn.SWITCH(K164,200,_xlfn.XLOOKUP(J164,Other!$C$18:$N$18,Other!$C$20:$N$20) + _xlfn.XLOOKUP(B164&amp;"|"&amp;E164,
        Calculate_cap_ener!$L$14:$L$21&amp;"|"&amp;Calculate_cap_ener!$I$14:$I$21,
        Calculate_cap_ener!$BK$14:$BK$21, "Not found", 0), LOOKUP(K164,Other!$C$24:$D$24,Other!$C$26:$D$26) + _xlfn.XLOOKUP(J164,Other!$C$18:$N$18,Other!$C$20:$N$20) + _xlfn.XLOOKUP(B164&amp;"|"&amp;E164,
        Calculate_cap_ener!$L$14:$L$21&amp;"|"&amp;Calculate_cap_ener!$I$14:$I$21,
        Calculate_cap_ener!$BK$14:$BK$21, "Not found", 0))</f>
        <v>73039.086289948769</v>
      </c>
    </row>
    <row r="165" spans="1:20" x14ac:dyDescent="0.25">
      <c r="A165" s="5"/>
      <c r="B165" s="5" t="str">
        <f t="shared" si="21"/>
        <v>Mod-H1</v>
      </c>
      <c r="C165" s="5" t="s">
        <v>38</v>
      </c>
      <c r="D165" s="5" t="str">
        <f t="shared" si="20"/>
        <v>H1</v>
      </c>
      <c r="E165" s="5" t="s">
        <v>3</v>
      </c>
      <c r="F165" s="5" t="s">
        <v>55</v>
      </c>
      <c r="G165" s="5" t="s">
        <v>55</v>
      </c>
      <c r="H165" s="5">
        <v>8.5</v>
      </c>
      <c r="I165" s="5"/>
      <c r="J165" s="5">
        <f t="shared" si="22"/>
        <v>9</v>
      </c>
      <c r="K165" s="5">
        <v>500</v>
      </c>
      <c r="L165" s="8" cm="1">
        <f t="array" ref="L165">_xlfn.SWITCH(K165,200,_xlfn.XLOOKUP(J165,Manufacture_MJ!$C$18:$N$18,Manufacture_MJ!$C$20:$N$20) + _xlfn.XLOOKUP(B165&amp;"|"&amp;E165,
        Calculate_cap_ener!$L$14:$L$21&amp;"|"&amp;Calculate_cap_ener!$I$14:$I$21,
        Calculate_cap_ener!$AI$14:$AI$21, "Not found", 0), LOOKUP(K165,Manufacture_MJ!$C$24:$D$24,Manufacture_MJ!$C$26:$D$26) + _xlfn.XLOOKUP(J165,Manufacture_MJ!$C$18:$N$18,Manufacture_MJ!$C$20:$N$20) + _xlfn.XLOOKUP(B165&amp;"|"&amp;E165,
        Calculate_cap_ener!$L$14:$L$21&amp;"|"&amp;Calculate_cap_ener!$I$14:$I$21,
        Calculate_cap_ener!$AI$14:$AI$21, "Not found", 0))</f>
        <v>113075.23669940647</v>
      </c>
      <c r="M165" s="8">
        <f>LOOKUP(J165,Manufacture_MJ!$C$18:$N$18,Manufacture_MJ!$C$20:$N$20)</f>
        <v>49760.002199565621</v>
      </c>
      <c r="N165" s="8" cm="1">
        <f t="array" ref="N165">_xlfn.SWITCH(K165,200,0,LOOKUP(K165,Manufacture_MJ!$C$24:$D$24,Manufacture_MJ!$C$26:$D$26))</f>
        <v>10613.59090909091</v>
      </c>
      <c r="O165" s="5" cm="1">
        <f t="array" ref="O165">_xlfn.XLOOKUP(B165&amp;"|"&amp;E165,
        Calculate_cap_ener!$L$14:$L$21&amp;"|"&amp;Calculate_cap_ener!$I$14:$I$21,
        Calculate_cap_ener!$AI$14:$AI$21, "Not found", 0)</f>
        <v>52701.643590749925</v>
      </c>
      <c r="P165" s="8">
        <f t="shared" si="23"/>
        <v>113075.23669940647</v>
      </c>
      <c r="Q165" s="8" cm="1">
        <f t="array" ref="Q165">_xlfn.SWITCH(K165,200,_xlfn.XLOOKUP(J165,Distribution_MJ!$C$18:$N$18,Distribution_MJ!$C$20:$N$20) + _xlfn.XLOOKUP(B165&amp;"|"&amp;E165,
        Calculate_cap_ener!$L$14:$L$21&amp;"|"&amp;Calculate_cap_ener!$I$14:$I$21,
        Calculate_cap_ener!$AP$14:$AP$21, "Not found", 0), LOOKUP(K165,Distribution_MJ!$C$24:$D$24,Distribution_MJ!$C$26:$D$26) + _xlfn.XLOOKUP(J165,Distribution_MJ!$C$18:$N$18,Distribution_MJ!$C$20:$N$20) + _xlfn.XLOOKUP(B165&amp;"|"&amp;E165,
        Calculate_cap_ener!$L$14:$L$21&amp;"|"&amp;Calculate_cap_ener!$I$14:$I$21,
        Calculate_cap_ener!$AP$14:$AP$21, "Not found", 0))</f>
        <v>2742.7230538614763</v>
      </c>
      <c r="R165" s="8" cm="1">
        <f t="array" ref="R165">_xlfn.SWITCH(K165,200,_xlfn.XLOOKUP(J165,Installation_MJ!$C$18:$N$18,Installation_MJ!$C$20:$N$20) + _xlfn.XLOOKUP(B165&amp;"|"&amp;E165,
        Calculate_cap_ener!$L$14:$L$21&amp;"|"&amp;Calculate_cap_ener!$I$14:$I$21,
        Calculate_cap_ener!$AW$14:$AW$21, "Not found", 0), LOOKUP(K165,Installation_MJ!$C$24:$D$24,Installation_MJ!$C$26:$D$26) + _xlfn.XLOOKUP(J165,Installation_MJ!$C$18:$N$18,Installation_MJ!$C$20:$N$20) + _xlfn.XLOOKUP(B165&amp;"|"&amp;E165,
        Calculate_cap_ener!$L$14:$L$21&amp;"|"&amp;Calculate_cap_ener!$I$14:$I$21,
        Calculate_cap_ener!$AW$14:$AW$21, "Not found", 0))</f>
        <v>202.24497077514053</v>
      </c>
      <c r="S165" s="8" cm="1">
        <f t="array" ref="S165">_xlfn.SWITCH(K165,200,_xlfn.XLOOKUP(J165,EOL_MJ!$C$18:$N$18,EOL_MJ!$C$20:$N$20) + _xlfn.XLOOKUP(B165&amp;"|"&amp;E165,
        Calculate_cap_ener!$L$14:$L$21&amp;"|"&amp;Calculate_cap_ener!$I$14:$I$21,
        Calculate_cap_ener!$BD$14:$BD$21, "Not found", 0), LOOKUP(K165,EOL_MJ!$C$24:$D$24,EOL_MJ!$C$26:$D$26) + _xlfn.XLOOKUP(J165,EOL_MJ!$C$18:$N$18,EOL_MJ!$C$20:$N$20) + _xlfn.XLOOKUP(B165&amp;"|"&amp;E165,
        Calculate_cap_ener!$L$14:$L$21&amp;"|"&amp;Calculate_cap_ener!$I$14:$I$21,
        Calculate_cap_ener!$BD$14:$BD$21, "Not found", 0))</f>
        <v>16027.427212745453</v>
      </c>
      <c r="T165" s="8" cm="1">
        <f t="array" ref="T165">_xlfn.SWITCH(K165,200,_xlfn.XLOOKUP(J165,Other!$C$18:$N$18,Other!$C$20:$N$20) + _xlfn.XLOOKUP(B165&amp;"|"&amp;E165,
        Calculate_cap_ener!$L$14:$L$21&amp;"|"&amp;Calculate_cap_ener!$I$14:$I$21,
        Calculate_cap_ener!$BK$14:$BK$21, "Not found", 0), LOOKUP(K165,Other!$C$24:$D$24,Other!$C$26:$D$26) + _xlfn.XLOOKUP(J165,Other!$C$18:$N$18,Other!$C$20:$N$20) + _xlfn.XLOOKUP(B165&amp;"|"&amp;E165,
        Calculate_cap_ener!$L$14:$L$21&amp;"|"&amp;Calculate_cap_ener!$I$14:$I$21,
        Calculate_cap_ener!$BK$14:$BK$21, "Not found", 0))</f>
        <v>73104.755539837191</v>
      </c>
    </row>
    <row r="166" spans="1:20" x14ac:dyDescent="0.25">
      <c r="A166" s="5"/>
      <c r="B166" s="5" t="str">
        <f t="shared" si="21"/>
        <v>Mod-H1</v>
      </c>
      <c r="C166" s="5" t="s">
        <v>38</v>
      </c>
      <c r="D166" s="5" t="str">
        <f t="shared" si="20"/>
        <v>H1</v>
      </c>
      <c r="E166" s="5" t="s">
        <v>3</v>
      </c>
      <c r="F166" s="5" t="s">
        <v>55</v>
      </c>
      <c r="G166" s="5" t="s">
        <v>55</v>
      </c>
      <c r="H166" s="5">
        <v>14</v>
      </c>
      <c r="I166" s="5"/>
      <c r="J166" s="5">
        <f t="shared" si="22"/>
        <v>14</v>
      </c>
      <c r="K166" s="5">
        <v>500</v>
      </c>
      <c r="L166" s="8" cm="1">
        <f t="array" ref="L166">_xlfn.SWITCH(K166,200,_xlfn.XLOOKUP(J166,Manufacture_MJ!$C$18:$N$18,Manufacture_MJ!$C$20:$N$20) + _xlfn.XLOOKUP(B166&amp;"|"&amp;E166,
        Calculate_cap_ener!$L$14:$L$21&amp;"|"&amp;Calculate_cap_ener!$I$14:$I$21,
        Calculate_cap_ener!$AI$14:$AI$21, "Not found", 0), LOOKUP(K166,Manufacture_MJ!$C$24:$D$24,Manufacture_MJ!$C$26:$D$26) + _xlfn.XLOOKUP(J166,Manufacture_MJ!$C$18:$N$18,Manufacture_MJ!$C$20:$N$20) + _xlfn.XLOOKUP(B166&amp;"|"&amp;E166,
        Calculate_cap_ener!$L$14:$L$21&amp;"|"&amp;Calculate_cap_ener!$I$14:$I$21,
        Calculate_cap_ener!$AI$14:$AI$21, "Not found", 0))</f>
        <v>114849.42970089577</v>
      </c>
      <c r="M166" s="8">
        <f>LOOKUP(J166,Manufacture_MJ!$C$18:$N$18,Manufacture_MJ!$C$20:$N$20)</f>
        <v>51534.195201054921</v>
      </c>
      <c r="N166" s="8" cm="1">
        <f t="array" ref="N166">_xlfn.SWITCH(K166,200,0,LOOKUP(K166,Manufacture_MJ!$C$24:$D$24,Manufacture_MJ!$C$26:$D$26))</f>
        <v>10613.59090909091</v>
      </c>
      <c r="O166" s="5" cm="1">
        <f t="array" ref="O166">_xlfn.XLOOKUP(B166&amp;"|"&amp;E166,
        Calculate_cap_ener!$L$14:$L$21&amp;"|"&amp;Calculate_cap_ener!$I$14:$I$21,
        Calculate_cap_ener!$AI$14:$AI$21, "Not found", 0)</f>
        <v>52701.643590749925</v>
      </c>
      <c r="P166" s="8">
        <f t="shared" si="23"/>
        <v>114849.42970089577</v>
      </c>
      <c r="Q166" s="8" cm="1">
        <f t="array" ref="Q166">_xlfn.SWITCH(K166,200,_xlfn.XLOOKUP(J166,Distribution_MJ!$C$18:$N$18,Distribution_MJ!$C$20:$N$20) + _xlfn.XLOOKUP(B166&amp;"|"&amp;E166,
        Calculate_cap_ener!$L$14:$L$21&amp;"|"&amp;Calculate_cap_ener!$I$14:$I$21,
        Calculate_cap_ener!$AP$14:$AP$21, "Not found", 0), LOOKUP(K166,Distribution_MJ!$C$24:$D$24,Distribution_MJ!$C$26:$D$26) + _xlfn.XLOOKUP(J166,Distribution_MJ!$C$18:$N$18,Distribution_MJ!$C$20:$N$20) + _xlfn.XLOOKUP(B166&amp;"|"&amp;E166,
        Calculate_cap_ener!$L$14:$L$21&amp;"|"&amp;Calculate_cap_ener!$I$14:$I$21,
        Calculate_cap_ener!$AP$14:$AP$21, "Not found", 0))</f>
        <v>2906.2445195372261</v>
      </c>
      <c r="R166" s="8" cm="1">
        <f t="array" ref="R166">_xlfn.SWITCH(K166,200,_xlfn.XLOOKUP(J166,Installation_MJ!$C$18:$N$18,Installation_MJ!$C$20:$N$20) + _xlfn.XLOOKUP(B166&amp;"|"&amp;E166,
        Calculate_cap_ener!$L$14:$L$21&amp;"|"&amp;Calculate_cap_ener!$I$14:$I$21,
        Calculate_cap_ener!$AW$14:$AW$21, "Not found", 0), LOOKUP(K166,Installation_MJ!$C$24:$D$24,Installation_MJ!$C$26:$D$26) + _xlfn.XLOOKUP(J166,Installation_MJ!$C$18:$N$18,Installation_MJ!$C$20:$N$20) + _xlfn.XLOOKUP(B166&amp;"|"&amp;E166,
        Calculate_cap_ener!$L$14:$L$21&amp;"|"&amp;Calculate_cap_ener!$I$14:$I$21,
        Calculate_cap_ener!$AW$14:$AW$21, "Not found", 0))</f>
        <v>214.54036207525172</v>
      </c>
      <c r="S166" s="8" cm="1">
        <f t="array" ref="S166">_xlfn.SWITCH(K166,200,_xlfn.XLOOKUP(J166,EOL_MJ!$C$18:$N$18,EOL_MJ!$C$20:$N$20) + _xlfn.XLOOKUP(B166&amp;"|"&amp;E166,
        Calculate_cap_ener!$L$14:$L$21&amp;"|"&amp;Calculate_cap_ener!$I$14:$I$21,
        Calculate_cap_ener!$BD$14:$BD$21, "Not found", 0), LOOKUP(K166,EOL_MJ!$C$24:$D$24,EOL_MJ!$C$26:$D$26) + _xlfn.XLOOKUP(J166,EOL_MJ!$C$18:$N$18,EOL_MJ!$C$20:$N$20) + _xlfn.XLOOKUP(B166&amp;"|"&amp;E166,
        Calculate_cap_ener!$L$14:$L$21&amp;"|"&amp;Calculate_cap_ener!$I$14:$I$21,
        Calculate_cap_ener!$BD$14:$BD$21, "Not found", 0))</f>
        <v>16027.427212745453</v>
      </c>
      <c r="T166" s="8" cm="1">
        <f t="array" ref="T166">_xlfn.SWITCH(K166,200,_xlfn.XLOOKUP(J166,Other!$C$18:$N$18,Other!$C$20:$N$20) + _xlfn.XLOOKUP(B166&amp;"|"&amp;E166,
        Calculate_cap_ener!$L$14:$L$21&amp;"|"&amp;Calculate_cap_ener!$I$14:$I$21,
        Calculate_cap_ener!$BK$14:$BK$21, "Not found", 0), LOOKUP(K166,Other!$C$24:$D$24,Other!$C$26:$D$26) + _xlfn.XLOOKUP(J166,Other!$C$18:$N$18,Other!$C$20:$N$20) + _xlfn.XLOOKUP(B166&amp;"|"&amp;E166,
        Calculate_cap_ener!$L$14:$L$21&amp;"|"&amp;Calculate_cap_ener!$I$14:$I$21,
        Calculate_cap_ener!$BK$14:$BK$21, "Not found", 0))</f>
        <v>73214.204289651228</v>
      </c>
    </row>
    <row r="167" spans="1:20" x14ac:dyDescent="0.25">
      <c r="A167" s="5"/>
      <c r="B167" s="5" t="str">
        <f t="shared" si="21"/>
        <v>Mod-H1</v>
      </c>
      <c r="C167" s="5" t="s">
        <v>38</v>
      </c>
      <c r="D167" s="5" t="str">
        <f t="shared" si="20"/>
        <v>H1</v>
      </c>
      <c r="E167" s="5" t="s">
        <v>3</v>
      </c>
      <c r="F167" s="5" t="s">
        <v>57</v>
      </c>
      <c r="G167" s="5" t="s">
        <v>57</v>
      </c>
      <c r="H167" s="5">
        <v>5</v>
      </c>
      <c r="I167" s="5"/>
      <c r="J167" s="5">
        <f t="shared" si="22"/>
        <v>5</v>
      </c>
      <c r="K167" s="5">
        <v>1000</v>
      </c>
      <c r="L167" s="8" cm="1">
        <f t="array" ref="L167">_xlfn.SWITCH(K167,200,_xlfn.XLOOKUP(J167,Manufacture_MJ!$C$18:$N$18,Manufacture_MJ!$C$20:$N$20) + _xlfn.XLOOKUP(B167&amp;"|"&amp;E167,
        Calculate_cap_ener!$L$14:$L$21&amp;"|"&amp;Calculate_cap_ener!$I$14:$I$21,
        Calculate_cap_ener!$AI$14:$AI$21, "Not found", 0), LOOKUP(K167,Manufacture_MJ!$C$24:$D$24,Manufacture_MJ!$C$26:$D$26) + _xlfn.XLOOKUP(J167,Manufacture_MJ!$C$18:$N$18,Manufacture_MJ!$C$20:$N$20) + _xlfn.XLOOKUP(B167&amp;"|"&amp;E167,
        Calculate_cap_ener!$L$14:$L$21&amp;"|"&amp;Calculate_cap_ener!$I$14:$I$21,
        Calculate_cap_ener!$AI$14:$AI$21, "Not found", 0))</f>
        <v>121615.60957094238</v>
      </c>
      <c r="M167" s="8">
        <f>LOOKUP(J167,Manufacture_MJ!$C$18:$N$18,Manufacture_MJ!$C$20:$N$20)</f>
        <v>48340.647798374281</v>
      </c>
      <c r="N167" s="8" cm="1">
        <f t="array" ref="N167">_xlfn.SWITCH(K167,200,0,LOOKUP(K167,Manufacture_MJ!$C$24:$D$24,Manufacture_MJ!$C$26:$D$26))</f>
        <v>20573.31818181818</v>
      </c>
      <c r="O167" s="5" cm="1">
        <f t="array" ref="O167">_xlfn.XLOOKUP(B167&amp;"|"&amp;E167,
        Calculate_cap_ener!$L$14:$L$21&amp;"|"&amp;Calculate_cap_ener!$I$14:$I$21,
        Calculate_cap_ener!$AI$14:$AI$21, "Not found", 0)</f>
        <v>52701.643590749925</v>
      </c>
      <c r="P167" s="8">
        <f t="shared" si="23"/>
        <v>121615.60957094238</v>
      </c>
      <c r="Q167" s="8" cm="1">
        <f t="array" ref="Q167">_xlfn.SWITCH(K167,200,_xlfn.XLOOKUP(J167,Distribution_MJ!$C$18:$N$18,Distribution_MJ!$C$20:$N$20) + _xlfn.XLOOKUP(B167&amp;"|"&amp;E167,
        Calculate_cap_ener!$L$14:$L$21&amp;"|"&amp;Calculate_cap_ener!$I$14:$I$21,
        Calculate_cap_ener!$AP$14:$AP$21, "Not found", 0), LOOKUP(K167,Distribution_MJ!$C$24:$D$24,Distribution_MJ!$C$26:$D$26) + _xlfn.XLOOKUP(J167,Distribution_MJ!$C$18:$N$18,Distribution_MJ!$C$20:$N$20) + _xlfn.XLOOKUP(B167&amp;"|"&amp;E167,
        Calculate_cap_ener!$L$14:$L$21&amp;"|"&amp;Calculate_cap_ener!$I$14:$I$21,
        Calculate_cap_ener!$AP$14:$AP$21, "Not found", 0))</f>
        <v>2792.4912066678767</v>
      </c>
      <c r="R167" s="8" cm="1">
        <f t="array" ref="R167">_xlfn.SWITCH(K167,200,_xlfn.XLOOKUP(J167,Installation_MJ!$C$18:$N$18,Installation_MJ!$C$20:$N$20) + _xlfn.XLOOKUP(B167&amp;"|"&amp;E167,
        Calculate_cap_ener!$L$14:$L$21&amp;"|"&amp;Calculate_cap_ener!$I$14:$I$21,
        Calculate_cap_ener!$AW$14:$AW$21, "Not found", 0), LOOKUP(K167,Installation_MJ!$C$24:$D$24,Installation_MJ!$C$26:$D$26) + _xlfn.XLOOKUP(J167,Installation_MJ!$C$18:$N$18,Installation_MJ!$C$20:$N$20) + _xlfn.XLOOKUP(B167&amp;"|"&amp;E167,
        Calculate_cap_ener!$L$14:$L$21&amp;"|"&amp;Calculate_cap_ener!$I$14:$I$21,
        Calculate_cap_ener!$AW$14:$AW$21, "Not found", 0))</f>
        <v>198.1359304623245</v>
      </c>
      <c r="S167" s="8" cm="1">
        <f t="array" ref="S167">_xlfn.SWITCH(K167,200,_xlfn.XLOOKUP(J167,EOL_MJ!$C$18:$N$18,EOL_MJ!$C$20:$N$20) + _xlfn.XLOOKUP(B167&amp;"|"&amp;E167,
        Calculate_cap_ener!$L$14:$L$21&amp;"|"&amp;Calculate_cap_ener!$I$14:$I$21,
        Calculate_cap_ener!$BD$14:$BD$21, "Not found", 0), LOOKUP(K167,EOL_MJ!$C$24:$D$24,EOL_MJ!$C$26:$D$26) + _xlfn.XLOOKUP(J167,EOL_MJ!$C$18:$N$18,EOL_MJ!$C$20:$N$20) + _xlfn.XLOOKUP(B167&amp;"|"&amp;E167,
        Calculate_cap_ener!$L$14:$L$21&amp;"|"&amp;Calculate_cap_ener!$I$14:$I$21,
        Calculate_cap_ener!$BD$14:$BD$21, "Not found", 0))</f>
        <v>26163.745394563633</v>
      </c>
      <c r="T167" s="8" cm="1">
        <f t="array" ref="T167">_xlfn.SWITCH(K167,200,_xlfn.XLOOKUP(J167,Other!$C$18:$N$18,Other!$C$20:$N$20) + _xlfn.XLOOKUP(B167&amp;"|"&amp;E167,
        Calculate_cap_ener!$L$14:$L$21&amp;"|"&amp;Calculate_cap_ener!$I$14:$I$21,
        Calculate_cap_ener!$BK$14:$BK$21, "Not found", 0), LOOKUP(K167,Other!$C$24:$D$24,Other!$C$26:$D$26) + _xlfn.XLOOKUP(J167,Other!$C$18:$N$18,Other!$C$20:$N$20) + _xlfn.XLOOKUP(B167&amp;"|"&amp;E167,
        Calculate_cap_ener!$L$14:$L$21&amp;"|"&amp;Calculate_cap_ener!$I$14:$I$21,
        Calculate_cap_ener!$BK$14:$BK$21, "Not found", 0))</f>
        <v>73017.196539985962</v>
      </c>
    </row>
    <row r="168" spans="1:20" x14ac:dyDescent="0.25">
      <c r="A168" s="5"/>
      <c r="B168" s="5" t="str">
        <f t="shared" si="21"/>
        <v>Mod-H1</v>
      </c>
      <c r="C168" s="5" t="s">
        <v>38</v>
      </c>
      <c r="D168" s="5" t="str">
        <f t="shared" si="20"/>
        <v>H1</v>
      </c>
      <c r="E168" s="5" t="s">
        <v>3</v>
      </c>
      <c r="F168" s="5" t="s">
        <v>57</v>
      </c>
      <c r="G168" s="5" t="s">
        <v>57</v>
      </c>
      <c r="H168" s="5">
        <v>6</v>
      </c>
      <c r="I168" s="5"/>
      <c r="J168" s="5">
        <f t="shared" si="22"/>
        <v>6</v>
      </c>
      <c r="K168" s="5">
        <v>1000</v>
      </c>
      <c r="L168" s="8" cm="1">
        <f t="array" ref="L168">_xlfn.SWITCH(K168,200,_xlfn.XLOOKUP(J168,Manufacture_MJ!$C$18:$N$18,Manufacture_MJ!$C$20:$N$20) + _xlfn.XLOOKUP(B168&amp;"|"&amp;E168,
        Calculate_cap_ener!$L$14:$L$21&amp;"|"&amp;Calculate_cap_ener!$I$14:$I$21,
        Calculate_cap_ener!$AI$14:$AI$21, "Not found", 0), LOOKUP(K168,Manufacture_MJ!$C$24:$D$24,Manufacture_MJ!$C$26:$D$26) + _xlfn.XLOOKUP(J168,Manufacture_MJ!$C$18:$N$18,Manufacture_MJ!$C$20:$N$20) + _xlfn.XLOOKUP(B168&amp;"|"&amp;E168,
        Calculate_cap_ener!$L$14:$L$21&amp;"|"&amp;Calculate_cap_ener!$I$14:$I$21,
        Calculate_cap_ener!$AI$14:$AI$21, "Not found", 0))</f>
        <v>121970.44817124022</v>
      </c>
      <c r="M168" s="8">
        <f>LOOKUP(J168,Manufacture_MJ!$C$18:$N$18,Manufacture_MJ!$C$20:$N$20)</f>
        <v>48695.486398672118</v>
      </c>
      <c r="N168" s="8" cm="1">
        <f t="array" ref="N168">_xlfn.SWITCH(K168,200,0,LOOKUP(K168,Manufacture_MJ!$C$24:$D$24,Manufacture_MJ!$C$26:$D$26))</f>
        <v>20573.31818181818</v>
      </c>
      <c r="O168" s="5" cm="1">
        <f t="array" ref="O168">_xlfn.XLOOKUP(B168&amp;"|"&amp;E168,
        Calculate_cap_ener!$L$14:$L$21&amp;"|"&amp;Calculate_cap_ener!$I$14:$I$21,
        Calculate_cap_ener!$AI$14:$AI$21, "Not found", 0)</f>
        <v>52701.643590749925</v>
      </c>
      <c r="P168" s="8">
        <f t="shared" si="23"/>
        <v>121970.44817124022</v>
      </c>
      <c r="Q168" s="8" cm="1">
        <f t="array" ref="Q168">_xlfn.SWITCH(K168,200,_xlfn.XLOOKUP(J168,Distribution_MJ!$C$18:$N$18,Distribution_MJ!$C$20:$N$20) + _xlfn.XLOOKUP(B168&amp;"|"&amp;E168,
        Calculate_cap_ener!$L$14:$L$21&amp;"|"&amp;Calculate_cap_ener!$I$14:$I$21,
        Calculate_cap_ener!$AP$14:$AP$21, "Not found", 0), LOOKUP(K168,Distribution_MJ!$C$24:$D$24,Distribution_MJ!$C$26:$D$26) + _xlfn.XLOOKUP(J168,Distribution_MJ!$C$18:$N$18,Distribution_MJ!$C$20:$N$20) + _xlfn.XLOOKUP(B168&amp;"|"&amp;E168,
        Calculate_cap_ener!$L$14:$L$21&amp;"|"&amp;Calculate_cap_ener!$I$14:$I$21,
        Calculate_cap_ener!$AP$14:$AP$21, "Not found", 0))</f>
        <v>2825.1954998030265</v>
      </c>
      <c r="R168" s="8" cm="1">
        <f t="array" ref="R168">_xlfn.SWITCH(K168,200,_xlfn.XLOOKUP(J168,Installation_MJ!$C$18:$N$18,Installation_MJ!$C$20:$N$20) + _xlfn.XLOOKUP(B168&amp;"|"&amp;E168,
        Calculate_cap_ener!$L$14:$L$21&amp;"|"&amp;Calculate_cap_ener!$I$14:$I$21,
        Calculate_cap_ener!$AW$14:$AW$21, "Not found", 0), LOOKUP(K168,Installation_MJ!$C$24:$D$24,Installation_MJ!$C$26:$D$26) + _xlfn.XLOOKUP(J168,Installation_MJ!$C$18:$N$18,Installation_MJ!$C$20:$N$20) + _xlfn.XLOOKUP(B168&amp;"|"&amp;E168,
        Calculate_cap_ener!$L$14:$L$21&amp;"|"&amp;Calculate_cap_ener!$I$14:$I$21,
        Calculate_cap_ener!$AW$14:$AW$21, "Not found", 0))</f>
        <v>200.59500872234676</v>
      </c>
      <c r="S168" s="8" cm="1">
        <f t="array" ref="S168">_xlfn.SWITCH(K168,200,_xlfn.XLOOKUP(J168,EOL_MJ!$C$18:$N$18,EOL_MJ!$C$20:$N$20) + _xlfn.XLOOKUP(B168&amp;"|"&amp;E168,
        Calculate_cap_ener!$L$14:$L$21&amp;"|"&amp;Calculate_cap_ener!$I$14:$I$21,
        Calculate_cap_ener!$BD$14:$BD$21, "Not found", 0), LOOKUP(K168,EOL_MJ!$C$24:$D$24,EOL_MJ!$C$26:$D$26) + _xlfn.XLOOKUP(J168,EOL_MJ!$C$18:$N$18,EOL_MJ!$C$20:$N$20) + _xlfn.XLOOKUP(B168&amp;"|"&amp;E168,
        Calculate_cap_ener!$L$14:$L$21&amp;"|"&amp;Calculate_cap_ener!$I$14:$I$21,
        Calculate_cap_ener!$BD$14:$BD$21, "Not found", 0))</f>
        <v>26163.745394563633</v>
      </c>
      <c r="T168" s="8" cm="1">
        <f t="array" ref="T168">_xlfn.SWITCH(K168,200,_xlfn.XLOOKUP(J168,Other!$C$18:$N$18,Other!$C$20:$N$20) + _xlfn.XLOOKUP(B168&amp;"|"&amp;E168,
        Calculate_cap_ener!$L$14:$L$21&amp;"|"&amp;Calculate_cap_ener!$I$14:$I$21,
        Calculate_cap_ener!$BK$14:$BK$21, "Not found", 0), LOOKUP(K168,Other!$C$24:$D$24,Other!$C$26:$D$26) + _xlfn.XLOOKUP(J168,Other!$C$18:$N$18,Other!$C$20:$N$20) + _xlfn.XLOOKUP(B168&amp;"|"&amp;E168,
        Calculate_cap_ener!$L$14:$L$21&amp;"|"&amp;Calculate_cap_ener!$I$14:$I$21,
        Calculate_cap_ener!$BK$14:$BK$21, "Not found", 0))</f>
        <v>73039.086289948769</v>
      </c>
    </row>
    <row r="169" spans="1:20" x14ac:dyDescent="0.25">
      <c r="A169" s="5"/>
      <c r="B169" s="5" t="str">
        <f t="shared" si="21"/>
        <v>Mod-H1</v>
      </c>
      <c r="C169" s="5" t="s">
        <v>38</v>
      </c>
      <c r="D169" s="5" t="str">
        <f t="shared" si="20"/>
        <v>H1</v>
      </c>
      <c r="E169" s="5" t="s">
        <v>3</v>
      </c>
      <c r="F169" s="5" t="s">
        <v>57</v>
      </c>
      <c r="G169" s="5" t="s">
        <v>57</v>
      </c>
      <c r="H169" s="5">
        <v>8.5</v>
      </c>
      <c r="I169" s="5"/>
      <c r="J169" s="5">
        <f t="shared" si="22"/>
        <v>9</v>
      </c>
      <c r="K169" s="5">
        <v>1000</v>
      </c>
      <c r="L169" s="8" cm="1">
        <f t="array" ref="L169">_xlfn.SWITCH(K169,200,_xlfn.XLOOKUP(J169,Manufacture_MJ!$C$18:$N$18,Manufacture_MJ!$C$20:$N$20) + _xlfn.XLOOKUP(B169&amp;"|"&amp;E169,
        Calculate_cap_ener!$L$14:$L$21&amp;"|"&amp;Calculate_cap_ener!$I$14:$I$21,
        Calculate_cap_ener!$AI$14:$AI$21, "Not found", 0), LOOKUP(K169,Manufacture_MJ!$C$24:$D$24,Manufacture_MJ!$C$26:$D$26) + _xlfn.XLOOKUP(J169,Manufacture_MJ!$C$18:$N$18,Manufacture_MJ!$C$20:$N$20) + _xlfn.XLOOKUP(B169&amp;"|"&amp;E169,
        Calculate_cap_ener!$L$14:$L$21&amp;"|"&amp;Calculate_cap_ener!$I$14:$I$21,
        Calculate_cap_ener!$AI$14:$AI$21, "Not found", 0))</f>
        <v>123034.96397213373</v>
      </c>
      <c r="M169" s="8">
        <f>LOOKUP(J169,Manufacture_MJ!$C$18:$N$18,Manufacture_MJ!$C$20:$N$20)</f>
        <v>49760.002199565621</v>
      </c>
      <c r="N169" s="8" cm="1">
        <f t="array" ref="N169">_xlfn.SWITCH(K169,200,0,LOOKUP(K169,Manufacture_MJ!$C$24:$D$24,Manufacture_MJ!$C$26:$D$26))</f>
        <v>20573.31818181818</v>
      </c>
      <c r="O169" s="5" cm="1">
        <f t="array" ref="O169">_xlfn.XLOOKUP(B169&amp;"|"&amp;E169,
        Calculate_cap_ener!$L$14:$L$21&amp;"|"&amp;Calculate_cap_ener!$I$14:$I$21,
        Calculate_cap_ener!$AI$14:$AI$21, "Not found", 0)</f>
        <v>52701.643590749925</v>
      </c>
      <c r="P169" s="8">
        <f t="shared" si="23"/>
        <v>123034.96397213373</v>
      </c>
      <c r="Q169" s="8" cm="1">
        <f t="array" ref="Q169">_xlfn.SWITCH(K169,200,_xlfn.XLOOKUP(J169,Distribution_MJ!$C$18:$N$18,Distribution_MJ!$C$20:$N$20) + _xlfn.XLOOKUP(B169&amp;"|"&amp;E169,
        Calculate_cap_ener!$L$14:$L$21&amp;"|"&amp;Calculate_cap_ener!$I$14:$I$21,
        Calculate_cap_ener!$AP$14:$AP$21, "Not found", 0), LOOKUP(K169,Distribution_MJ!$C$24:$D$24,Distribution_MJ!$C$26:$D$26) + _xlfn.XLOOKUP(J169,Distribution_MJ!$C$18:$N$18,Distribution_MJ!$C$20:$N$20) + _xlfn.XLOOKUP(B169&amp;"|"&amp;E169,
        Calculate_cap_ener!$L$14:$L$21&amp;"|"&amp;Calculate_cap_ener!$I$14:$I$21,
        Calculate_cap_ener!$AP$14:$AP$21, "Not found", 0))</f>
        <v>2923.3083792084763</v>
      </c>
      <c r="R169" s="8" cm="1">
        <f t="array" ref="R169">_xlfn.SWITCH(K169,200,_xlfn.XLOOKUP(J169,Installation_MJ!$C$18:$N$18,Installation_MJ!$C$20:$N$20) + _xlfn.XLOOKUP(B169&amp;"|"&amp;E169,
        Calculate_cap_ener!$L$14:$L$21&amp;"|"&amp;Calculate_cap_ener!$I$14:$I$21,
        Calculate_cap_ener!$AW$14:$AW$21, "Not found", 0), LOOKUP(K169,Installation_MJ!$C$24:$D$24,Installation_MJ!$C$26:$D$26) + _xlfn.XLOOKUP(J169,Installation_MJ!$C$18:$N$18,Installation_MJ!$C$20:$N$20) + _xlfn.XLOOKUP(B169&amp;"|"&amp;E169,
        Calculate_cap_ener!$L$14:$L$21&amp;"|"&amp;Calculate_cap_ener!$I$14:$I$21,
        Calculate_cap_ener!$AW$14:$AW$21, "Not found", 0))</f>
        <v>207.97224350241328</v>
      </c>
      <c r="S169" s="8" cm="1">
        <f t="array" ref="S169">_xlfn.SWITCH(K169,200,_xlfn.XLOOKUP(J169,EOL_MJ!$C$18:$N$18,EOL_MJ!$C$20:$N$20) + _xlfn.XLOOKUP(B169&amp;"|"&amp;E169,
        Calculate_cap_ener!$L$14:$L$21&amp;"|"&amp;Calculate_cap_ener!$I$14:$I$21,
        Calculate_cap_ener!$BD$14:$BD$21, "Not found", 0), LOOKUP(K169,EOL_MJ!$C$24:$D$24,EOL_MJ!$C$26:$D$26) + _xlfn.XLOOKUP(J169,EOL_MJ!$C$18:$N$18,EOL_MJ!$C$20:$N$20) + _xlfn.XLOOKUP(B169&amp;"|"&amp;E169,
        Calculate_cap_ener!$L$14:$L$21&amp;"|"&amp;Calculate_cap_ener!$I$14:$I$21,
        Calculate_cap_ener!$BD$14:$BD$21, "Not found", 0))</f>
        <v>26163.745394563633</v>
      </c>
      <c r="T169" s="8" cm="1">
        <f t="array" ref="T169">_xlfn.SWITCH(K169,200,_xlfn.XLOOKUP(J169,Other!$C$18:$N$18,Other!$C$20:$N$20) + _xlfn.XLOOKUP(B169&amp;"|"&amp;E169,
        Calculate_cap_ener!$L$14:$L$21&amp;"|"&amp;Calculate_cap_ener!$I$14:$I$21,
        Calculate_cap_ener!$BK$14:$BK$21, "Not found", 0), LOOKUP(K169,Other!$C$24:$D$24,Other!$C$26:$D$26) + _xlfn.XLOOKUP(J169,Other!$C$18:$N$18,Other!$C$20:$N$20) + _xlfn.XLOOKUP(B169&amp;"|"&amp;E169,
        Calculate_cap_ener!$L$14:$L$21&amp;"|"&amp;Calculate_cap_ener!$I$14:$I$21,
        Calculate_cap_ener!$BK$14:$BK$21, "Not found", 0))</f>
        <v>73104.755539837191</v>
      </c>
    </row>
    <row r="170" spans="1:20" x14ac:dyDescent="0.25">
      <c r="A170" s="5"/>
      <c r="B170" s="5" t="str">
        <f t="shared" si="21"/>
        <v>Mod-H1</v>
      </c>
      <c r="C170" s="5" t="s">
        <v>38</v>
      </c>
      <c r="D170" s="5" t="str">
        <f t="shared" si="20"/>
        <v>H1</v>
      </c>
      <c r="E170" s="5" t="s">
        <v>3</v>
      </c>
      <c r="F170" s="5" t="s">
        <v>57</v>
      </c>
      <c r="G170" s="5" t="s">
        <v>57</v>
      </c>
      <c r="H170" s="5">
        <v>11.2</v>
      </c>
      <c r="I170" s="5"/>
      <c r="J170" s="5">
        <f t="shared" si="22"/>
        <v>12</v>
      </c>
      <c r="K170" s="5">
        <v>1000</v>
      </c>
      <c r="L170" s="8" cm="1">
        <f t="array" ref="L170">_xlfn.SWITCH(K170,200,_xlfn.XLOOKUP(J170,Manufacture_MJ!$C$18:$N$18,Manufacture_MJ!$C$20:$N$20) + _xlfn.XLOOKUP(B170&amp;"|"&amp;E170,
        Calculate_cap_ener!$L$14:$L$21&amp;"|"&amp;Calculate_cap_ener!$I$14:$I$21,
        Calculate_cap_ener!$AI$14:$AI$21, "Not found", 0), LOOKUP(K170,Manufacture_MJ!$C$24:$D$24,Manufacture_MJ!$C$26:$D$26) + _xlfn.XLOOKUP(J170,Manufacture_MJ!$C$18:$N$18,Manufacture_MJ!$C$20:$N$20) + _xlfn.XLOOKUP(B170&amp;"|"&amp;E170,
        Calculate_cap_ener!$L$14:$L$21&amp;"|"&amp;Calculate_cap_ener!$I$14:$I$21,
        Calculate_cap_ener!$AI$14:$AI$21, "Not found", 0))</f>
        <v>124099.47977302736</v>
      </c>
      <c r="M170" s="8">
        <f>LOOKUP(J170,Manufacture_MJ!$C$18:$N$18,Manufacture_MJ!$C$20:$N$20)</f>
        <v>50824.518000459248</v>
      </c>
      <c r="N170" s="8" cm="1">
        <f t="array" ref="N170">_xlfn.SWITCH(K170,200,0,LOOKUP(K170,Manufacture_MJ!$C$24:$D$24,Manufacture_MJ!$C$26:$D$26))</f>
        <v>20573.31818181818</v>
      </c>
      <c r="O170" s="5" cm="1">
        <f t="array" ref="O170">_xlfn.XLOOKUP(B170&amp;"|"&amp;E170,
        Calculate_cap_ener!$L$14:$L$21&amp;"|"&amp;Calculate_cap_ener!$I$14:$I$21,
        Calculate_cap_ener!$AI$14:$AI$21, "Not found", 0)</f>
        <v>52701.643590749925</v>
      </c>
      <c r="P170" s="8">
        <f t="shared" si="23"/>
        <v>124099.47977302736</v>
      </c>
      <c r="Q170" s="8" cm="1">
        <f t="array" ref="Q170">_xlfn.SWITCH(K170,200,_xlfn.XLOOKUP(J170,Distribution_MJ!$C$18:$N$18,Distribution_MJ!$C$20:$N$20) + _xlfn.XLOOKUP(B170&amp;"|"&amp;E170,
        Calculate_cap_ener!$L$14:$L$21&amp;"|"&amp;Calculate_cap_ener!$I$14:$I$21,
        Calculate_cap_ener!$AP$14:$AP$21, "Not found", 0), LOOKUP(K170,Distribution_MJ!$C$24:$D$24,Distribution_MJ!$C$26:$D$26) + _xlfn.XLOOKUP(J170,Distribution_MJ!$C$18:$N$18,Distribution_MJ!$C$20:$N$20) + _xlfn.XLOOKUP(B170&amp;"|"&amp;E170,
        Calculate_cap_ener!$L$14:$L$21&amp;"|"&amp;Calculate_cap_ener!$I$14:$I$21,
        Calculate_cap_ener!$AP$14:$AP$21, "Not found", 0))</f>
        <v>3021.4212586139261</v>
      </c>
      <c r="R170" s="8" cm="1">
        <f t="array" ref="R170">_xlfn.SWITCH(K170,200,_xlfn.XLOOKUP(J170,Installation_MJ!$C$18:$N$18,Installation_MJ!$C$20:$N$20) + _xlfn.XLOOKUP(B170&amp;"|"&amp;E170,
        Calculate_cap_ener!$L$14:$L$21&amp;"|"&amp;Calculate_cap_ener!$I$14:$I$21,
        Calculate_cap_ener!$AW$14:$AW$21, "Not found", 0), LOOKUP(K170,Installation_MJ!$C$24:$D$24,Installation_MJ!$C$26:$D$26) + _xlfn.XLOOKUP(J170,Installation_MJ!$C$18:$N$18,Installation_MJ!$C$20:$N$20) + _xlfn.XLOOKUP(B170&amp;"|"&amp;E170,
        Calculate_cap_ener!$L$14:$L$21&amp;"|"&amp;Calculate_cap_ener!$I$14:$I$21,
        Calculate_cap_ener!$AW$14:$AW$21, "Not found", 0))</f>
        <v>215.34947828247994</v>
      </c>
      <c r="S170" s="8" cm="1">
        <f t="array" ref="S170">_xlfn.SWITCH(K170,200,_xlfn.XLOOKUP(J170,EOL_MJ!$C$18:$N$18,EOL_MJ!$C$20:$N$20) + _xlfn.XLOOKUP(B170&amp;"|"&amp;E170,
        Calculate_cap_ener!$L$14:$L$21&amp;"|"&amp;Calculate_cap_ener!$I$14:$I$21,
        Calculate_cap_ener!$BD$14:$BD$21, "Not found", 0), LOOKUP(K170,EOL_MJ!$C$24:$D$24,EOL_MJ!$C$26:$D$26) + _xlfn.XLOOKUP(J170,EOL_MJ!$C$18:$N$18,EOL_MJ!$C$20:$N$20) + _xlfn.XLOOKUP(B170&amp;"|"&amp;E170,
        Calculate_cap_ener!$L$14:$L$21&amp;"|"&amp;Calculate_cap_ener!$I$14:$I$21,
        Calculate_cap_ener!$BD$14:$BD$21, "Not found", 0))</f>
        <v>26163.745394563633</v>
      </c>
      <c r="T170" s="8" cm="1">
        <f t="array" ref="T170">_xlfn.SWITCH(K170,200,_xlfn.XLOOKUP(J170,Other!$C$18:$N$18,Other!$C$20:$N$20) + _xlfn.XLOOKUP(B170&amp;"|"&amp;E170,
        Calculate_cap_ener!$L$14:$L$21&amp;"|"&amp;Calculate_cap_ener!$I$14:$I$21,
        Calculate_cap_ener!$BK$14:$BK$21, "Not found", 0), LOOKUP(K170,Other!$C$24:$D$24,Other!$C$26:$D$26) + _xlfn.XLOOKUP(J170,Other!$C$18:$N$18,Other!$C$20:$N$20) + _xlfn.XLOOKUP(B170&amp;"|"&amp;E170,
        Calculate_cap_ener!$L$14:$L$21&amp;"|"&amp;Calculate_cap_ener!$I$14:$I$21,
        Calculate_cap_ener!$BK$14:$BK$21, "Not found", 0))</f>
        <v>73170.424789725614</v>
      </c>
    </row>
    <row r="171" spans="1:20" x14ac:dyDescent="0.25">
      <c r="A171" s="5"/>
      <c r="B171" s="5" t="str">
        <f t="shared" si="21"/>
        <v>Mod-H1</v>
      </c>
      <c r="C171" s="5" t="s">
        <v>38</v>
      </c>
      <c r="D171" s="5" t="str">
        <f t="shared" si="20"/>
        <v>H1</v>
      </c>
      <c r="E171" s="5" t="s">
        <v>3</v>
      </c>
      <c r="F171" s="5" t="s">
        <v>57</v>
      </c>
      <c r="G171" s="5" t="s">
        <v>57</v>
      </c>
      <c r="H171" s="5">
        <v>14</v>
      </c>
      <c r="I171" s="5"/>
      <c r="J171" s="5">
        <f t="shared" si="22"/>
        <v>14</v>
      </c>
      <c r="K171" s="5">
        <v>1000</v>
      </c>
      <c r="L171" s="8" cm="1">
        <f t="array" ref="L171">_xlfn.SWITCH(K171,200,_xlfn.XLOOKUP(J171,Manufacture_MJ!$C$18:$N$18,Manufacture_MJ!$C$20:$N$20) + _xlfn.XLOOKUP(B171&amp;"|"&amp;E171,
        Calculate_cap_ener!$L$14:$L$21&amp;"|"&amp;Calculate_cap_ener!$I$14:$I$21,
        Calculate_cap_ener!$AI$14:$AI$21, "Not found", 0), LOOKUP(K171,Manufacture_MJ!$C$24:$D$24,Manufacture_MJ!$C$26:$D$26) + _xlfn.XLOOKUP(J171,Manufacture_MJ!$C$18:$N$18,Manufacture_MJ!$C$20:$N$20) + _xlfn.XLOOKUP(B171&amp;"|"&amp;E171,
        Calculate_cap_ener!$L$14:$L$21&amp;"|"&amp;Calculate_cap_ener!$I$14:$I$21,
        Calculate_cap_ener!$AI$14:$AI$21, "Not found", 0))</f>
        <v>124809.15697362303</v>
      </c>
      <c r="M171" s="8">
        <f>LOOKUP(J171,Manufacture_MJ!$C$18:$N$18,Manufacture_MJ!$C$20:$N$20)</f>
        <v>51534.195201054921</v>
      </c>
      <c r="N171" s="8" cm="1">
        <f t="array" ref="N171">_xlfn.SWITCH(K171,200,0,LOOKUP(K171,Manufacture_MJ!$C$24:$D$24,Manufacture_MJ!$C$26:$D$26))</f>
        <v>20573.31818181818</v>
      </c>
      <c r="O171" s="5" cm="1">
        <f t="array" ref="O171">_xlfn.XLOOKUP(B171&amp;"|"&amp;E171,
        Calculate_cap_ener!$L$14:$L$21&amp;"|"&amp;Calculate_cap_ener!$I$14:$I$21,
        Calculate_cap_ener!$AI$14:$AI$21, "Not found", 0)</f>
        <v>52701.643590749925</v>
      </c>
      <c r="P171" s="8">
        <f t="shared" si="23"/>
        <v>124809.15697362303</v>
      </c>
      <c r="Q171" s="8" cm="1">
        <f t="array" ref="Q171">_xlfn.SWITCH(K171,200,_xlfn.XLOOKUP(J171,Distribution_MJ!$C$18:$N$18,Distribution_MJ!$C$20:$N$20) + _xlfn.XLOOKUP(B171&amp;"|"&amp;E171,
        Calculate_cap_ener!$L$14:$L$21&amp;"|"&amp;Calculate_cap_ener!$I$14:$I$21,
        Calculate_cap_ener!$AP$14:$AP$21, "Not found", 0), LOOKUP(K171,Distribution_MJ!$C$24:$D$24,Distribution_MJ!$C$26:$D$26) + _xlfn.XLOOKUP(J171,Distribution_MJ!$C$18:$N$18,Distribution_MJ!$C$20:$N$20) + _xlfn.XLOOKUP(B171&amp;"|"&amp;E171,
        Calculate_cap_ener!$L$14:$L$21&amp;"|"&amp;Calculate_cap_ener!$I$14:$I$21,
        Calculate_cap_ener!$AP$14:$AP$21, "Not found", 0))</f>
        <v>3086.8298448842261</v>
      </c>
      <c r="R171" s="8" cm="1">
        <f t="array" ref="R171">_xlfn.SWITCH(K171,200,_xlfn.XLOOKUP(J171,Installation_MJ!$C$18:$N$18,Installation_MJ!$C$20:$N$20) + _xlfn.XLOOKUP(B171&amp;"|"&amp;E171,
        Calculate_cap_ener!$L$14:$L$21&amp;"|"&amp;Calculate_cap_ener!$I$14:$I$21,
        Calculate_cap_ener!$AW$14:$AW$21, "Not found", 0), LOOKUP(K171,Installation_MJ!$C$24:$D$24,Installation_MJ!$C$26:$D$26) + _xlfn.XLOOKUP(J171,Installation_MJ!$C$18:$N$18,Installation_MJ!$C$20:$N$20) + _xlfn.XLOOKUP(B171&amp;"|"&amp;E171,
        Calculate_cap_ener!$L$14:$L$21&amp;"|"&amp;Calculate_cap_ener!$I$14:$I$21,
        Calculate_cap_ener!$AW$14:$AW$21, "Not found", 0))</f>
        <v>220.26763480252447</v>
      </c>
      <c r="S171" s="8" cm="1">
        <f t="array" ref="S171">_xlfn.SWITCH(K171,200,_xlfn.XLOOKUP(J171,EOL_MJ!$C$18:$N$18,EOL_MJ!$C$20:$N$20) + _xlfn.XLOOKUP(B171&amp;"|"&amp;E171,
        Calculate_cap_ener!$L$14:$L$21&amp;"|"&amp;Calculate_cap_ener!$I$14:$I$21,
        Calculate_cap_ener!$BD$14:$BD$21, "Not found", 0), LOOKUP(K171,EOL_MJ!$C$24:$D$24,EOL_MJ!$C$26:$D$26) + _xlfn.XLOOKUP(J171,EOL_MJ!$C$18:$N$18,EOL_MJ!$C$20:$N$20) + _xlfn.XLOOKUP(B171&amp;"|"&amp;E171,
        Calculate_cap_ener!$L$14:$L$21&amp;"|"&amp;Calculate_cap_ener!$I$14:$I$21,
        Calculate_cap_ener!$BD$14:$BD$21, "Not found", 0))</f>
        <v>26163.745394563633</v>
      </c>
      <c r="T171" s="8" cm="1">
        <f t="array" ref="T171">_xlfn.SWITCH(K171,200,_xlfn.XLOOKUP(J171,Other!$C$18:$N$18,Other!$C$20:$N$20) + _xlfn.XLOOKUP(B171&amp;"|"&amp;E171,
        Calculate_cap_ener!$L$14:$L$21&amp;"|"&amp;Calculate_cap_ener!$I$14:$I$21,
        Calculate_cap_ener!$BK$14:$BK$21, "Not found", 0), LOOKUP(K171,Other!$C$24:$D$24,Other!$C$26:$D$26) + _xlfn.XLOOKUP(J171,Other!$C$18:$N$18,Other!$C$20:$N$20) + _xlfn.XLOOKUP(B171&amp;"|"&amp;E171,
        Calculate_cap_ener!$L$14:$L$21&amp;"|"&amp;Calculate_cap_ener!$I$14:$I$21,
        Calculate_cap_ener!$BK$14:$BK$21, "Not found", 0))</f>
        <v>73214.204289651228</v>
      </c>
    </row>
    <row r="172" spans="1:20" x14ac:dyDescent="0.25">
      <c r="A172" s="5"/>
      <c r="B172" s="5" t="str">
        <f t="shared" si="21"/>
        <v>Mass-H1</v>
      </c>
      <c r="C172" s="5" t="s">
        <v>37</v>
      </c>
      <c r="D172" s="5" t="str">
        <f t="shared" si="20"/>
        <v>H1</v>
      </c>
      <c r="E172" s="5" t="s">
        <v>11</v>
      </c>
      <c r="F172" s="5" t="s">
        <v>54</v>
      </c>
      <c r="G172" s="5" t="s">
        <v>54</v>
      </c>
      <c r="H172" s="5">
        <v>8.5</v>
      </c>
      <c r="I172" s="5"/>
      <c r="J172" s="5">
        <f t="shared" si="22"/>
        <v>9</v>
      </c>
      <c r="K172" s="5">
        <v>200</v>
      </c>
      <c r="L172" s="8" cm="1">
        <f t="array" ref="L172">_xlfn.SWITCH(K172,200,_xlfn.XLOOKUP(J172,Manufacture_MJ!$C$18:$N$18,Manufacture_MJ!$C$20:$N$20) + _xlfn.XLOOKUP(B172&amp;"|"&amp;E172,
        Calculate_cap_ener!$L$14:$L$21&amp;"|"&amp;Calculate_cap_ener!$I$14:$I$21,
        Calculate_cap_ener!$AI$14:$AI$21, "Not found", 0), LOOKUP(K172,Manufacture_MJ!$C$24:$D$24,Manufacture_MJ!$C$26:$D$26) + _xlfn.XLOOKUP(J172,Manufacture_MJ!$C$18:$N$18,Manufacture_MJ!$C$20:$N$20) + _xlfn.XLOOKUP(B172&amp;"|"&amp;E172,
        Calculate_cap_ener!$L$14:$L$21&amp;"|"&amp;Calculate_cap_ener!$I$14:$I$21,
        Calculate_cap_ener!$AI$14:$AI$21, "Not found", 0))</f>
        <v>94932.855229065579</v>
      </c>
      <c r="M172" s="8">
        <f>LOOKUP(J172,Manufacture_MJ!$C$18:$N$18,Manufacture_MJ!$C$20:$N$20)</f>
        <v>49760.002199565621</v>
      </c>
      <c r="N172" s="8" cm="1">
        <f t="array" ref="N172">_xlfn.SWITCH(K172,200,0,LOOKUP(K172,Manufacture_MJ!$C$24:$D$24,Manufacture_MJ!$C$26:$D$26))</f>
        <v>0</v>
      </c>
      <c r="O172" s="5" cm="1">
        <f t="array" ref="O172">_xlfn.XLOOKUP(B172&amp;"|"&amp;E172,
        Calculate_cap_ener!$L$14:$L$21&amp;"|"&amp;Calculate_cap_ener!$I$14:$I$21,
        Calculate_cap_ener!$AI$14:$AI$21, "Not found", 0)</f>
        <v>45172.853029499965</v>
      </c>
      <c r="P172" s="8">
        <f t="shared" si="23"/>
        <v>94932.855229065579</v>
      </c>
      <c r="Q172" s="8" cm="1">
        <f t="array" ref="Q172">_xlfn.SWITCH(K172,200,_xlfn.XLOOKUP(J172,Distribution_MJ!$C$18:$N$18,Distribution_MJ!$C$20:$N$20) + _xlfn.XLOOKUP(B172&amp;"|"&amp;E172,
        Calculate_cap_ener!$L$14:$L$21&amp;"|"&amp;Calculate_cap_ener!$I$14:$I$21,
        Calculate_cap_ener!$AP$14:$AP$21, "Not found", 0), LOOKUP(K172,Distribution_MJ!$C$24:$D$24,Distribution_MJ!$C$26:$D$26) + _xlfn.XLOOKUP(J172,Distribution_MJ!$C$18:$N$18,Distribution_MJ!$C$20:$N$20) + _xlfn.XLOOKUP(B172&amp;"|"&amp;E172,
        Calculate_cap_ener!$L$14:$L$21&amp;"|"&amp;Calculate_cap_ener!$I$14:$I$21,
        Calculate_cap_ener!$AP$14:$AP$21, "Not found", 0))</f>
        <v>2444.3946056656987</v>
      </c>
      <c r="R172" s="8" cm="1">
        <f t="array" ref="R172">_xlfn.SWITCH(K172,200,_xlfn.XLOOKUP(J172,Installation_MJ!$C$18:$N$18,Installation_MJ!$C$20:$N$20) + _xlfn.XLOOKUP(B172&amp;"|"&amp;E172,
        Calculate_cap_ener!$L$14:$L$21&amp;"|"&amp;Calculate_cap_ener!$I$14:$I$21,
        Calculate_cap_ener!$AW$14:$AW$21, "Not found", 0), LOOKUP(K172,Installation_MJ!$C$24:$D$24,Installation_MJ!$C$26:$D$26) + _xlfn.XLOOKUP(J172,Installation_MJ!$C$18:$N$18,Installation_MJ!$C$20:$N$20) + _xlfn.XLOOKUP(B172&amp;"|"&amp;E172,
        Calculate_cap_ener!$L$14:$L$21&amp;"|"&amp;Calculate_cap_ener!$I$14:$I$21,
        Calculate_cap_ener!$AW$14:$AW$21, "Not found", 0))</f>
        <v>200.47744362826552</v>
      </c>
      <c r="S172" s="8" cm="1">
        <f t="array" ref="S172">_xlfn.SWITCH(K172,200,_xlfn.XLOOKUP(J172,EOL_MJ!$C$18:$N$18,EOL_MJ!$C$20:$N$20) + _xlfn.XLOOKUP(B172&amp;"|"&amp;E172,
        Calculate_cap_ener!$L$14:$L$21&amp;"|"&amp;Calculate_cap_ener!$I$14:$I$21,
        Calculate_cap_ener!$BD$14:$BD$21, "Not found", 0), LOOKUP(K172,EOL_MJ!$C$24:$D$24,EOL_MJ!$C$26:$D$26) + _xlfn.XLOOKUP(J172,EOL_MJ!$C$18:$N$18,EOL_MJ!$C$20:$N$20) + _xlfn.XLOOKUP(B172&amp;"|"&amp;E172,
        Calculate_cap_ener!$L$14:$L$21&amp;"|"&amp;Calculate_cap_ener!$I$14:$I$21,
        Calculate_cap_ener!$BD$14:$BD$21, "Not found", 0))</f>
        <v>5019.9731652</v>
      </c>
      <c r="T172" s="8" cm="1">
        <f t="array" ref="T172">_xlfn.SWITCH(K172,200,_xlfn.XLOOKUP(J172,Other!$C$18:$N$18,Other!$C$20:$N$20) + _xlfn.XLOOKUP(B172&amp;"|"&amp;E172,
        Calculate_cap_ener!$L$14:$L$21&amp;"|"&amp;Calculate_cap_ener!$I$14:$I$21,
        Calculate_cap_ener!$BK$14:$BK$21, "Not found", 0), LOOKUP(K172,Other!$C$24:$D$24,Other!$C$26:$D$26) + _xlfn.XLOOKUP(J172,Other!$C$18:$N$18,Other!$C$20:$N$20) + _xlfn.XLOOKUP(B172&amp;"|"&amp;E172,
        Calculate_cap_ener!$L$14:$L$21&amp;"|"&amp;Calculate_cap_ener!$I$14:$I$21,
        Calculate_cap_ener!$BK$14:$BK$21, "Not found", 0))</f>
        <v>65822.150426137203</v>
      </c>
    </row>
    <row r="173" spans="1:20" x14ac:dyDescent="0.25">
      <c r="A173" s="5"/>
      <c r="B173" s="5" t="str">
        <f t="shared" si="21"/>
        <v>Mass-H1</v>
      </c>
      <c r="C173" s="5" t="s">
        <v>37</v>
      </c>
      <c r="D173" s="5" t="str">
        <f t="shared" si="20"/>
        <v>H1</v>
      </c>
      <c r="E173" s="5" t="s">
        <v>11</v>
      </c>
      <c r="F173" s="5" t="s">
        <v>54</v>
      </c>
      <c r="G173" s="5" t="s">
        <v>54</v>
      </c>
      <c r="H173" s="5">
        <v>11.2</v>
      </c>
      <c r="I173" s="5"/>
      <c r="J173" s="5">
        <f t="shared" si="22"/>
        <v>12</v>
      </c>
      <c r="K173" s="5">
        <v>200</v>
      </c>
      <c r="L173" s="8" cm="1">
        <f t="array" ref="L173">_xlfn.SWITCH(K173,200,_xlfn.XLOOKUP(J173,Manufacture_MJ!$C$18:$N$18,Manufacture_MJ!$C$20:$N$20) + _xlfn.XLOOKUP(B173&amp;"|"&amp;E173,
        Calculate_cap_ener!$L$14:$L$21&amp;"|"&amp;Calculate_cap_ener!$I$14:$I$21,
        Calculate_cap_ener!$AI$14:$AI$21, "Not found", 0), LOOKUP(K173,Manufacture_MJ!$C$24:$D$24,Manufacture_MJ!$C$26:$D$26) + _xlfn.XLOOKUP(J173,Manufacture_MJ!$C$18:$N$18,Manufacture_MJ!$C$20:$N$20) + _xlfn.XLOOKUP(B173&amp;"|"&amp;E173,
        Calculate_cap_ener!$L$14:$L$21&amp;"|"&amp;Calculate_cap_ener!$I$14:$I$21,
        Calculate_cap_ener!$AI$14:$AI$21, "Not found", 0))</f>
        <v>95997.371029959206</v>
      </c>
      <c r="M173" s="8">
        <f>LOOKUP(J173,Manufacture_MJ!$C$18:$N$18,Manufacture_MJ!$C$20:$N$20)</f>
        <v>50824.518000459248</v>
      </c>
      <c r="N173" s="8" cm="1">
        <f t="array" ref="N173">_xlfn.SWITCH(K173,200,0,LOOKUP(K173,Manufacture_MJ!$C$24:$D$24,Manufacture_MJ!$C$26:$D$26))</f>
        <v>0</v>
      </c>
      <c r="O173" s="5" cm="1">
        <f t="array" ref="O173">_xlfn.XLOOKUP(B173&amp;"|"&amp;E173,
        Calculate_cap_ener!$L$14:$L$21&amp;"|"&amp;Calculate_cap_ener!$I$14:$I$21,
        Calculate_cap_ener!$AI$14:$AI$21, "Not found", 0)</f>
        <v>45172.853029499965</v>
      </c>
      <c r="P173" s="8">
        <f t="shared" si="23"/>
        <v>95997.371029959206</v>
      </c>
      <c r="Q173" s="8" cm="1">
        <f t="array" ref="Q173">_xlfn.SWITCH(K173,200,_xlfn.XLOOKUP(J173,Distribution_MJ!$C$18:$N$18,Distribution_MJ!$C$20:$N$20) + _xlfn.XLOOKUP(B173&amp;"|"&amp;E173,
        Calculate_cap_ener!$L$14:$L$21&amp;"|"&amp;Calculate_cap_ener!$I$14:$I$21,
        Calculate_cap_ener!$AP$14:$AP$21, "Not found", 0), LOOKUP(K173,Distribution_MJ!$C$24:$D$24,Distribution_MJ!$C$26:$D$26) + _xlfn.XLOOKUP(J173,Distribution_MJ!$C$18:$N$18,Distribution_MJ!$C$20:$N$20) + _xlfn.XLOOKUP(B173&amp;"|"&amp;E173,
        Calculate_cap_ener!$L$14:$L$21&amp;"|"&amp;Calculate_cap_ener!$I$14:$I$21,
        Calculate_cap_ener!$AP$14:$AP$21, "Not found", 0))</f>
        <v>2542.507485071148</v>
      </c>
      <c r="R173" s="8" cm="1">
        <f t="array" ref="R173">_xlfn.SWITCH(K173,200,_xlfn.XLOOKUP(J173,Installation_MJ!$C$18:$N$18,Installation_MJ!$C$20:$N$20) + _xlfn.XLOOKUP(B173&amp;"|"&amp;E173,
        Calculate_cap_ener!$L$14:$L$21&amp;"|"&amp;Calculate_cap_ener!$I$14:$I$21,
        Calculate_cap_ener!$AW$14:$AW$21, "Not found", 0), LOOKUP(K173,Installation_MJ!$C$24:$D$24,Installation_MJ!$C$26:$D$26) + _xlfn.XLOOKUP(J173,Installation_MJ!$C$18:$N$18,Installation_MJ!$C$20:$N$20) + _xlfn.XLOOKUP(B173&amp;"|"&amp;E173,
        Calculate_cap_ener!$L$14:$L$21&amp;"|"&amp;Calculate_cap_ener!$I$14:$I$21,
        Calculate_cap_ener!$AW$14:$AW$21, "Not found", 0))</f>
        <v>207.85467840833221</v>
      </c>
      <c r="S173" s="8" cm="1">
        <f t="array" ref="S173">_xlfn.SWITCH(K173,200,_xlfn.XLOOKUP(J173,EOL_MJ!$C$18:$N$18,EOL_MJ!$C$20:$N$20) + _xlfn.XLOOKUP(B173&amp;"|"&amp;E173,
        Calculate_cap_ener!$L$14:$L$21&amp;"|"&amp;Calculate_cap_ener!$I$14:$I$21,
        Calculate_cap_ener!$BD$14:$BD$21, "Not found", 0), LOOKUP(K173,EOL_MJ!$C$24:$D$24,EOL_MJ!$C$26:$D$26) + _xlfn.XLOOKUP(J173,EOL_MJ!$C$18:$N$18,EOL_MJ!$C$20:$N$20) + _xlfn.XLOOKUP(B173&amp;"|"&amp;E173,
        Calculate_cap_ener!$L$14:$L$21&amp;"|"&amp;Calculate_cap_ener!$I$14:$I$21,
        Calculate_cap_ener!$BD$14:$BD$21, "Not found", 0))</f>
        <v>5019.9731652</v>
      </c>
      <c r="T173" s="8" cm="1">
        <f t="array" ref="T173">_xlfn.SWITCH(K173,200,_xlfn.XLOOKUP(J173,Other!$C$18:$N$18,Other!$C$20:$N$20) + _xlfn.XLOOKUP(B173&amp;"|"&amp;E173,
        Calculate_cap_ener!$L$14:$L$21&amp;"|"&amp;Calculate_cap_ener!$I$14:$I$21,
        Calculate_cap_ener!$BK$14:$BK$21, "Not found", 0), LOOKUP(K173,Other!$C$24:$D$24,Other!$C$26:$D$26) + _xlfn.XLOOKUP(J173,Other!$C$18:$N$18,Other!$C$20:$N$20) + _xlfn.XLOOKUP(B173&amp;"|"&amp;E173,
        Calculate_cap_ener!$L$14:$L$21&amp;"|"&amp;Calculate_cap_ener!$I$14:$I$21,
        Calculate_cap_ener!$BK$14:$BK$21, "Not found", 0))</f>
        <v>65887.819676025625</v>
      </c>
    </row>
    <row r="174" spans="1:20" x14ac:dyDescent="0.25">
      <c r="A174" s="5"/>
      <c r="B174" s="5" t="str">
        <f t="shared" si="21"/>
        <v>Mass-H1</v>
      </c>
      <c r="C174" s="5" t="s">
        <v>37</v>
      </c>
      <c r="D174" s="5" t="str">
        <f t="shared" si="20"/>
        <v>H1</v>
      </c>
      <c r="E174" s="5" t="s">
        <v>11</v>
      </c>
      <c r="F174" s="5" t="s">
        <v>54</v>
      </c>
      <c r="G174" s="5" t="s">
        <v>54</v>
      </c>
      <c r="H174" s="5">
        <v>14</v>
      </c>
      <c r="I174" s="5"/>
      <c r="J174" s="5">
        <f t="shared" si="22"/>
        <v>14</v>
      </c>
      <c r="K174" s="5">
        <v>200</v>
      </c>
      <c r="L174" s="8" cm="1">
        <f t="array" ref="L174">_xlfn.SWITCH(K174,200,_xlfn.XLOOKUP(J174,Manufacture_MJ!$C$18:$N$18,Manufacture_MJ!$C$20:$N$20) + _xlfn.XLOOKUP(B174&amp;"|"&amp;E174,
        Calculate_cap_ener!$L$14:$L$21&amp;"|"&amp;Calculate_cap_ener!$I$14:$I$21,
        Calculate_cap_ener!$AI$14:$AI$21, "Not found", 0), LOOKUP(K174,Manufacture_MJ!$C$24:$D$24,Manufacture_MJ!$C$26:$D$26) + _xlfn.XLOOKUP(J174,Manufacture_MJ!$C$18:$N$18,Manufacture_MJ!$C$20:$N$20) + _xlfn.XLOOKUP(B174&amp;"|"&amp;E174,
        Calculate_cap_ener!$L$14:$L$21&amp;"|"&amp;Calculate_cap_ener!$I$14:$I$21,
        Calculate_cap_ener!$AI$14:$AI$21, "Not found", 0))</f>
        <v>96707.048230554879</v>
      </c>
      <c r="M174" s="8">
        <f>LOOKUP(J174,Manufacture_MJ!$C$18:$N$18,Manufacture_MJ!$C$20:$N$20)</f>
        <v>51534.195201054921</v>
      </c>
      <c r="N174" s="8" cm="1">
        <f t="array" ref="N174">_xlfn.SWITCH(K174,200,0,LOOKUP(K174,Manufacture_MJ!$C$24:$D$24,Manufacture_MJ!$C$26:$D$26))</f>
        <v>0</v>
      </c>
      <c r="O174" s="5" cm="1">
        <f t="array" ref="O174">_xlfn.XLOOKUP(B174&amp;"|"&amp;E174,
        Calculate_cap_ener!$L$14:$L$21&amp;"|"&amp;Calculate_cap_ener!$I$14:$I$21,
        Calculate_cap_ener!$AI$14:$AI$21, "Not found", 0)</f>
        <v>45172.853029499965</v>
      </c>
      <c r="P174" s="8">
        <f t="shared" si="23"/>
        <v>96707.048230554879</v>
      </c>
      <c r="Q174" s="8" cm="1">
        <f t="array" ref="Q174">_xlfn.SWITCH(K174,200,_xlfn.XLOOKUP(J174,Distribution_MJ!$C$18:$N$18,Distribution_MJ!$C$20:$N$20) + _xlfn.XLOOKUP(B174&amp;"|"&amp;E174,
        Calculate_cap_ener!$L$14:$L$21&amp;"|"&amp;Calculate_cap_ener!$I$14:$I$21,
        Calculate_cap_ener!$AP$14:$AP$21, "Not found", 0), LOOKUP(K174,Distribution_MJ!$C$24:$D$24,Distribution_MJ!$C$26:$D$26) + _xlfn.XLOOKUP(J174,Distribution_MJ!$C$18:$N$18,Distribution_MJ!$C$20:$N$20) + _xlfn.XLOOKUP(B174&amp;"|"&amp;E174,
        Calculate_cap_ener!$L$14:$L$21&amp;"|"&amp;Calculate_cap_ener!$I$14:$I$21,
        Calculate_cap_ener!$AP$14:$AP$21, "Not found", 0))</f>
        <v>2607.9160713414485</v>
      </c>
      <c r="R174" s="8" cm="1">
        <f t="array" ref="R174">_xlfn.SWITCH(K174,200,_xlfn.XLOOKUP(J174,Installation_MJ!$C$18:$N$18,Installation_MJ!$C$20:$N$20) + _xlfn.XLOOKUP(B174&amp;"|"&amp;E174,
        Calculate_cap_ener!$L$14:$L$21&amp;"|"&amp;Calculate_cap_ener!$I$14:$I$21,
        Calculate_cap_ener!$AW$14:$AW$21, "Not found", 0), LOOKUP(K174,Installation_MJ!$C$24:$D$24,Installation_MJ!$C$26:$D$26) + _xlfn.XLOOKUP(J174,Installation_MJ!$C$18:$N$18,Installation_MJ!$C$20:$N$20) + _xlfn.XLOOKUP(B174&amp;"|"&amp;E174,
        Calculate_cap_ener!$L$14:$L$21&amp;"|"&amp;Calculate_cap_ener!$I$14:$I$21,
        Calculate_cap_ener!$AW$14:$AW$21, "Not found", 0))</f>
        <v>212.77283492837671</v>
      </c>
      <c r="S174" s="8" cm="1">
        <f t="array" ref="S174">_xlfn.SWITCH(K174,200,_xlfn.XLOOKUP(J174,EOL_MJ!$C$18:$N$18,EOL_MJ!$C$20:$N$20) + _xlfn.XLOOKUP(B174&amp;"|"&amp;E174,
        Calculate_cap_ener!$L$14:$L$21&amp;"|"&amp;Calculate_cap_ener!$I$14:$I$21,
        Calculate_cap_ener!$BD$14:$BD$21, "Not found", 0), LOOKUP(K174,EOL_MJ!$C$24:$D$24,EOL_MJ!$C$26:$D$26) + _xlfn.XLOOKUP(J174,EOL_MJ!$C$18:$N$18,EOL_MJ!$C$20:$N$20) + _xlfn.XLOOKUP(B174&amp;"|"&amp;E174,
        Calculate_cap_ener!$L$14:$L$21&amp;"|"&amp;Calculate_cap_ener!$I$14:$I$21,
        Calculate_cap_ener!$BD$14:$BD$21, "Not found", 0))</f>
        <v>5019.9731652</v>
      </c>
      <c r="T174" s="8" cm="1">
        <f t="array" ref="T174">_xlfn.SWITCH(K174,200,_xlfn.XLOOKUP(J174,Other!$C$18:$N$18,Other!$C$20:$N$20) + _xlfn.XLOOKUP(B174&amp;"|"&amp;E174,
        Calculate_cap_ener!$L$14:$L$21&amp;"|"&amp;Calculate_cap_ener!$I$14:$I$21,
        Calculate_cap_ener!$BK$14:$BK$21, "Not found", 0), LOOKUP(K174,Other!$C$24:$D$24,Other!$C$26:$D$26) + _xlfn.XLOOKUP(J174,Other!$C$18:$N$18,Other!$C$20:$N$20) + _xlfn.XLOOKUP(B174&amp;"|"&amp;E174,
        Calculate_cap_ener!$L$14:$L$21&amp;"|"&amp;Calculate_cap_ener!$I$14:$I$21,
        Calculate_cap_ener!$BK$14:$BK$21, "Not found", 0))</f>
        <v>65931.599175951225</v>
      </c>
    </row>
    <row r="175" spans="1:20" x14ac:dyDescent="0.25">
      <c r="A175" s="5"/>
      <c r="B175" s="5" t="str">
        <f t="shared" si="21"/>
        <v>Mass-H1</v>
      </c>
      <c r="C175" s="5" t="s">
        <v>37</v>
      </c>
      <c r="D175" s="5" t="str">
        <f t="shared" si="20"/>
        <v>H1</v>
      </c>
      <c r="E175" s="5" t="s">
        <v>11</v>
      </c>
      <c r="F175" s="5" t="s">
        <v>55</v>
      </c>
      <c r="G175" s="5" t="s">
        <v>55</v>
      </c>
      <c r="H175" s="5">
        <v>5</v>
      </c>
      <c r="I175" s="5"/>
      <c r="J175" s="5">
        <f t="shared" si="22"/>
        <v>5</v>
      </c>
      <c r="K175" s="5">
        <v>500</v>
      </c>
      <c r="L175" s="8" cm="1">
        <f t="array" ref="L175">_xlfn.SWITCH(K175,200,_xlfn.XLOOKUP(J175,Manufacture_MJ!$C$18:$N$18,Manufacture_MJ!$C$20:$N$20) + _xlfn.XLOOKUP(B175&amp;"|"&amp;E175,
        Calculate_cap_ener!$L$14:$L$21&amp;"|"&amp;Calculate_cap_ener!$I$14:$I$21,
        Calculate_cap_ener!$AI$14:$AI$21, "Not found", 0), LOOKUP(K175,Manufacture_MJ!$C$24:$D$24,Manufacture_MJ!$C$26:$D$26) + _xlfn.XLOOKUP(J175,Manufacture_MJ!$C$18:$N$18,Manufacture_MJ!$C$20:$N$20) + _xlfn.XLOOKUP(B175&amp;"|"&amp;E175,
        Calculate_cap_ener!$L$14:$L$21&amp;"|"&amp;Calculate_cap_ener!$I$14:$I$21,
        Calculate_cap_ener!$AI$14:$AI$21, "Not found", 0))</f>
        <v>104127.09173696516</v>
      </c>
      <c r="M175" s="8">
        <f>LOOKUP(J175,Manufacture_MJ!$C$18:$N$18,Manufacture_MJ!$C$20:$N$20)</f>
        <v>48340.647798374281</v>
      </c>
      <c r="N175" s="8" cm="1">
        <f t="array" ref="N175">_xlfn.SWITCH(K175,200,0,LOOKUP(K175,Manufacture_MJ!$C$24:$D$24,Manufacture_MJ!$C$26:$D$26))</f>
        <v>10613.59090909091</v>
      </c>
      <c r="O175" s="5" cm="1">
        <f t="array" ref="O175">_xlfn.XLOOKUP(B175&amp;"|"&amp;E175,
        Calculate_cap_ener!$L$14:$L$21&amp;"|"&amp;Calculate_cap_ener!$I$14:$I$21,
        Calculate_cap_ener!$AI$14:$AI$21, "Not found", 0)</f>
        <v>45172.853029499965</v>
      </c>
      <c r="P175" s="8">
        <f t="shared" si="23"/>
        <v>104127.09173696516</v>
      </c>
      <c r="Q175" s="8" cm="1">
        <f t="array" ref="Q175">_xlfn.SWITCH(K175,200,_xlfn.XLOOKUP(J175,Distribution_MJ!$C$18:$N$18,Distribution_MJ!$C$20:$N$20) + _xlfn.XLOOKUP(B175&amp;"|"&amp;E175,
        Calculate_cap_ener!$L$14:$L$21&amp;"|"&amp;Calculate_cap_ener!$I$14:$I$21,
        Calculate_cap_ener!$AP$14:$AP$21, "Not found", 0), LOOKUP(K175,Distribution_MJ!$C$24:$D$24,Distribution_MJ!$C$26:$D$26) + _xlfn.XLOOKUP(J175,Distribution_MJ!$C$18:$N$18,Distribution_MJ!$C$20:$N$20) + _xlfn.XLOOKUP(B175&amp;"|"&amp;E175,
        Calculate_cap_ener!$L$14:$L$21&amp;"|"&amp;Calculate_cap_ener!$I$14:$I$21,
        Calculate_cap_ener!$AP$14:$AP$21, "Not found", 0))</f>
        <v>2500.4314079500987</v>
      </c>
      <c r="R175" s="8" cm="1">
        <f t="array" ref="R175">_xlfn.SWITCH(K175,200,_xlfn.XLOOKUP(J175,Installation_MJ!$C$18:$N$18,Installation_MJ!$C$20:$N$20) + _xlfn.XLOOKUP(B175&amp;"|"&amp;E175,
        Calculate_cap_ener!$L$14:$L$21&amp;"|"&amp;Calculate_cap_ener!$I$14:$I$21,
        Calculate_cap_ener!$AW$14:$AW$21, "Not found", 0), LOOKUP(K175,Installation_MJ!$C$24:$D$24,Installation_MJ!$C$26:$D$26) + _xlfn.XLOOKUP(J175,Installation_MJ!$C$18:$N$18,Installation_MJ!$C$20:$N$20) + _xlfn.XLOOKUP(B175&amp;"|"&amp;E175,
        Calculate_cap_ener!$L$14:$L$21&amp;"|"&amp;Calculate_cap_ener!$I$14:$I$21,
        Calculate_cap_ener!$AW$14:$AW$21, "Not found", 0))</f>
        <v>211.64113058817676</v>
      </c>
      <c r="S175" s="8" cm="1">
        <f t="array" ref="S175">_xlfn.SWITCH(K175,200,_xlfn.XLOOKUP(J175,EOL_MJ!$C$18:$N$18,EOL_MJ!$C$20:$N$20) + _xlfn.XLOOKUP(B175&amp;"|"&amp;E175,
        Calculate_cap_ener!$L$14:$L$21&amp;"|"&amp;Calculate_cap_ener!$I$14:$I$21,
        Calculate_cap_ener!$BD$14:$BD$21, "Not found", 0), LOOKUP(K175,EOL_MJ!$C$24:$D$24,EOL_MJ!$C$26:$D$26) + _xlfn.XLOOKUP(J175,EOL_MJ!$C$18:$N$18,EOL_MJ!$C$20:$N$20) + _xlfn.XLOOKUP(B175&amp;"|"&amp;E175,
        Calculate_cap_ener!$L$14:$L$21&amp;"|"&amp;Calculate_cap_ener!$I$14:$I$21,
        Calculate_cap_ener!$BD$14:$BD$21, "Not found", 0))</f>
        <v>15519.018619745453</v>
      </c>
      <c r="T175" s="8" cm="1">
        <f t="array" ref="T175">_xlfn.SWITCH(K175,200,_xlfn.XLOOKUP(J175,Other!$C$18:$N$18,Other!$C$20:$N$20) + _xlfn.XLOOKUP(B175&amp;"|"&amp;E175,
        Calculate_cap_ener!$L$14:$L$21&amp;"|"&amp;Calculate_cap_ener!$I$14:$I$21,
        Calculate_cap_ener!$BK$14:$BK$21, "Not found", 0), LOOKUP(K175,Other!$C$24:$D$24,Other!$C$26:$D$26) + _xlfn.XLOOKUP(J175,Other!$C$18:$N$18,Other!$C$20:$N$20) + _xlfn.XLOOKUP(B175&amp;"|"&amp;E175,
        Calculate_cap_ener!$L$14:$L$21&amp;"|"&amp;Calculate_cap_ener!$I$14:$I$21,
        Calculate_cap_ener!$BK$14:$BK$21, "Not found", 0))</f>
        <v>65734.591426285973</v>
      </c>
    </row>
    <row r="176" spans="1:20" x14ac:dyDescent="0.25">
      <c r="A176" s="5"/>
      <c r="B176" s="5" t="str">
        <f t="shared" si="21"/>
        <v>Mass-H1</v>
      </c>
      <c r="C176" s="5" t="s">
        <v>37</v>
      </c>
      <c r="D176" s="5" t="str">
        <f t="shared" si="20"/>
        <v>H1</v>
      </c>
      <c r="E176" s="5" t="s">
        <v>11</v>
      </c>
      <c r="F176" s="5" t="s">
        <v>55</v>
      </c>
      <c r="G176" s="5" t="s">
        <v>55</v>
      </c>
      <c r="H176" s="5">
        <v>6</v>
      </c>
      <c r="I176" s="5"/>
      <c r="J176" s="5">
        <f t="shared" si="22"/>
        <v>6</v>
      </c>
      <c r="K176" s="5">
        <v>500</v>
      </c>
      <c r="L176" s="8" cm="1">
        <f t="array" ref="L176">_xlfn.SWITCH(K176,200,_xlfn.XLOOKUP(J176,Manufacture_MJ!$C$18:$N$18,Manufacture_MJ!$C$20:$N$20) + _xlfn.XLOOKUP(B176&amp;"|"&amp;E176,
        Calculate_cap_ener!$L$14:$L$21&amp;"|"&amp;Calculate_cap_ener!$I$14:$I$21,
        Calculate_cap_ener!$AI$14:$AI$21, "Not found", 0), LOOKUP(K176,Manufacture_MJ!$C$24:$D$24,Manufacture_MJ!$C$26:$D$26) + _xlfn.XLOOKUP(J176,Manufacture_MJ!$C$18:$N$18,Manufacture_MJ!$C$20:$N$20) + _xlfn.XLOOKUP(B176&amp;"|"&amp;E176,
        Calculate_cap_ener!$L$14:$L$21&amp;"|"&amp;Calculate_cap_ener!$I$14:$I$21,
        Calculate_cap_ener!$AI$14:$AI$21, "Not found", 0))</f>
        <v>104481.93033726299</v>
      </c>
      <c r="M176" s="8">
        <f>LOOKUP(J176,Manufacture_MJ!$C$18:$N$18,Manufacture_MJ!$C$20:$N$20)</f>
        <v>48695.486398672118</v>
      </c>
      <c r="N176" s="8" cm="1">
        <f t="array" ref="N176">_xlfn.SWITCH(K176,200,0,LOOKUP(K176,Manufacture_MJ!$C$24:$D$24,Manufacture_MJ!$C$26:$D$26))</f>
        <v>10613.59090909091</v>
      </c>
      <c r="O176" s="5" cm="1">
        <f t="array" ref="O176">_xlfn.XLOOKUP(B176&amp;"|"&amp;E176,
        Calculate_cap_ener!$L$14:$L$21&amp;"|"&amp;Calculate_cap_ener!$I$14:$I$21,
        Calculate_cap_ener!$AI$14:$AI$21, "Not found", 0)</f>
        <v>45172.853029499965</v>
      </c>
      <c r="P176" s="8">
        <f t="shared" si="23"/>
        <v>104481.93033726299</v>
      </c>
      <c r="Q176" s="8" cm="1">
        <f t="array" ref="Q176">_xlfn.SWITCH(K176,200,_xlfn.XLOOKUP(J176,Distribution_MJ!$C$18:$N$18,Distribution_MJ!$C$20:$N$20) + _xlfn.XLOOKUP(B176&amp;"|"&amp;E176,
        Calculate_cap_ener!$L$14:$L$21&amp;"|"&amp;Calculate_cap_ener!$I$14:$I$21,
        Calculate_cap_ener!$AP$14:$AP$21, "Not found", 0), LOOKUP(K176,Distribution_MJ!$C$24:$D$24,Distribution_MJ!$C$26:$D$26) + _xlfn.XLOOKUP(J176,Distribution_MJ!$C$18:$N$18,Distribution_MJ!$C$20:$N$20) + _xlfn.XLOOKUP(B176&amp;"|"&amp;E176,
        Calculate_cap_ener!$L$14:$L$21&amp;"|"&amp;Calculate_cap_ener!$I$14:$I$21,
        Calculate_cap_ener!$AP$14:$AP$21, "Not found", 0))</f>
        <v>2533.1357010852485</v>
      </c>
      <c r="R176" s="8" cm="1">
        <f t="array" ref="R176">_xlfn.SWITCH(K176,200,_xlfn.XLOOKUP(J176,Installation_MJ!$C$18:$N$18,Installation_MJ!$C$20:$N$20) + _xlfn.XLOOKUP(B176&amp;"|"&amp;E176,
        Calculate_cap_ener!$L$14:$L$21&amp;"|"&amp;Calculate_cap_ener!$I$14:$I$21,
        Calculate_cap_ener!$AW$14:$AW$21, "Not found", 0), LOOKUP(K176,Installation_MJ!$C$24:$D$24,Installation_MJ!$C$26:$D$26) + _xlfn.XLOOKUP(J176,Installation_MJ!$C$18:$N$18,Installation_MJ!$C$20:$N$20) + _xlfn.XLOOKUP(B176&amp;"|"&amp;E176,
        Calculate_cap_ener!$L$14:$L$21&amp;"|"&amp;Calculate_cap_ener!$I$14:$I$21,
        Calculate_cap_ener!$AW$14:$AW$21, "Not found", 0))</f>
        <v>214.10020884819903</v>
      </c>
      <c r="S176" s="8" cm="1">
        <f t="array" ref="S176">_xlfn.SWITCH(K176,200,_xlfn.XLOOKUP(J176,EOL_MJ!$C$18:$N$18,EOL_MJ!$C$20:$N$20) + _xlfn.XLOOKUP(B176&amp;"|"&amp;E176,
        Calculate_cap_ener!$L$14:$L$21&amp;"|"&amp;Calculate_cap_ener!$I$14:$I$21,
        Calculate_cap_ener!$BD$14:$BD$21, "Not found", 0), LOOKUP(K176,EOL_MJ!$C$24:$D$24,EOL_MJ!$C$26:$D$26) + _xlfn.XLOOKUP(J176,EOL_MJ!$C$18:$N$18,EOL_MJ!$C$20:$N$20) + _xlfn.XLOOKUP(B176&amp;"|"&amp;E176,
        Calculate_cap_ener!$L$14:$L$21&amp;"|"&amp;Calculate_cap_ener!$I$14:$I$21,
        Calculate_cap_ener!$BD$14:$BD$21, "Not found", 0))</f>
        <v>15519.018619745453</v>
      </c>
      <c r="T176" s="8" cm="1">
        <f t="array" ref="T176">_xlfn.SWITCH(K176,200,_xlfn.XLOOKUP(J176,Other!$C$18:$N$18,Other!$C$20:$N$20) + _xlfn.XLOOKUP(B176&amp;"|"&amp;E176,
        Calculate_cap_ener!$L$14:$L$21&amp;"|"&amp;Calculate_cap_ener!$I$14:$I$21,
        Calculate_cap_ener!$BK$14:$BK$21, "Not found", 0), LOOKUP(K176,Other!$C$24:$D$24,Other!$C$26:$D$26) + _xlfn.XLOOKUP(J176,Other!$C$18:$N$18,Other!$C$20:$N$20) + _xlfn.XLOOKUP(B176&amp;"|"&amp;E176,
        Calculate_cap_ener!$L$14:$L$21&amp;"|"&amp;Calculate_cap_ener!$I$14:$I$21,
        Calculate_cap_ener!$BK$14:$BK$21, "Not found", 0))</f>
        <v>65756.481176248781</v>
      </c>
    </row>
    <row r="177" spans="1:20" x14ac:dyDescent="0.25">
      <c r="A177" s="5"/>
      <c r="B177" s="5" t="str">
        <f t="shared" si="21"/>
        <v>Mass-H1</v>
      </c>
      <c r="C177" s="5" t="s">
        <v>37</v>
      </c>
      <c r="D177" s="5" t="str">
        <f t="shared" si="20"/>
        <v>H1</v>
      </c>
      <c r="E177" s="5" t="s">
        <v>11</v>
      </c>
      <c r="F177" s="5" t="s">
        <v>55</v>
      </c>
      <c r="G177" s="5" t="s">
        <v>55</v>
      </c>
      <c r="H177" s="5">
        <v>8.5</v>
      </c>
      <c r="I177" s="5"/>
      <c r="J177" s="5">
        <f t="shared" si="22"/>
        <v>9</v>
      </c>
      <c r="K177" s="5">
        <v>500</v>
      </c>
      <c r="L177" s="8" cm="1">
        <f t="array" ref="L177">_xlfn.SWITCH(K177,200,_xlfn.XLOOKUP(J177,Manufacture_MJ!$C$18:$N$18,Manufacture_MJ!$C$20:$N$20) + _xlfn.XLOOKUP(B177&amp;"|"&amp;E177,
        Calculate_cap_ener!$L$14:$L$21&amp;"|"&amp;Calculate_cap_ener!$I$14:$I$21,
        Calculate_cap_ener!$AI$14:$AI$21, "Not found", 0), LOOKUP(K177,Manufacture_MJ!$C$24:$D$24,Manufacture_MJ!$C$26:$D$26) + _xlfn.XLOOKUP(J177,Manufacture_MJ!$C$18:$N$18,Manufacture_MJ!$C$20:$N$20) + _xlfn.XLOOKUP(B177&amp;"|"&amp;E177,
        Calculate_cap_ener!$L$14:$L$21&amp;"|"&amp;Calculate_cap_ener!$I$14:$I$21,
        Calculate_cap_ener!$AI$14:$AI$21, "Not found", 0))</f>
        <v>105546.44613815649</v>
      </c>
      <c r="M177" s="8">
        <f>LOOKUP(J177,Manufacture_MJ!$C$18:$N$18,Manufacture_MJ!$C$20:$N$20)</f>
        <v>49760.002199565621</v>
      </c>
      <c r="N177" s="8" cm="1">
        <f t="array" ref="N177">_xlfn.SWITCH(K177,200,0,LOOKUP(K177,Manufacture_MJ!$C$24:$D$24,Manufacture_MJ!$C$26:$D$26))</f>
        <v>10613.59090909091</v>
      </c>
      <c r="O177" s="5" cm="1">
        <f t="array" ref="O177">_xlfn.XLOOKUP(B177&amp;"|"&amp;E177,
        Calculate_cap_ener!$L$14:$L$21&amp;"|"&amp;Calculate_cap_ener!$I$14:$I$21,
        Calculate_cap_ener!$AI$14:$AI$21, "Not found", 0)</f>
        <v>45172.853029499965</v>
      </c>
      <c r="P177" s="8">
        <f t="shared" si="23"/>
        <v>105546.44613815649</v>
      </c>
      <c r="Q177" s="8" cm="1">
        <f t="array" ref="Q177">_xlfn.SWITCH(K177,200,_xlfn.XLOOKUP(J177,Distribution_MJ!$C$18:$N$18,Distribution_MJ!$C$20:$N$20) + _xlfn.XLOOKUP(B177&amp;"|"&amp;E177,
        Calculate_cap_ener!$L$14:$L$21&amp;"|"&amp;Calculate_cap_ener!$I$14:$I$21,
        Calculate_cap_ener!$AP$14:$AP$21, "Not found", 0), LOOKUP(K177,Distribution_MJ!$C$24:$D$24,Distribution_MJ!$C$26:$D$26) + _xlfn.XLOOKUP(J177,Distribution_MJ!$C$18:$N$18,Distribution_MJ!$C$20:$N$20) + _xlfn.XLOOKUP(B177&amp;"|"&amp;E177,
        Calculate_cap_ener!$L$14:$L$21&amp;"|"&amp;Calculate_cap_ener!$I$14:$I$21,
        Calculate_cap_ener!$AP$14:$AP$21, "Not found", 0))</f>
        <v>2631.2485804906983</v>
      </c>
      <c r="R177" s="8" cm="1">
        <f t="array" ref="R177">_xlfn.SWITCH(K177,200,_xlfn.XLOOKUP(J177,Installation_MJ!$C$18:$N$18,Installation_MJ!$C$20:$N$20) + _xlfn.XLOOKUP(B177&amp;"|"&amp;E177,
        Calculate_cap_ener!$L$14:$L$21&amp;"|"&amp;Calculate_cap_ener!$I$14:$I$21,
        Calculate_cap_ener!$AW$14:$AW$21, "Not found", 0), LOOKUP(K177,Installation_MJ!$C$24:$D$24,Installation_MJ!$C$26:$D$26) + _xlfn.XLOOKUP(J177,Installation_MJ!$C$18:$N$18,Installation_MJ!$C$20:$N$20) + _xlfn.XLOOKUP(B177&amp;"|"&amp;E177,
        Calculate_cap_ener!$L$14:$L$21&amp;"|"&amp;Calculate_cap_ener!$I$14:$I$21,
        Calculate_cap_ener!$AW$14:$AW$21, "Not found", 0))</f>
        <v>221.47744362826552</v>
      </c>
      <c r="S177" s="8" cm="1">
        <f t="array" ref="S177">_xlfn.SWITCH(K177,200,_xlfn.XLOOKUP(J177,EOL_MJ!$C$18:$N$18,EOL_MJ!$C$20:$N$20) + _xlfn.XLOOKUP(B177&amp;"|"&amp;E177,
        Calculate_cap_ener!$L$14:$L$21&amp;"|"&amp;Calculate_cap_ener!$I$14:$I$21,
        Calculate_cap_ener!$BD$14:$BD$21, "Not found", 0), LOOKUP(K177,EOL_MJ!$C$24:$D$24,EOL_MJ!$C$26:$D$26) + _xlfn.XLOOKUP(J177,EOL_MJ!$C$18:$N$18,EOL_MJ!$C$20:$N$20) + _xlfn.XLOOKUP(B177&amp;"|"&amp;E177,
        Calculate_cap_ener!$L$14:$L$21&amp;"|"&amp;Calculate_cap_ener!$I$14:$I$21,
        Calculate_cap_ener!$BD$14:$BD$21, "Not found", 0))</f>
        <v>15519.018619745453</v>
      </c>
      <c r="T177" s="8" cm="1">
        <f t="array" ref="T177">_xlfn.SWITCH(K177,200,_xlfn.XLOOKUP(J177,Other!$C$18:$N$18,Other!$C$20:$N$20) + _xlfn.XLOOKUP(B177&amp;"|"&amp;E177,
        Calculate_cap_ener!$L$14:$L$21&amp;"|"&amp;Calculate_cap_ener!$I$14:$I$21,
        Calculate_cap_ener!$BK$14:$BK$21, "Not found", 0), LOOKUP(K177,Other!$C$24:$D$24,Other!$C$26:$D$26) + _xlfn.XLOOKUP(J177,Other!$C$18:$N$18,Other!$C$20:$N$20) + _xlfn.XLOOKUP(B177&amp;"|"&amp;E177,
        Calculate_cap_ener!$L$14:$L$21&amp;"|"&amp;Calculate_cap_ener!$I$14:$I$21,
        Calculate_cap_ener!$BK$14:$BK$21, "Not found", 0))</f>
        <v>65822.150426137203</v>
      </c>
    </row>
    <row r="178" spans="1:20" x14ac:dyDescent="0.25">
      <c r="A178" s="5"/>
      <c r="B178" s="5" t="str">
        <f t="shared" si="21"/>
        <v>Mass-H1</v>
      </c>
      <c r="C178" s="5" t="s">
        <v>37</v>
      </c>
      <c r="D178" s="5" t="str">
        <f t="shared" si="20"/>
        <v>H1</v>
      </c>
      <c r="E178" s="5" t="s">
        <v>11</v>
      </c>
      <c r="F178" s="5" t="s">
        <v>55</v>
      </c>
      <c r="G178" s="5" t="s">
        <v>55</v>
      </c>
      <c r="H178" s="5">
        <v>14</v>
      </c>
      <c r="I178" s="5"/>
      <c r="J178" s="5">
        <f t="shared" si="22"/>
        <v>14</v>
      </c>
      <c r="K178" s="5">
        <v>500</v>
      </c>
      <c r="L178" s="8" cm="1">
        <f t="array" ref="L178">_xlfn.SWITCH(K178,200,_xlfn.XLOOKUP(J178,Manufacture_MJ!$C$18:$N$18,Manufacture_MJ!$C$20:$N$20) + _xlfn.XLOOKUP(B178&amp;"|"&amp;E178,
        Calculate_cap_ener!$L$14:$L$21&amp;"|"&amp;Calculate_cap_ener!$I$14:$I$21,
        Calculate_cap_ener!$AI$14:$AI$21, "Not found", 0), LOOKUP(K178,Manufacture_MJ!$C$24:$D$24,Manufacture_MJ!$C$26:$D$26) + _xlfn.XLOOKUP(J178,Manufacture_MJ!$C$18:$N$18,Manufacture_MJ!$C$20:$N$20) + _xlfn.XLOOKUP(B178&amp;"|"&amp;E178,
        Calculate_cap_ener!$L$14:$L$21&amp;"|"&amp;Calculate_cap_ener!$I$14:$I$21,
        Calculate_cap_ener!$AI$14:$AI$21, "Not found", 0))</f>
        <v>107320.63913964579</v>
      </c>
      <c r="M178" s="8">
        <f>LOOKUP(J178,Manufacture_MJ!$C$18:$N$18,Manufacture_MJ!$C$20:$N$20)</f>
        <v>51534.195201054921</v>
      </c>
      <c r="N178" s="8" cm="1">
        <f t="array" ref="N178">_xlfn.SWITCH(K178,200,0,LOOKUP(K178,Manufacture_MJ!$C$24:$D$24,Manufacture_MJ!$C$26:$D$26))</f>
        <v>10613.59090909091</v>
      </c>
      <c r="O178" s="5" cm="1">
        <f t="array" ref="O178">_xlfn.XLOOKUP(B178&amp;"|"&amp;E178,
        Calculate_cap_ener!$L$14:$L$21&amp;"|"&amp;Calculate_cap_ener!$I$14:$I$21,
        Calculate_cap_ener!$AI$14:$AI$21, "Not found", 0)</f>
        <v>45172.853029499965</v>
      </c>
      <c r="P178" s="8">
        <f t="shared" si="23"/>
        <v>107320.63913964579</v>
      </c>
      <c r="Q178" s="8" cm="1">
        <f t="array" ref="Q178">_xlfn.SWITCH(K178,200,_xlfn.XLOOKUP(J178,Distribution_MJ!$C$18:$N$18,Distribution_MJ!$C$20:$N$20) + _xlfn.XLOOKUP(B178&amp;"|"&amp;E178,
        Calculate_cap_ener!$L$14:$L$21&amp;"|"&amp;Calculate_cap_ener!$I$14:$I$21,
        Calculate_cap_ener!$AP$14:$AP$21, "Not found", 0), LOOKUP(K178,Distribution_MJ!$C$24:$D$24,Distribution_MJ!$C$26:$D$26) + _xlfn.XLOOKUP(J178,Distribution_MJ!$C$18:$N$18,Distribution_MJ!$C$20:$N$20) + _xlfn.XLOOKUP(B178&amp;"|"&amp;E178,
        Calculate_cap_ener!$L$14:$L$21&amp;"|"&amp;Calculate_cap_ener!$I$14:$I$21,
        Calculate_cap_ener!$AP$14:$AP$21, "Not found", 0))</f>
        <v>2794.7700461664481</v>
      </c>
      <c r="R178" s="8" cm="1">
        <f t="array" ref="R178">_xlfn.SWITCH(K178,200,_xlfn.XLOOKUP(J178,Installation_MJ!$C$18:$N$18,Installation_MJ!$C$20:$N$20) + _xlfn.XLOOKUP(B178&amp;"|"&amp;E178,
        Calculate_cap_ener!$L$14:$L$21&amp;"|"&amp;Calculate_cap_ener!$I$14:$I$21,
        Calculate_cap_ener!$AW$14:$AW$21, "Not found", 0), LOOKUP(K178,Installation_MJ!$C$24:$D$24,Installation_MJ!$C$26:$D$26) + _xlfn.XLOOKUP(J178,Installation_MJ!$C$18:$N$18,Installation_MJ!$C$20:$N$20) + _xlfn.XLOOKUP(B178&amp;"|"&amp;E178,
        Calculate_cap_ener!$L$14:$L$21&amp;"|"&amp;Calculate_cap_ener!$I$14:$I$21,
        Calculate_cap_ener!$AW$14:$AW$21, "Not found", 0))</f>
        <v>233.77283492837671</v>
      </c>
      <c r="S178" s="8" cm="1">
        <f t="array" ref="S178">_xlfn.SWITCH(K178,200,_xlfn.XLOOKUP(J178,EOL_MJ!$C$18:$N$18,EOL_MJ!$C$20:$N$20) + _xlfn.XLOOKUP(B178&amp;"|"&amp;E178,
        Calculate_cap_ener!$L$14:$L$21&amp;"|"&amp;Calculate_cap_ener!$I$14:$I$21,
        Calculate_cap_ener!$BD$14:$BD$21, "Not found", 0), LOOKUP(K178,EOL_MJ!$C$24:$D$24,EOL_MJ!$C$26:$D$26) + _xlfn.XLOOKUP(J178,EOL_MJ!$C$18:$N$18,EOL_MJ!$C$20:$N$20) + _xlfn.XLOOKUP(B178&amp;"|"&amp;E178,
        Calculate_cap_ener!$L$14:$L$21&amp;"|"&amp;Calculate_cap_ener!$I$14:$I$21,
        Calculate_cap_ener!$BD$14:$BD$21, "Not found", 0))</f>
        <v>15519.018619745453</v>
      </c>
      <c r="T178" s="8" cm="1">
        <f t="array" ref="T178">_xlfn.SWITCH(K178,200,_xlfn.XLOOKUP(J178,Other!$C$18:$N$18,Other!$C$20:$N$20) + _xlfn.XLOOKUP(B178&amp;"|"&amp;E178,
        Calculate_cap_ener!$L$14:$L$21&amp;"|"&amp;Calculate_cap_ener!$I$14:$I$21,
        Calculate_cap_ener!$BK$14:$BK$21, "Not found", 0), LOOKUP(K178,Other!$C$24:$D$24,Other!$C$26:$D$26) + _xlfn.XLOOKUP(J178,Other!$C$18:$N$18,Other!$C$20:$N$20) + _xlfn.XLOOKUP(B178&amp;"|"&amp;E178,
        Calculate_cap_ener!$L$14:$L$21&amp;"|"&amp;Calculate_cap_ener!$I$14:$I$21,
        Calculate_cap_ener!$BK$14:$BK$21, "Not found", 0))</f>
        <v>65931.599175951225</v>
      </c>
    </row>
    <row r="179" spans="1:20" x14ac:dyDescent="0.25">
      <c r="A179" s="5"/>
      <c r="B179" s="5" t="str">
        <f t="shared" si="21"/>
        <v>Mass-H1</v>
      </c>
      <c r="C179" s="5" t="s">
        <v>37</v>
      </c>
      <c r="D179" s="5" t="str">
        <f t="shared" si="20"/>
        <v>H1</v>
      </c>
      <c r="E179" s="5" t="s">
        <v>11</v>
      </c>
      <c r="F179" s="5" t="s">
        <v>57</v>
      </c>
      <c r="G179" s="5" t="s">
        <v>57</v>
      </c>
      <c r="H179" s="5">
        <v>5</v>
      </c>
      <c r="I179" s="5"/>
      <c r="J179" s="5">
        <f t="shared" si="22"/>
        <v>5</v>
      </c>
      <c r="K179" s="5">
        <v>1000</v>
      </c>
      <c r="L179" s="8" cm="1">
        <f t="array" ref="L179">_xlfn.SWITCH(K179,200,_xlfn.XLOOKUP(J179,Manufacture_MJ!$C$18:$N$18,Manufacture_MJ!$C$20:$N$20) + _xlfn.XLOOKUP(B179&amp;"|"&amp;E179,
        Calculate_cap_ener!$L$14:$L$21&amp;"|"&amp;Calculate_cap_ener!$I$14:$I$21,
        Calculate_cap_ener!$AI$14:$AI$21, "Not found", 0), LOOKUP(K179,Manufacture_MJ!$C$24:$D$24,Manufacture_MJ!$C$26:$D$26) + _xlfn.XLOOKUP(J179,Manufacture_MJ!$C$18:$N$18,Manufacture_MJ!$C$20:$N$20) + _xlfn.XLOOKUP(B179&amp;"|"&amp;E179,
        Calculate_cap_ener!$L$14:$L$21&amp;"|"&amp;Calculate_cap_ener!$I$14:$I$21,
        Calculate_cap_ener!$AI$14:$AI$21, "Not found", 0))</f>
        <v>114086.81900969242</v>
      </c>
      <c r="M179" s="8">
        <f>LOOKUP(J179,Manufacture_MJ!$C$18:$N$18,Manufacture_MJ!$C$20:$N$20)</f>
        <v>48340.647798374281</v>
      </c>
      <c r="N179" s="8" cm="1">
        <f t="array" ref="N179">_xlfn.SWITCH(K179,200,0,LOOKUP(K179,Manufacture_MJ!$C$24:$D$24,Manufacture_MJ!$C$26:$D$26))</f>
        <v>20573.31818181818</v>
      </c>
      <c r="O179" s="5" cm="1">
        <f t="array" ref="O179">_xlfn.XLOOKUP(B179&amp;"|"&amp;E179,
        Calculate_cap_ener!$L$14:$L$21&amp;"|"&amp;Calculate_cap_ener!$I$14:$I$21,
        Calculate_cap_ener!$AI$14:$AI$21, "Not found", 0)</f>
        <v>45172.853029499965</v>
      </c>
      <c r="P179" s="8">
        <f t="shared" si="23"/>
        <v>114086.81900969242</v>
      </c>
      <c r="Q179" s="8" cm="1">
        <f t="array" ref="Q179">_xlfn.SWITCH(K179,200,_xlfn.XLOOKUP(J179,Distribution_MJ!$C$18:$N$18,Distribution_MJ!$C$20:$N$20) + _xlfn.XLOOKUP(B179&amp;"|"&amp;E179,
        Calculate_cap_ener!$L$14:$L$21&amp;"|"&amp;Calculate_cap_ener!$I$14:$I$21,
        Calculate_cap_ener!$AP$14:$AP$21, "Not found", 0), LOOKUP(K179,Distribution_MJ!$C$24:$D$24,Distribution_MJ!$C$26:$D$26) + _xlfn.XLOOKUP(J179,Distribution_MJ!$C$18:$N$18,Distribution_MJ!$C$20:$N$20) + _xlfn.XLOOKUP(B179&amp;"|"&amp;E179,
        Calculate_cap_ener!$L$14:$L$21&amp;"|"&amp;Calculate_cap_ener!$I$14:$I$21,
        Calculate_cap_ener!$AP$14:$AP$21, "Not found", 0))</f>
        <v>2681.0167332970987</v>
      </c>
      <c r="R179" s="8" cm="1">
        <f t="array" ref="R179">_xlfn.SWITCH(K179,200,_xlfn.XLOOKUP(J179,Installation_MJ!$C$18:$N$18,Installation_MJ!$C$20:$N$20) + _xlfn.XLOOKUP(B179&amp;"|"&amp;E179,
        Calculate_cap_ener!$L$14:$L$21&amp;"|"&amp;Calculate_cap_ener!$I$14:$I$21,
        Calculate_cap_ener!$AW$14:$AW$21, "Not found", 0), LOOKUP(K179,Installation_MJ!$C$24:$D$24,Installation_MJ!$C$26:$D$26) + _xlfn.XLOOKUP(J179,Installation_MJ!$C$18:$N$18,Installation_MJ!$C$20:$N$20) + _xlfn.XLOOKUP(B179&amp;"|"&amp;E179,
        Calculate_cap_ener!$L$14:$L$21&amp;"|"&amp;Calculate_cap_ener!$I$14:$I$21,
        Calculate_cap_ener!$AW$14:$AW$21, "Not found", 0))</f>
        <v>217.36840331544948</v>
      </c>
      <c r="S179" s="8" cm="1">
        <f t="array" ref="S179">_xlfn.SWITCH(K179,200,_xlfn.XLOOKUP(J179,EOL_MJ!$C$18:$N$18,EOL_MJ!$C$20:$N$20) + _xlfn.XLOOKUP(B179&amp;"|"&amp;E179,
        Calculate_cap_ener!$L$14:$L$21&amp;"|"&amp;Calculate_cap_ener!$I$14:$I$21,
        Calculate_cap_ener!$BD$14:$BD$21, "Not found", 0), LOOKUP(K179,EOL_MJ!$C$24:$D$24,EOL_MJ!$C$26:$D$26) + _xlfn.XLOOKUP(J179,EOL_MJ!$C$18:$N$18,EOL_MJ!$C$20:$N$20) + _xlfn.XLOOKUP(B179&amp;"|"&amp;E179,
        Calculate_cap_ener!$L$14:$L$21&amp;"|"&amp;Calculate_cap_ener!$I$14:$I$21,
        Calculate_cap_ener!$BD$14:$BD$21, "Not found", 0))</f>
        <v>25655.336801563637</v>
      </c>
      <c r="T179" s="8" cm="1">
        <f t="array" ref="T179">_xlfn.SWITCH(K179,200,_xlfn.XLOOKUP(J179,Other!$C$18:$N$18,Other!$C$20:$N$20) + _xlfn.XLOOKUP(B179&amp;"|"&amp;E179,
        Calculate_cap_ener!$L$14:$L$21&amp;"|"&amp;Calculate_cap_ener!$I$14:$I$21,
        Calculate_cap_ener!$BK$14:$BK$21, "Not found", 0), LOOKUP(K179,Other!$C$24:$D$24,Other!$C$26:$D$26) + _xlfn.XLOOKUP(J179,Other!$C$18:$N$18,Other!$C$20:$N$20) + _xlfn.XLOOKUP(B179&amp;"|"&amp;E179,
        Calculate_cap_ener!$L$14:$L$21&amp;"|"&amp;Calculate_cap_ener!$I$14:$I$21,
        Calculate_cap_ener!$BK$14:$BK$21, "Not found", 0))</f>
        <v>65734.591426285973</v>
      </c>
    </row>
    <row r="180" spans="1:20" x14ac:dyDescent="0.25">
      <c r="A180" s="5"/>
      <c r="B180" s="5" t="str">
        <f t="shared" si="21"/>
        <v>Mass-H1</v>
      </c>
      <c r="C180" s="5" t="s">
        <v>37</v>
      </c>
      <c r="D180" s="5" t="str">
        <f t="shared" si="20"/>
        <v>H1</v>
      </c>
      <c r="E180" s="5" t="s">
        <v>11</v>
      </c>
      <c r="F180" s="5" t="s">
        <v>57</v>
      </c>
      <c r="G180" s="5" t="s">
        <v>57</v>
      </c>
      <c r="H180" s="5">
        <v>6</v>
      </c>
      <c r="I180" s="5"/>
      <c r="J180" s="5">
        <f t="shared" si="22"/>
        <v>6</v>
      </c>
      <c r="K180" s="5">
        <v>1000</v>
      </c>
      <c r="L180" s="8" cm="1">
        <f t="array" ref="L180">_xlfn.SWITCH(K180,200,_xlfn.XLOOKUP(J180,Manufacture_MJ!$C$18:$N$18,Manufacture_MJ!$C$20:$N$20) + _xlfn.XLOOKUP(B180&amp;"|"&amp;E180,
        Calculate_cap_ener!$L$14:$L$21&amp;"|"&amp;Calculate_cap_ener!$I$14:$I$21,
        Calculate_cap_ener!$AI$14:$AI$21, "Not found", 0), LOOKUP(K180,Manufacture_MJ!$C$24:$D$24,Manufacture_MJ!$C$26:$D$26) + _xlfn.XLOOKUP(J180,Manufacture_MJ!$C$18:$N$18,Manufacture_MJ!$C$20:$N$20) + _xlfn.XLOOKUP(B180&amp;"|"&amp;E180,
        Calculate_cap_ener!$L$14:$L$21&amp;"|"&amp;Calculate_cap_ener!$I$14:$I$21,
        Calculate_cap_ener!$AI$14:$AI$21, "Not found", 0))</f>
        <v>114441.65760999026</v>
      </c>
      <c r="M180" s="8">
        <f>LOOKUP(J180,Manufacture_MJ!$C$18:$N$18,Manufacture_MJ!$C$20:$N$20)</f>
        <v>48695.486398672118</v>
      </c>
      <c r="N180" s="8" cm="1">
        <f t="array" ref="N180">_xlfn.SWITCH(K180,200,0,LOOKUP(K180,Manufacture_MJ!$C$24:$D$24,Manufacture_MJ!$C$26:$D$26))</f>
        <v>20573.31818181818</v>
      </c>
      <c r="O180" s="5" cm="1">
        <f t="array" ref="O180">_xlfn.XLOOKUP(B180&amp;"|"&amp;E180,
        Calculate_cap_ener!$L$14:$L$21&amp;"|"&amp;Calculate_cap_ener!$I$14:$I$21,
        Calculate_cap_ener!$AI$14:$AI$21, "Not found", 0)</f>
        <v>45172.853029499965</v>
      </c>
      <c r="P180" s="8">
        <f t="shared" si="23"/>
        <v>114441.65760999026</v>
      </c>
      <c r="Q180" s="8" cm="1">
        <f t="array" ref="Q180">_xlfn.SWITCH(K180,200,_xlfn.XLOOKUP(J180,Distribution_MJ!$C$18:$N$18,Distribution_MJ!$C$20:$N$20) + _xlfn.XLOOKUP(B180&amp;"|"&amp;E180,
        Calculate_cap_ener!$L$14:$L$21&amp;"|"&amp;Calculate_cap_ener!$I$14:$I$21,
        Calculate_cap_ener!$AP$14:$AP$21, "Not found", 0), LOOKUP(K180,Distribution_MJ!$C$24:$D$24,Distribution_MJ!$C$26:$D$26) + _xlfn.XLOOKUP(J180,Distribution_MJ!$C$18:$N$18,Distribution_MJ!$C$20:$N$20) + _xlfn.XLOOKUP(B180&amp;"|"&amp;E180,
        Calculate_cap_ener!$L$14:$L$21&amp;"|"&amp;Calculate_cap_ener!$I$14:$I$21,
        Calculate_cap_ener!$AP$14:$AP$21, "Not found", 0))</f>
        <v>2713.7210264322484</v>
      </c>
      <c r="R180" s="8" cm="1">
        <f t="array" ref="R180">_xlfn.SWITCH(K180,200,_xlfn.XLOOKUP(J180,Installation_MJ!$C$18:$N$18,Installation_MJ!$C$20:$N$20) + _xlfn.XLOOKUP(B180&amp;"|"&amp;E180,
        Calculate_cap_ener!$L$14:$L$21&amp;"|"&amp;Calculate_cap_ener!$I$14:$I$21,
        Calculate_cap_ener!$AW$14:$AW$21, "Not found", 0), LOOKUP(K180,Installation_MJ!$C$24:$D$24,Installation_MJ!$C$26:$D$26) + _xlfn.XLOOKUP(J180,Installation_MJ!$C$18:$N$18,Installation_MJ!$C$20:$N$20) + _xlfn.XLOOKUP(B180&amp;"|"&amp;E180,
        Calculate_cap_ener!$L$14:$L$21&amp;"|"&amp;Calculate_cap_ener!$I$14:$I$21,
        Calculate_cap_ener!$AW$14:$AW$21, "Not found", 0))</f>
        <v>219.82748157547175</v>
      </c>
      <c r="S180" s="8" cm="1">
        <f t="array" ref="S180">_xlfn.SWITCH(K180,200,_xlfn.XLOOKUP(J180,EOL_MJ!$C$18:$N$18,EOL_MJ!$C$20:$N$20) + _xlfn.XLOOKUP(B180&amp;"|"&amp;E180,
        Calculate_cap_ener!$L$14:$L$21&amp;"|"&amp;Calculate_cap_ener!$I$14:$I$21,
        Calculate_cap_ener!$BD$14:$BD$21, "Not found", 0), LOOKUP(K180,EOL_MJ!$C$24:$D$24,EOL_MJ!$C$26:$D$26) + _xlfn.XLOOKUP(J180,EOL_MJ!$C$18:$N$18,EOL_MJ!$C$20:$N$20) + _xlfn.XLOOKUP(B180&amp;"|"&amp;E180,
        Calculate_cap_ener!$L$14:$L$21&amp;"|"&amp;Calculate_cap_ener!$I$14:$I$21,
        Calculate_cap_ener!$BD$14:$BD$21, "Not found", 0))</f>
        <v>25655.336801563637</v>
      </c>
      <c r="T180" s="8" cm="1">
        <f t="array" ref="T180">_xlfn.SWITCH(K180,200,_xlfn.XLOOKUP(J180,Other!$C$18:$N$18,Other!$C$20:$N$20) + _xlfn.XLOOKUP(B180&amp;"|"&amp;E180,
        Calculate_cap_ener!$L$14:$L$21&amp;"|"&amp;Calculate_cap_ener!$I$14:$I$21,
        Calculate_cap_ener!$BK$14:$BK$21, "Not found", 0), LOOKUP(K180,Other!$C$24:$D$24,Other!$C$26:$D$26) + _xlfn.XLOOKUP(J180,Other!$C$18:$N$18,Other!$C$20:$N$20) + _xlfn.XLOOKUP(B180&amp;"|"&amp;E180,
        Calculate_cap_ener!$L$14:$L$21&amp;"|"&amp;Calculate_cap_ener!$I$14:$I$21,
        Calculate_cap_ener!$BK$14:$BK$21, "Not found", 0))</f>
        <v>65756.481176248781</v>
      </c>
    </row>
    <row r="181" spans="1:20" x14ac:dyDescent="0.25">
      <c r="A181" s="5"/>
      <c r="B181" s="5" t="str">
        <f t="shared" si="21"/>
        <v>Mass-H1</v>
      </c>
      <c r="C181" s="5" t="s">
        <v>37</v>
      </c>
      <c r="D181" s="5" t="str">
        <f t="shared" si="20"/>
        <v>H1</v>
      </c>
      <c r="E181" s="5" t="s">
        <v>11</v>
      </c>
      <c r="F181" s="5" t="s">
        <v>57</v>
      </c>
      <c r="G181" s="5" t="s">
        <v>57</v>
      </c>
      <c r="H181" s="5">
        <v>8.5</v>
      </c>
      <c r="I181" s="5"/>
      <c r="J181" s="5">
        <f t="shared" si="22"/>
        <v>9</v>
      </c>
      <c r="K181" s="5">
        <v>1000</v>
      </c>
      <c r="L181" s="8" cm="1">
        <f t="array" ref="L181">_xlfn.SWITCH(K181,200,_xlfn.XLOOKUP(J181,Manufacture_MJ!$C$18:$N$18,Manufacture_MJ!$C$20:$N$20) + _xlfn.XLOOKUP(B181&amp;"|"&amp;E181,
        Calculate_cap_ener!$L$14:$L$21&amp;"|"&amp;Calculate_cap_ener!$I$14:$I$21,
        Calculate_cap_ener!$AI$14:$AI$21, "Not found", 0), LOOKUP(K181,Manufacture_MJ!$C$24:$D$24,Manufacture_MJ!$C$26:$D$26) + _xlfn.XLOOKUP(J181,Manufacture_MJ!$C$18:$N$18,Manufacture_MJ!$C$20:$N$20) + _xlfn.XLOOKUP(B181&amp;"|"&amp;E181,
        Calculate_cap_ener!$L$14:$L$21&amp;"|"&amp;Calculate_cap_ener!$I$14:$I$21,
        Calculate_cap_ener!$AI$14:$AI$21, "Not found", 0))</f>
        <v>115506.17341088377</v>
      </c>
      <c r="M181" s="8">
        <f>LOOKUP(J181,Manufacture_MJ!$C$18:$N$18,Manufacture_MJ!$C$20:$N$20)</f>
        <v>49760.002199565621</v>
      </c>
      <c r="N181" s="8" cm="1">
        <f t="array" ref="N181">_xlfn.SWITCH(K181,200,0,LOOKUP(K181,Manufacture_MJ!$C$24:$D$24,Manufacture_MJ!$C$26:$D$26))</f>
        <v>20573.31818181818</v>
      </c>
      <c r="O181" s="5" cm="1">
        <f t="array" ref="O181">_xlfn.XLOOKUP(B181&amp;"|"&amp;E181,
        Calculate_cap_ener!$L$14:$L$21&amp;"|"&amp;Calculate_cap_ener!$I$14:$I$21,
        Calculate_cap_ener!$AI$14:$AI$21, "Not found", 0)</f>
        <v>45172.853029499965</v>
      </c>
      <c r="P181" s="8">
        <f t="shared" si="23"/>
        <v>115506.17341088377</v>
      </c>
      <c r="Q181" s="8" cm="1">
        <f t="array" ref="Q181">_xlfn.SWITCH(K181,200,_xlfn.XLOOKUP(J181,Distribution_MJ!$C$18:$N$18,Distribution_MJ!$C$20:$N$20) + _xlfn.XLOOKUP(B181&amp;"|"&amp;E181,
        Calculate_cap_ener!$L$14:$L$21&amp;"|"&amp;Calculate_cap_ener!$I$14:$I$21,
        Calculate_cap_ener!$AP$14:$AP$21, "Not found", 0), LOOKUP(K181,Distribution_MJ!$C$24:$D$24,Distribution_MJ!$C$26:$D$26) + _xlfn.XLOOKUP(J181,Distribution_MJ!$C$18:$N$18,Distribution_MJ!$C$20:$N$20) + _xlfn.XLOOKUP(B181&amp;"|"&amp;E181,
        Calculate_cap_ener!$L$14:$L$21&amp;"|"&amp;Calculate_cap_ener!$I$14:$I$21,
        Calculate_cap_ener!$AP$14:$AP$21, "Not found", 0))</f>
        <v>2811.8339058376987</v>
      </c>
      <c r="R181" s="8" cm="1">
        <f t="array" ref="R181">_xlfn.SWITCH(K181,200,_xlfn.XLOOKUP(J181,Installation_MJ!$C$18:$N$18,Installation_MJ!$C$20:$N$20) + _xlfn.XLOOKUP(B181&amp;"|"&amp;E181,
        Calculate_cap_ener!$L$14:$L$21&amp;"|"&amp;Calculate_cap_ener!$I$14:$I$21,
        Calculate_cap_ener!$AW$14:$AW$21, "Not found", 0), LOOKUP(K181,Installation_MJ!$C$24:$D$24,Installation_MJ!$C$26:$D$26) + _xlfn.XLOOKUP(J181,Installation_MJ!$C$18:$N$18,Installation_MJ!$C$20:$N$20) + _xlfn.XLOOKUP(B181&amp;"|"&amp;E181,
        Calculate_cap_ener!$L$14:$L$21&amp;"|"&amp;Calculate_cap_ener!$I$14:$I$21,
        Calculate_cap_ener!$AW$14:$AW$21, "Not found", 0))</f>
        <v>227.20471635553827</v>
      </c>
      <c r="S181" s="8" cm="1">
        <f t="array" ref="S181">_xlfn.SWITCH(K181,200,_xlfn.XLOOKUP(J181,EOL_MJ!$C$18:$N$18,EOL_MJ!$C$20:$N$20) + _xlfn.XLOOKUP(B181&amp;"|"&amp;E181,
        Calculate_cap_ener!$L$14:$L$21&amp;"|"&amp;Calculate_cap_ener!$I$14:$I$21,
        Calculate_cap_ener!$BD$14:$BD$21, "Not found", 0), LOOKUP(K181,EOL_MJ!$C$24:$D$24,EOL_MJ!$C$26:$D$26) + _xlfn.XLOOKUP(J181,EOL_MJ!$C$18:$N$18,EOL_MJ!$C$20:$N$20) + _xlfn.XLOOKUP(B181&amp;"|"&amp;E181,
        Calculate_cap_ener!$L$14:$L$21&amp;"|"&amp;Calculate_cap_ener!$I$14:$I$21,
        Calculate_cap_ener!$BD$14:$BD$21, "Not found", 0))</f>
        <v>25655.336801563637</v>
      </c>
      <c r="T181" s="8" cm="1">
        <f t="array" ref="T181">_xlfn.SWITCH(K181,200,_xlfn.XLOOKUP(J181,Other!$C$18:$N$18,Other!$C$20:$N$20) + _xlfn.XLOOKUP(B181&amp;"|"&amp;E181,
        Calculate_cap_ener!$L$14:$L$21&amp;"|"&amp;Calculate_cap_ener!$I$14:$I$21,
        Calculate_cap_ener!$BK$14:$BK$21, "Not found", 0), LOOKUP(K181,Other!$C$24:$D$24,Other!$C$26:$D$26) + _xlfn.XLOOKUP(J181,Other!$C$18:$N$18,Other!$C$20:$N$20) + _xlfn.XLOOKUP(B181&amp;"|"&amp;E181,
        Calculate_cap_ener!$L$14:$L$21&amp;"|"&amp;Calculate_cap_ener!$I$14:$I$21,
        Calculate_cap_ener!$BK$14:$BK$21, "Not found", 0))</f>
        <v>65822.150426137203</v>
      </c>
    </row>
    <row r="182" spans="1:20" x14ac:dyDescent="0.25">
      <c r="A182" s="5"/>
      <c r="B182" s="5" t="str">
        <f t="shared" si="21"/>
        <v>Mass-H1</v>
      </c>
      <c r="C182" s="5" t="s">
        <v>37</v>
      </c>
      <c r="D182" s="5" t="str">
        <f t="shared" si="20"/>
        <v>H1</v>
      </c>
      <c r="E182" s="5" t="s">
        <v>11</v>
      </c>
      <c r="F182" s="5" t="s">
        <v>57</v>
      </c>
      <c r="G182" s="5" t="s">
        <v>57</v>
      </c>
      <c r="H182" s="5">
        <v>11.2</v>
      </c>
      <c r="I182" s="5"/>
      <c r="J182" s="5">
        <f t="shared" si="22"/>
        <v>12</v>
      </c>
      <c r="K182" s="5">
        <v>1000</v>
      </c>
      <c r="L182" s="8" cm="1">
        <f t="array" ref="L182">_xlfn.SWITCH(K182,200,_xlfn.XLOOKUP(J182,Manufacture_MJ!$C$18:$N$18,Manufacture_MJ!$C$20:$N$20) + _xlfn.XLOOKUP(B182&amp;"|"&amp;E182,
        Calculate_cap_ener!$L$14:$L$21&amp;"|"&amp;Calculate_cap_ener!$I$14:$I$21,
        Calculate_cap_ener!$AI$14:$AI$21, "Not found", 0), LOOKUP(K182,Manufacture_MJ!$C$24:$D$24,Manufacture_MJ!$C$26:$D$26) + _xlfn.XLOOKUP(J182,Manufacture_MJ!$C$18:$N$18,Manufacture_MJ!$C$20:$N$20) + _xlfn.XLOOKUP(B182&amp;"|"&amp;E182,
        Calculate_cap_ener!$L$14:$L$21&amp;"|"&amp;Calculate_cap_ener!$I$14:$I$21,
        Calculate_cap_ener!$AI$14:$AI$21, "Not found", 0))</f>
        <v>116570.6892117774</v>
      </c>
      <c r="M182" s="8">
        <f>LOOKUP(J182,Manufacture_MJ!$C$18:$N$18,Manufacture_MJ!$C$20:$N$20)</f>
        <v>50824.518000459248</v>
      </c>
      <c r="N182" s="8" cm="1">
        <f t="array" ref="N182">_xlfn.SWITCH(K182,200,0,LOOKUP(K182,Manufacture_MJ!$C$24:$D$24,Manufacture_MJ!$C$26:$D$26))</f>
        <v>20573.31818181818</v>
      </c>
      <c r="O182" s="5" cm="1">
        <f t="array" ref="O182">_xlfn.XLOOKUP(B182&amp;"|"&amp;E182,
        Calculate_cap_ener!$L$14:$L$21&amp;"|"&amp;Calculate_cap_ener!$I$14:$I$21,
        Calculate_cap_ener!$AI$14:$AI$21, "Not found", 0)</f>
        <v>45172.853029499965</v>
      </c>
      <c r="P182" s="8">
        <f t="shared" si="23"/>
        <v>116570.6892117774</v>
      </c>
      <c r="Q182" s="8" cm="1">
        <f t="array" ref="Q182">_xlfn.SWITCH(K182,200,_xlfn.XLOOKUP(J182,Distribution_MJ!$C$18:$N$18,Distribution_MJ!$C$20:$N$20) + _xlfn.XLOOKUP(B182&amp;"|"&amp;E182,
        Calculate_cap_ener!$L$14:$L$21&amp;"|"&amp;Calculate_cap_ener!$I$14:$I$21,
        Calculate_cap_ener!$AP$14:$AP$21, "Not found", 0), LOOKUP(K182,Distribution_MJ!$C$24:$D$24,Distribution_MJ!$C$26:$D$26) + _xlfn.XLOOKUP(J182,Distribution_MJ!$C$18:$N$18,Distribution_MJ!$C$20:$N$20) + _xlfn.XLOOKUP(B182&amp;"|"&amp;E182,
        Calculate_cap_ener!$L$14:$L$21&amp;"|"&amp;Calculate_cap_ener!$I$14:$I$21,
        Calculate_cap_ener!$AP$14:$AP$21, "Not found", 0))</f>
        <v>2909.946785243148</v>
      </c>
      <c r="R182" s="8" cm="1">
        <f t="array" ref="R182">_xlfn.SWITCH(K182,200,_xlfn.XLOOKUP(J182,Installation_MJ!$C$18:$N$18,Installation_MJ!$C$20:$N$20) + _xlfn.XLOOKUP(B182&amp;"|"&amp;E182,
        Calculate_cap_ener!$L$14:$L$21&amp;"|"&amp;Calculate_cap_ener!$I$14:$I$21,
        Calculate_cap_ener!$AW$14:$AW$21, "Not found", 0), LOOKUP(K182,Installation_MJ!$C$24:$D$24,Installation_MJ!$C$26:$D$26) + _xlfn.XLOOKUP(J182,Installation_MJ!$C$18:$N$18,Installation_MJ!$C$20:$N$20) + _xlfn.XLOOKUP(B182&amp;"|"&amp;E182,
        Calculate_cap_ener!$L$14:$L$21&amp;"|"&amp;Calculate_cap_ener!$I$14:$I$21,
        Calculate_cap_ener!$AW$14:$AW$21, "Not found", 0))</f>
        <v>234.58195113560492</v>
      </c>
      <c r="S182" s="8" cm="1">
        <f t="array" ref="S182">_xlfn.SWITCH(K182,200,_xlfn.XLOOKUP(J182,EOL_MJ!$C$18:$N$18,EOL_MJ!$C$20:$N$20) + _xlfn.XLOOKUP(B182&amp;"|"&amp;E182,
        Calculate_cap_ener!$L$14:$L$21&amp;"|"&amp;Calculate_cap_ener!$I$14:$I$21,
        Calculate_cap_ener!$BD$14:$BD$21, "Not found", 0), LOOKUP(K182,EOL_MJ!$C$24:$D$24,EOL_MJ!$C$26:$D$26) + _xlfn.XLOOKUP(J182,EOL_MJ!$C$18:$N$18,EOL_MJ!$C$20:$N$20) + _xlfn.XLOOKUP(B182&amp;"|"&amp;E182,
        Calculate_cap_ener!$L$14:$L$21&amp;"|"&amp;Calculate_cap_ener!$I$14:$I$21,
        Calculate_cap_ener!$BD$14:$BD$21, "Not found", 0))</f>
        <v>25655.336801563637</v>
      </c>
      <c r="T182" s="8" cm="1">
        <f t="array" ref="T182">_xlfn.SWITCH(K182,200,_xlfn.XLOOKUP(J182,Other!$C$18:$N$18,Other!$C$20:$N$20) + _xlfn.XLOOKUP(B182&amp;"|"&amp;E182,
        Calculate_cap_ener!$L$14:$L$21&amp;"|"&amp;Calculate_cap_ener!$I$14:$I$21,
        Calculate_cap_ener!$BK$14:$BK$21, "Not found", 0), LOOKUP(K182,Other!$C$24:$D$24,Other!$C$26:$D$26) + _xlfn.XLOOKUP(J182,Other!$C$18:$N$18,Other!$C$20:$N$20) + _xlfn.XLOOKUP(B182&amp;"|"&amp;E182,
        Calculate_cap_ener!$L$14:$L$21&amp;"|"&amp;Calculate_cap_ener!$I$14:$I$21,
        Calculate_cap_ener!$BK$14:$BK$21, "Not found", 0))</f>
        <v>65887.819676025625</v>
      </c>
    </row>
    <row r="183" spans="1:20" x14ac:dyDescent="0.25">
      <c r="A183" s="5"/>
      <c r="B183" s="5" t="str">
        <f t="shared" si="21"/>
        <v>Mass-H1</v>
      </c>
      <c r="C183" s="5" t="s">
        <v>37</v>
      </c>
      <c r="D183" s="5" t="str">
        <f t="shared" si="20"/>
        <v>H1</v>
      </c>
      <c r="E183" s="5" t="s">
        <v>11</v>
      </c>
      <c r="F183" s="5" t="s">
        <v>57</v>
      </c>
      <c r="G183" s="5" t="s">
        <v>57</v>
      </c>
      <c r="H183" s="5">
        <v>14</v>
      </c>
      <c r="I183" s="5"/>
      <c r="J183" s="5">
        <f t="shared" si="22"/>
        <v>14</v>
      </c>
      <c r="K183" s="5">
        <v>1000</v>
      </c>
      <c r="L183" s="8" cm="1">
        <f t="array" ref="L183">_xlfn.SWITCH(K183,200,_xlfn.XLOOKUP(J183,Manufacture_MJ!$C$18:$N$18,Manufacture_MJ!$C$20:$N$20) + _xlfn.XLOOKUP(B183&amp;"|"&amp;E183,
        Calculate_cap_ener!$L$14:$L$21&amp;"|"&amp;Calculate_cap_ener!$I$14:$I$21,
        Calculate_cap_ener!$AI$14:$AI$21, "Not found", 0), LOOKUP(K183,Manufacture_MJ!$C$24:$D$24,Manufacture_MJ!$C$26:$D$26) + _xlfn.XLOOKUP(J183,Manufacture_MJ!$C$18:$N$18,Manufacture_MJ!$C$20:$N$20) + _xlfn.XLOOKUP(B183&amp;"|"&amp;E183,
        Calculate_cap_ener!$L$14:$L$21&amp;"|"&amp;Calculate_cap_ener!$I$14:$I$21,
        Calculate_cap_ener!$AI$14:$AI$21, "Not found", 0))</f>
        <v>117280.36641237307</v>
      </c>
      <c r="M183" s="8">
        <f>LOOKUP(J183,Manufacture_MJ!$C$18:$N$18,Manufacture_MJ!$C$20:$N$20)</f>
        <v>51534.195201054921</v>
      </c>
      <c r="N183" s="8" cm="1">
        <f t="array" ref="N183">_xlfn.SWITCH(K183,200,0,LOOKUP(K183,Manufacture_MJ!$C$24:$D$24,Manufacture_MJ!$C$26:$D$26))</f>
        <v>20573.31818181818</v>
      </c>
      <c r="O183" s="5" cm="1">
        <f t="array" ref="O183">_xlfn.XLOOKUP(B183&amp;"|"&amp;E183,
        Calculate_cap_ener!$L$14:$L$21&amp;"|"&amp;Calculate_cap_ener!$I$14:$I$21,
        Calculate_cap_ener!$AI$14:$AI$21, "Not found", 0)</f>
        <v>45172.853029499965</v>
      </c>
      <c r="P183" s="8">
        <f t="shared" si="23"/>
        <v>117280.36641237307</v>
      </c>
      <c r="Q183" s="8" cm="1">
        <f t="array" ref="Q183">_xlfn.SWITCH(K183,200,_xlfn.XLOOKUP(J183,Distribution_MJ!$C$18:$N$18,Distribution_MJ!$C$20:$N$20) + _xlfn.XLOOKUP(B183&amp;"|"&amp;E183,
        Calculate_cap_ener!$L$14:$L$21&amp;"|"&amp;Calculate_cap_ener!$I$14:$I$21,
        Calculate_cap_ener!$AP$14:$AP$21, "Not found", 0), LOOKUP(K183,Distribution_MJ!$C$24:$D$24,Distribution_MJ!$C$26:$D$26) + _xlfn.XLOOKUP(J183,Distribution_MJ!$C$18:$N$18,Distribution_MJ!$C$20:$N$20) + _xlfn.XLOOKUP(B183&amp;"|"&amp;E183,
        Calculate_cap_ener!$L$14:$L$21&amp;"|"&amp;Calculate_cap_ener!$I$14:$I$21,
        Calculate_cap_ener!$AP$14:$AP$21, "Not found", 0))</f>
        <v>2975.3553715134485</v>
      </c>
      <c r="R183" s="8" cm="1">
        <f t="array" ref="R183">_xlfn.SWITCH(K183,200,_xlfn.XLOOKUP(J183,Installation_MJ!$C$18:$N$18,Installation_MJ!$C$20:$N$20) + _xlfn.XLOOKUP(B183&amp;"|"&amp;E183,
        Calculate_cap_ener!$L$14:$L$21&amp;"|"&amp;Calculate_cap_ener!$I$14:$I$21,
        Calculate_cap_ener!$AW$14:$AW$21, "Not found", 0), LOOKUP(K183,Installation_MJ!$C$24:$D$24,Installation_MJ!$C$26:$D$26) + _xlfn.XLOOKUP(J183,Installation_MJ!$C$18:$N$18,Installation_MJ!$C$20:$N$20) + _xlfn.XLOOKUP(B183&amp;"|"&amp;E183,
        Calculate_cap_ener!$L$14:$L$21&amp;"|"&amp;Calculate_cap_ener!$I$14:$I$21,
        Calculate_cap_ener!$AW$14:$AW$21, "Not found", 0))</f>
        <v>239.50010765564946</v>
      </c>
      <c r="S183" s="8" cm="1">
        <f t="array" ref="S183">_xlfn.SWITCH(K183,200,_xlfn.XLOOKUP(J183,EOL_MJ!$C$18:$N$18,EOL_MJ!$C$20:$N$20) + _xlfn.XLOOKUP(B183&amp;"|"&amp;E183,
        Calculate_cap_ener!$L$14:$L$21&amp;"|"&amp;Calculate_cap_ener!$I$14:$I$21,
        Calculate_cap_ener!$BD$14:$BD$21, "Not found", 0), LOOKUP(K183,EOL_MJ!$C$24:$D$24,EOL_MJ!$C$26:$D$26) + _xlfn.XLOOKUP(J183,EOL_MJ!$C$18:$N$18,EOL_MJ!$C$20:$N$20) + _xlfn.XLOOKUP(B183&amp;"|"&amp;E183,
        Calculate_cap_ener!$L$14:$L$21&amp;"|"&amp;Calculate_cap_ener!$I$14:$I$21,
        Calculate_cap_ener!$BD$14:$BD$21, "Not found", 0))</f>
        <v>25655.336801563637</v>
      </c>
      <c r="T183" s="8" cm="1">
        <f t="array" ref="T183">_xlfn.SWITCH(K183,200,_xlfn.XLOOKUP(J183,Other!$C$18:$N$18,Other!$C$20:$N$20) + _xlfn.XLOOKUP(B183&amp;"|"&amp;E183,
        Calculate_cap_ener!$L$14:$L$21&amp;"|"&amp;Calculate_cap_ener!$I$14:$I$21,
        Calculate_cap_ener!$BK$14:$BK$21, "Not found", 0), LOOKUP(K183,Other!$C$24:$D$24,Other!$C$26:$D$26) + _xlfn.XLOOKUP(J183,Other!$C$18:$N$18,Other!$C$20:$N$20) + _xlfn.XLOOKUP(B183&amp;"|"&amp;E183,
        Calculate_cap_ener!$L$14:$L$21&amp;"|"&amp;Calculate_cap_ener!$I$14:$I$21,
        Calculate_cap_ener!$BK$14:$BK$21, "Not found", 0))</f>
        <v>65931.599175951225</v>
      </c>
    </row>
    <row r="184" spans="1:20" x14ac:dyDescent="0.25">
      <c r="A184" s="5"/>
      <c r="B184" s="5" t="str">
        <f t="shared" si="21"/>
        <v>Mod-H1</v>
      </c>
      <c r="C184" s="5" t="s">
        <v>38</v>
      </c>
      <c r="D184" s="5" t="str">
        <f t="shared" si="20"/>
        <v>H1</v>
      </c>
      <c r="E184" s="5" t="s">
        <v>11</v>
      </c>
      <c r="F184" s="5" t="s">
        <v>54</v>
      </c>
      <c r="G184" s="5" t="s">
        <v>54</v>
      </c>
      <c r="H184" s="5">
        <v>8.5</v>
      </c>
      <c r="I184" s="5"/>
      <c r="J184" s="5">
        <f t="shared" si="22"/>
        <v>9</v>
      </c>
      <c r="K184" s="5">
        <v>200</v>
      </c>
      <c r="L184" s="8" cm="1">
        <f t="array" ref="L184">_xlfn.SWITCH(K184,200,_xlfn.XLOOKUP(J184,Manufacture_MJ!$C$18:$N$18,Manufacture_MJ!$C$20:$N$20) + _xlfn.XLOOKUP(B184&amp;"|"&amp;E184,
        Calculate_cap_ener!$L$14:$L$21&amp;"|"&amp;Calculate_cap_ener!$I$14:$I$21,
        Calculate_cap_ener!$AI$14:$AI$21, "Not found", 0), LOOKUP(K184,Manufacture_MJ!$C$24:$D$24,Manufacture_MJ!$C$26:$D$26) + _xlfn.XLOOKUP(J184,Manufacture_MJ!$C$18:$N$18,Manufacture_MJ!$C$20:$N$20) + _xlfn.XLOOKUP(B184&amp;"|"&amp;E184,
        Calculate_cap_ener!$L$14:$L$21&amp;"|"&amp;Calculate_cap_ener!$I$14:$I$21,
        Calculate_cap_ener!$AI$14:$AI$21, "Not found", 0))</f>
        <v>112500.06975931556</v>
      </c>
      <c r="M184" s="8">
        <f>LOOKUP(J184,Manufacture_MJ!$C$18:$N$18,Manufacture_MJ!$C$20:$N$20)</f>
        <v>49760.002199565621</v>
      </c>
      <c r="N184" s="8" cm="1">
        <f t="array" ref="N184">_xlfn.SWITCH(K184,200,0,LOOKUP(K184,Manufacture_MJ!$C$24:$D$24,Manufacture_MJ!$C$26:$D$26))</f>
        <v>0</v>
      </c>
      <c r="O184" s="5" cm="1">
        <f t="array" ref="O184">_xlfn.XLOOKUP(B184&amp;"|"&amp;E184,
        Calculate_cap_ener!$L$14:$L$21&amp;"|"&amp;Calculate_cap_ener!$I$14:$I$21,
        Calculate_cap_ener!$AI$14:$AI$21, "Not found", 0)</f>
        <v>62740.067559749943</v>
      </c>
      <c r="P184" s="8">
        <f t="shared" si="23"/>
        <v>112500.06975931556</v>
      </c>
      <c r="Q184" s="8" cm="1">
        <f t="array" ref="Q184">_xlfn.SWITCH(K184,200,_xlfn.XLOOKUP(J184,Distribution_MJ!$C$18:$N$18,Distribution_MJ!$C$20:$N$20) + _xlfn.XLOOKUP(B184&amp;"|"&amp;E184,
        Calculate_cap_ener!$L$14:$L$21&amp;"|"&amp;Calculate_cap_ener!$I$14:$I$21,
        Calculate_cap_ener!$AP$14:$AP$21, "Not found", 0), LOOKUP(K184,Distribution_MJ!$C$24:$D$24,Distribution_MJ!$C$26:$D$26) + _xlfn.XLOOKUP(J184,Distribution_MJ!$C$18:$N$18,Distribution_MJ!$C$20:$N$20) + _xlfn.XLOOKUP(B184&amp;"|"&amp;E184,
        Calculate_cap_ener!$L$14:$L$21&amp;"|"&amp;Calculate_cap_ener!$I$14:$I$21,
        Calculate_cap_ener!$AP$14:$AP$21, "Not found", 0))</f>
        <v>2713.3419123380736</v>
      </c>
      <c r="R184" s="8" cm="1">
        <f t="array" ref="R184">_xlfn.SWITCH(K184,200,_xlfn.XLOOKUP(J184,Installation_MJ!$C$18:$N$18,Installation_MJ!$C$20:$N$20) + _xlfn.XLOOKUP(B184&amp;"|"&amp;E184,
        Calculate_cap_ener!$L$14:$L$21&amp;"|"&amp;Calculate_cap_ener!$I$14:$I$21,
        Calculate_cap_ener!$AW$14:$AW$21, "Not found", 0), LOOKUP(K184,Installation_MJ!$C$24:$D$24,Installation_MJ!$C$26:$D$26) + _xlfn.XLOOKUP(J184,Installation_MJ!$C$18:$N$18,Installation_MJ!$C$20:$N$20) + _xlfn.XLOOKUP(B184&amp;"|"&amp;E184,
        Calculate_cap_ener!$L$14:$L$21&amp;"|"&amp;Calculate_cap_ener!$I$14:$I$21,
        Calculate_cap_ener!$AW$14:$AW$21, "Not found", 0))</f>
        <v>226.99780386264052</v>
      </c>
      <c r="S184" s="8" cm="1">
        <f t="array" ref="S184">_xlfn.SWITCH(K184,200,_xlfn.XLOOKUP(J184,EOL_MJ!$C$18:$N$18,EOL_MJ!$C$20:$N$20) + _xlfn.XLOOKUP(B184&amp;"|"&amp;E184,
        Calculate_cap_ener!$L$14:$L$21&amp;"|"&amp;Calculate_cap_ener!$I$14:$I$21,
        Calculate_cap_ener!$BD$14:$BD$21, "Not found", 0), LOOKUP(K184,EOL_MJ!$C$24:$D$24,EOL_MJ!$C$26:$D$26) + _xlfn.XLOOKUP(J184,EOL_MJ!$C$18:$N$18,EOL_MJ!$C$20:$N$20) + _xlfn.XLOOKUP(B184&amp;"|"&amp;E184,
        Calculate_cap_ener!$L$14:$L$21&amp;"|"&amp;Calculate_cap_ener!$I$14:$I$21,
        Calculate_cap_ener!$BD$14:$BD$21, "Not found", 0))</f>
        <v>6246.5779445999997</v>
      </c>
      <c r="T184" s="8" cm="1">
        <f t="array" ref="T184">_xlfn.SWITCH(K184,200,_xlfn.XLOOKUP(J184,Other!$C$18:$N$18,Other!$C$20:$N$20) + _xlfn.XLOOKUP(B184&amp;"|"&amp;E184,
        Calculate_cap_ener!$L$14:$L$21&amp;"|"&amp;Calculate_cap_ener!$I$14:$I$21,
        Calculate_cap_ener!$BK$14:$BK$21, "Not found", 0), LOOKUP(K184,Other!$C$24:$D$24,Other!$C$26:$D$26) + _xlfn.XLOOKUP(J184,Other!$C$18:$N$18,Other!$C$20:$N$20) + _xlfn.XLOOKUP(B184&amp;"|"&amp;E184,
        Calculate_cap_ener!$L$14:$L$21&amp;"|"&amp;Calculate_cap_ener!$I$14:$I$21,
        Calculate_cap_ener!$BK$14:$BK$21, "Not found", 0))</f>
        <v>89930.016141637185</v>
      </c>
    </row>
    <row r="185" spans="1:20" x14ac:dyDescent="0.25">
      <c r="A185" s="5"/>
      <c r="B185" s="5" t="str">
        <f t="shared" si="21"/>
        <v>Mod-H1</v>
      </c>
      <c r="C185" s="5" t="s">
        <v>38</v>
      </c>
      <c r="D185" s="5" t="str">
        <f t="shared" si="20"/>
        <v>H1</v>
      </c>
      <c r="E185" s="5" t="s">
        <v>11</v>
      </c>
      <c r="F185" s="5" t="s">
        <v>54</v>
      </c>
      <c r="G185" s="5" t="s">
        <v>54</v>
      </c>
      <c r="H185" s="5">
        <v>11.2</v>
      </c>
      <c r="I185" s="5"/>
      <c r="J185" s="5">
        <f t="shared" si="22"/>
        <v>12</v>
      </c>
      <c r="K185" s="5">
        <v>200</v>
      </c>
      <c r="L185" s="8" cm="1">
        <f t="array" ref="L185">_xlfn.SWITCH(K185,200,_xlfn.XLOOKUP(J185,Manufacture_MJ!$C$18:$N$18,Manufacture_MJ!$C$20:$N$20) + _xlfn.XLOOKUP(B185&amp;"|"&amp;E185,
        Calculate_cap_ener!$L$14:$L$21&amp;"|"&amp;Calculate_cap_ener!$I$14:$I$21,
        Calculate_cap_ener!$AI$14:$AI$21, "Not found", 0), LOOKUP(K185,Manufacture_MJ!$C$24:$D$24,Manufacture_MJ!$C$26:$D$26) + _xlfn.XLOOKUP(J185,Manufacture_MJ!$C$18:$N$18,Manufacture_MJ!$C$20:$N$20) + _xlfn.XLOOKUP(B185&amp;"|"&amp;E185,
        Calculate_cap_ener!$L$14:$L$21&amp;"|"&amp;Calculate_cap_ener!$I$14:$I$21,
        Calculate_cap_ener!$AI$14:$AI$21, "Not found", 0))</f>
        <v>113564.58556020919</v>
      </c>
      <c r="M185" s="8">
        <f>LOOKUP(J185,Manufacture_MJ!$C$18:$N$18,Manufacture_MJ!$C$20:$N$20)</f>
        <v>50824.518000459248</v>
      </c>
      <c r="N185" s="8" cm="1">
        <f t="array" ref="N185">_xlfn.SWITCH(K185,200,0,LOOKUP(K185,Manufacture_MJ!$C$24:$D$24,Manufacture_MJ!$C$26:$D$26))</f>
        <v>0</v>
      </c>
      <c r="O185" s="5" cm="1">
        <f t="array" ref="O185">_xlfn.XLOOKUP(B185&amp;"|"&amp;E185,
        Calculate_cap_ener!$L$14:$L$21&amp;"|"&amp;Calculate_cap_ener!$I$14:$I$21,
        Calculate_cap_ener!$AI$14:$AI$21, "Not found", 0)</f>
        <v>62740.067559749943</v>
      </c>
      <c r="P185" s="8">
        <f t="shared" si="23"/>
        <v>113564.58556020919</v>
      </c>
      <c r="Q185" s="8" cm="1">
        <f t="array" ref="Q185">_xlfn.SWITCH(K185,200,_xlfn.XLOOKUP(J185,Distribution_MJ!$C$18:$N$18,Distribution_MJ!$C$20:$N$20) + _xlfn.XLOOKUP(B185&amp;"|"&amp;E185,
        Calculate_cap_ener!$L$14:$L$21&amp;"|"&amp;Calculate_cap_ener!$I$14:$I$21,
        Calculate_cap_ener!$AP$14:$AP$21, "Not found", 0), LOOKUP(K185,Distribution_MJ!$C$24:$D$24,Distribution_MJ!$C$26:$D$26) + _xlfn.XLOOKUP(J185,Distribution_MJ!$C$18:$N$18,Distribution_MJ!$C$20:$N$20) + _xlfn.XLOOKUP(B185&amp;"|"&amp;E185,
        Calculate_cap_ener!$L$14:$L$21&amp;"|"&amp;Calculate_cap_ener!$I$14:$I$21,
        Calculate_cap_ener!$AP$14:$AP$21, "Not found", 0))</f>
        <v>2811.4547917435234</v>
      </c>
      <c r="R185" s="8" cm="1">
        <f t="array" ref="R185">_xlfn.SWITCH(K185,200,_xlfn.XLOOKUP(J185,Installation_MJ!$C$18:$N$18,Installation_MJ!$C$20:$N$20) + _xlfn.XLOOKUP(B185&amp;"|"&amp;E185,
        Calculate_cap_ener!$L$14:$L$21&amp;"|"&amp;Calculate_cap_ener!$I$14:$I$21,
        Calculate_cap_ener!$AW$14:$AW$21, "Not found", 0), LOOKUP(K185,Installation_MJ!$C$24:$D$24,Installation_MJ!$C$26:$D$26) + _xlfn.XLOOKUP(J185,Installation_MJ!$C$18:$N$18,Installation_MJ!$C$20:$N$20) + _xlfn.XLOOKUP(B185&amp;"|"&amp;E185,
        Calculate_cap_ener!$L$14:$L$21&amp;"|"&amp;Calculate_cap_ener!$I$14:$I$21,
        Calculate_cap_ener!$AW$14:$AW$21, "Not found", 0))</f>
        <v>234.37503864270721</v>
      </c>
      <c r="S185" s="8" cm="1">
        <f t="array" ref="S185">_xlfn.SWITCH(K185,200,_xlfn.XLOOKUP(J185,EOL_MJ!$C$18:$N$18,EOL_MJ!$C$20:$N$20) + _xlfn.XLOOKUP(B185&amp;"|"&amp;E185,
        Calculate_cap_ener!$L$14:$L$21&amp;"|"&amp;Calculate_cap_ener!$I$14:$I$21,
        Calculate_cap_ener!$BD$14:$BD$21, "Not found", 0), LOOKUP(K185,EOL_MJ!$C$24:$D$24,EOL_MJ!$C$26:$D$26) + _xlfn.XLOOKUP(J185,EOL_MJ!$C$18:$N$18,EOL_MJ!$C$20:$N$20) + _xlfn.XLOOKUP(B185&amp;"|"&amp;E185,
        Calculate_cap_ener!$L$14:$L$21&amp;"|"&amp;Calculate_cap_ener!$I$14:$I$21,
        Calculate_cap_ener!$BD$14:$BD$21, "Not found", 0))</f>
        <v>6246.5779445999997</v>
      </c>
      <c r="T185" s="8" cm="1">
        <f t="array" ref="T185">_xlfn.SWITCH(K185,200,_xlfn.XLOOKUP(J185,Other!$C$18:$N$18,Other!$C$20:$N$20) + _xlfn.XLOOKUP(B185&amp;"|"&amp;E185,
        Calculate_cap_ener!$L$14:$L$21&amp;"|"&amp;Calculate_cap_ener!$I$14:$I$21,
        Calculate_cap_ener!$BK$14:$BK$21, "Not found", 0), LOOKUP(K185,Other!$C$24:$D$24,Other!$C$26:$D$26) + _xlfn.XLOOKUP(J185,Other!$C$18:$N$18,Other!$C$20:$N$20) + _xlfn.XLOOKUP(B185&amp;"|"&amp;E185,
        Calculate_cap_ener!$L$14:$L$21&amp;"|"&amp;Calculate_cap_ener!$I$14:$I$21,
        Calculate_cap_ener!$BK$14:$BK$21, "Not found", 0))</f>
        <v>89995.685391525607</v>
      </c>
    </row>
    <row r="186" spans="1:20" x14ac:dyDescent="0.25">
      <c r="A186" s="5"/>
      <c r="B186" s="5" t="str">
        <f t="shared" si="21"/>
        <v>Mod-H1</v>
      </c>
      <c r="C186" s="5" t="s">
        <v>38</v>
      </c>
      <c r="D186" s="5" t="str">
        <f t="shared" si="20"/>
        <v>H1</v>
      </c>
      <c r="E186" s="5" t="s">
        <v>11</v>
      </c>
      <c r="F186" s="5" t="s">
        <v>54</v>
      </c>
      <c r="G186" s="5" t="s">
        <v>54</v>
      </c>
      <c r="H186" s="5">
        <v>14</v>
      </c>
      <c r="I186" s="5"/>
      <c r="J186" s="5">
        <f t="shared" si="22"/>
        <v>14</v>
      </c>
      <c r="K186" s="5">
        <v>200</v>
      </c>
      <c r="L186" s="8" cm="1">
        <f t="array" ref="L186">_xlfn.SWITCH(K186,200,_xlfn.XLOOKUP(J186,Manufacture_MJ!$C$18:$N$18,Manufacture_MJ!$C$20:$N$20) + _xlfn.XLOOKUP(B186&amp;"|"&amp;E186,
        Calculate_cap_ener!$L$14:$L$21&amp;"|"&amp;Calculate_cap_ener!$I$14:$I$21,
        Calculate_cap_ener!$AI$14:$AI$21, "Not found", 0), LOOKUP(K186,Manufacture_MJ!$C$24:$D$24,Manufacture_MJ!$C$26:$D$26) + _xlfn.XLOOKUP(J186,Manufacture_MJ!$C$18:$N$18,Manufacture_MJ!$C$20:$N$20) + _xlfn.XLOOKUP(B186&amp;"|"&amp;E186,
        Calculate_cap_ener!$L$14:$L$21&amp;"|"&amp;Calculate_cap_ener!$I$14:$I$21,
        Calculate_cap_ener!$AI$14:$AI$21, "Not found", 0))</f>
        <v>114274.26276080486</v>
      </c>
      <c r="M186" s="8">
        <f>LOOKUP(J186,Manufacture_MJ!$C$18:$N$18,Manufacture_MJ!$C$20:$N$20)</f>
        <v>51534.195201054921</v>
      </c>
      <c r="N186" s="8" cm="1">
        <f t="array" ref="N186">_xlfn.SWITCH(K186,200,0,LOOKUP(K186,Manufacture_MJ!$C$24:$D$24,Manufacture_MJ!$C$26:$D$26))</f>
        <v>0</v>
      </c>
      <c r="O186" s="5" cm="1">
        <f t="array" ref="O186">_xlfn.XLOOKUP(B186&amp;"|"&amp;E186,
        Calculate_cap_ener!$L$14:$L$21&amp;"|"&amp;Calculate_cap_ener!$I$14:$I$21,
        Calculate_cap_ener!$AI$14:$AI$21, "Not found", 0)</f>
        <v>62740.067559749943</v>
      </c>
      <c r="P186" s="8">
        <f t="shared" si="23"/>
        <v>114274.26276080486</v>
      </c>
      <c r="Q186" s="8" cm="1">
        <f t="array" ref="Q186">_xlfn.SWITCH(K186,200,_xlfn.XLOOKUP(J186,Distribution_MJ!$C$18:$N$18,Distribution_MJ!$C$20:$N$20) + _xlfn.XLOOKUP(B186&amp;"|"&amp;E186,
        Calculate_cap_ener!$L$14:$L$21&amp;"|"&amp;Calculate_cap_ener!$I$14:$I$21,
        Calculate_cap_ener!$AP$14:$AP$21, "Not found", 0), LOOKUP(K186,Distribution_MJ!$C$24:$D$24,Distribution_MJ!$C$26:$D$26) + _xlfn.XLOOKUP(J186,Distribution_MJ!$C$18:$N$18,Distribution_MJ!$C$20:$N$20) + _xlfn.XLOOKUP(B186&amp;"|"&amp;E186,
        Calculate_cap_ener!$L$14:$L$21&amp;"|"&amp;Calculate_cap_ener!$I$14:$I$21,
        Calculate_cap_ener!$AP$14:$AP$21, "Not found", 0))</f>
        <v>2876.8633780138234</v>
      </c>
      <c r="R186" s="8" cm="1">
        <f t="array" ref="R186">_xlfn.SWITCH(K186,200,_xlfn.XLOOKUP(J186,Installation_MJ!$C$18:$N$18,Installation_MJ!$C$20:$N$20) + _xlfn.XLOOKUP(B186&amp;"|"&amp;E186,
        Calculate_cap_ener!$L$14:$L$21&amp;"|"&amp;Calculate_cap_ener!$I$14:$I$21,
        Calculate_cap_ener!$AW$14:$AW$21, "Not found", 0), LOOKUP(K186,Installation_MJ!$C$24:$D$24,Installation_MJ!$C$26:$D$26) + _xlfn.XLOOKUP(J186,Installation_MJ!$C$18:$N$18,Installation_MJ!$C$20:$N$20) + _xlfn.XLOOKUP(B186&amp;"|"&amp;E186,
        Calculate_cap_ener!$L$14:$L$21&amp;"|"&amp;Calculate_cap_ener!$I$14:$I$21,
        Calculate_cap_ener!$AW$14:$AW$21, "Not found", 0))</f>
        <v>239.29319516275172</v>
      </c>
      <c r="S186" s="8" cm="1">
        <f t="array" ref="S186">_xlfn.SWITCH(K186,200,_xlfn.XLOOKUP(J186,EOL_MJ!$C$18:$N$18,EOL_MJ!$C$20:$N$20) + _xlfn.XLOOKUP(B186&amp;"|"&amp;E186,
        Calculate_cap_ener!$L$14:$L$21&amp;"|"&amp;Calculate_cap_ener!$I$14:$I$21,
        Calculate_cap_ener!$BD$14:$BD$21, "Not found", 0), LOOKUP(K186,EOL_MJ!$C$24:$D$24,EOL_MJ!$C$26:$D$26) + _xlfn.XLOOKUP(J186,EOL_MJ!$C$18:$N$18,EOL_MJ!$C$20:$N$20) + _xlfn.XLOOKUP(B186&amp;"|"&amp;E186,
        Calculate_cap_ener!$L$14:$L$21&amp;"|"&amp;Calculate_cap_ener!$I$14:$I$21,
        Calculate_cap_ener!$BD$14:$BD$21, "Not found", 0))</f>
        <v>6246.5779445999997</v>
      </c>
      <c r="T186" s="8" cm="1">
        <f t="array" ref="T186">_xlfn.SWITCH(K186,200,_xlfn.XLOOKUP(J186,Other!$C$18:$N$18,Other!$C$20:$N$20) + _xlfn.XLOOKUP(B186&amp;"|"&amp;E186,
        Calculate_cap_ener!$L$14:$L$21&amp;"|"&amp;Calculate_cap_ener!$I$14:$I$21,
        Calculate_cap_ener!$BK$14:$BK$21, "Not found", 0), LOOKUP(K186,Other!$C$24:$D$24,Other!$C$26:$D$26) + _xlfn.XLOOKUP(J186,Other!$C$18:$N$18,Other!$C$20:$N$20) + _xlfn.XLOOKUP(B186&amp;"|"&amp;E186,
        Calculate_cap_ener!$L$14:$L$21&amp;"|"&amp;Calculate_cap_ener!$I$14:$I$21,
        Calculate_cap_ener!$BK$14:$BK$21, "Not found", 0))</f>
        <v>90039.464891451222</v>
      </c>
    </row>
    <row r="187" spans="1:20" x14ac:dyDescent="0.25">
      <c r="A187" s="5"/>
      <c r="B187" s="5" t="str">
        <f>CONCATENATE(C187, "-", "H1")</f>
        <v>Mod-H1</v>
      </c>
      <c r="C187" s="5" t="s">
        <v>38</v>
      </c>
      <c r="D187" s="5" t="str">
        <f>_xlfn.TEXTAFTER(B187, "-", 1)</f>
        <v>H1</v>
      </c>
      <c r="E187" s="5" t="s">
        <v>11</v>
      </c>
      <c r="F187" s="5" t="s">
        <v>55</v>
      </c>
      <c r="G187" s="5" t="s">
        <v>55</v>
      </c>
      <c r="H187" s="5">
        <v>5</v>
      </c>
      <c r="I187" s="5"/>
      <c r="J187" s="5">
        <f t="shared" si="22"/>
        <v>5</v>
      </c>
      <c r="K187" s="5">
        <v>500</v>
      </c>
      <c r="L187" s="8" cm="1">
        <f t="array" ref="L187">_xlfn.SWITCH(K187,200,_xlfn.XLOOKUP(J187,Manufacture_MJ!$C$18:$N$18,Manufacture_MJ!$C$20:$N$20) + _xlfn.XLOOKUP(B187&amp;"|"&amp;E187,
        Calculate_cap_ener!$L$14:$L$21&amp;"|"&amp;Calculate_cap_ener!$I$14:$I$21,
        Calculate_cap_ener!$AI$14:$AI$21, "Not found", 0), LOOKUP(K187,Manufacture_MJ!$C$24:$D$24,Manufacture_MJ!$C$26:$D$26) + _xlfn.XLOOKUP(J187,Manufacture_MJ!$C$18:$N$18,Manufacture_MJ!$C$20:$N$20) + _xlfn.XLOOKUP(B187&amp;"|"&amp;E187,
        Calculate_cap_ener!$L$14:$L$21&amp;"|"&amp;Calculate_cap_ener!$I$14:$I$21,
        Calculate_cap_ener!$AI$14:$AI$21, "Not found", 0))</f>
        <v>121694.30626721514</v>
      </c>
      <c r="M187" s="8">
        <f>LOOKUP(J187,Manufacture_MJ!$C$18:$N$18,Manufacture_MJ!$C$20:$N$20)</f>
        <v>48340.647798374281</v>
      </c>
      <c r="N187" s="8" cm="1">
        <f t="array" ref="N187">_xlfn.SWITCH(K187,200,0,LOOKUP(K187,Manufacture_MJ!$C$24:$D$24,Manufacture_MJ!$C$26:$D$26))</f>
        <v>10613.59090909091</v>
      </c>
      <c r="O187" s="5" cm="1">
        <f t="array" ref="O187">_xlfn.XLOOKUP(B187&amp;"|"&amp;E187,
        Calculate_cap_ener!$L$14:$L$21&amp;"|"&amp;Calculate_cap_ener!$I$14:$I$21,
        Calculate_cap_ener!$AI$14:$AI$21, "Not found", 0)</f>
        <v>62740.067559749943</v>
      </c>
      <c r="P187" s="8">
        <f t="shared" si="23"/>
        <v>121694.30626721514</v>
      </c>
      <c r="Q187" s="8" cm="1">
        <f t="array" ref="Q187">_xlfn.SWITCH(K187,200,_xlfn.XLOOKUP(J187,Distribution_MJ!$C$18:$N$18,Distribution_MJ!$C$20:$N$20) + _xlfn.XLOOKUP(B187&amp;"|"&amp;E187,
        Calculate_cap_ener!$L$14:$L$21&amp;"|"&amp;Calculate_cap_ener!$I$14:$I$21,
        Calculate_cap_ener!$AP$14:$AP$21, "Not found", 0), LOOKUP(K187,Distribution_MJ!$C$24:$D$24,Distribution_MJ!$C$26:$D$26) + _xlfn.XLOOKUP(J187,Distribution_MJ!$C$18:$N$18,Distribution_MJ!$C$20:$N$20) + _xlfn.XLOOKUP(B187&amp;"|"&amp;E187,
        Calculate_cap_ener!$L$14:$L$21&amp;"|"&amp;Calculate_cap_ener!$I$14:$I$21,
        Calculate_cap_ener!$AP$14:$AP$21, "Not found", 0))</f>
        <v>2769.378714622474</v>
      </c>
      <c r="R187" s="8" cm="1">
        <f t="array" ref="R187">_xlfn.SWITCH(K187,200,_xlfn.XLOOKUP(J187,Installation_MJ!$C$18:$N$18,Installation_MJ!$C$20:$N$20) + _xlfn.XLOOKUP(B187&amp;"|"&amp;E187,
        Calculate_cap_ener!$L$14:$L$21&amp;"|"&amp;Calculate_cap_ener!$I$14:$I$21,
        Calculate_cap_ener!$AW$14:$AW$21, "Not found", 0), LOOKUP(K187,Installation_MJ!$C$24:$D$24,Installation_MJ!$C$26:$D$26) + _xlfn.XLOOKUP(J187,Installation_MJ!$C$18:$N$18,Installation_MJ!$C$20:$N$20) + _xlfn.XLOOKUP(B187&amp;"|"&amp;E187,
        Calculate_cap_ener!$L$14:$L$21&amp;"|"&amp;Calculate_cap_ener!$I$14:$I$21,
        Calculate_cap_ener!$AW$14:$AW$21, "Not found", 0))</f>
        <v>238.16149082255177</v>
      </c>
      <c r="S187" s="8" cm="1">
        <f t="array" ref="S187">_xlfn.SWITCH(K187,200,_xlfn.XLOOKUP(J187,EOL_MJ!$C$18:$N$18,EOL_MJ!$C$20:$N$20) + _xlfn.XLOOKUP(B187&amp;"|"&amp;E187,
        Calculate_cap_ener!$L$14:$L$21&amp;"|"&amp;Calculate_cap_ener!$I$14:$I$21,
        Calculate_cap_ener!$BD$14:$BD$21, "Not found", 0), LOOKUP(K187,EOL_MJ!$C$24:$D$24,EOL_MJ!$C$26:$D$26) + _xlfn.XLOOKUP(J187,EOL_MJ!$C$18:$N$18,EOL_MJ!$C$20:$N$20) + _xlfn.XLOOKUP(B187&amp;"|"&amp;E187,
        Calculate_cap_ener!$L$14:$L$21&amp;"|"&amp;Calculate_cap_ener!$I$14:$I$21,
        Calculate_cap_ener!$BD$14:$BD$21, "Not found", 0))</f>
        <v>16745.623399145454</v>
      </c>
      <c r="T187" s="8" cm="1">
        <f t="array" ref="T187">_xlfn.SWITCH(K187,200,_xlfn.XLOOKUP(J187,Other!$C$18:$N$18,Other!$C$20:$N$20) + _xlfn.XLOOKUP(B187&amp;"|"&amp;E187,
        Calculate_cap_ener!$L$14:$L$21&amp;"|"&amp;Calculate_cap_ener!$I$14:$I$21,
        Calculate_cap_ener!$BK$14:$BK$21, "Not found", 0), LOOKUP(K187,Other!$C$24:$D$24,Other!$C$26:$D$26) + _xlfn.XLOOKUP(J187,Other!$C$18:$N$18,Other!$C$20:$N$20) + _xlfn.XLOOKUP(B187&amp;"|"&amp;E187,
        Calculate_cap_ener!$L$14:$L$21&amp;"|"&amp;Calculate_cap_ener!$I$14:$I$21,
        Calculate_cap_ener!$BK$14:$BK$21, "Not found", 0))</f>
        <v>89842.457141785955</v>
      </c>
    </row>
    <row r="188" spans="1:20" x14ac:dyDescent="0.25">
      <c r="A188" s="5"/>
      <c r="B188" s="5" t="str">
        <f t="shared" ref="B188:B195" si="24">CONCATENATE(C188, "-", "H1")</f>
        <v>Mod-H1</v>
      </c>
      <c r="C188" s="5" t="s">
        <v>38</v>
      </c>
      <c r="D188" s="5" t="str">
        <f t="shared" ref="D188:D189" si="25">_xlfn.TEXTAFTER(B188, "-", 1)</f>
        <v>H1</v>
      </c>
      <c r="E188" s="5" t="s">
        <v>11</v>
      </c>
      <c r="F188" s="5" t="s">
        <v>55</v>
      </c>
      <c r="G188" s="5" t="s">
        <v>55</v>
      </c>
      <c r="H188" s="5">
        <v>6</v>
      </c>
      <c r="I188" s="5"/>
      <c r="J188" s="5">
        <f t="shared" si="22"/>
        <v>6</v>
      </c>
      <c r="K188" s="5">
        <v>500</v>
      </c>
      <c r="L188" s="8" cm="1">
        <f t="array" ref="L188">_xlfn.SWITCH(K188,200,_xlfn.XLOOKUP(J188,Manufacture_MJ!$C$18:$N$18,Manufacture_MJ!$C$20:$N$20) + _xlfn.XLOOKUP(B188&amp;"|"&amp;E188,
        Calculate_cap_ener!$L$14:$L$21&amp;"|"&amp;Calculate_cap_ener!$I$14:$I$21,
        Calculate_cap_ener!$AI$14:$AI$21, "Not found", 0), LOOKUP(K188,Manufacture_MJ!$C$24:$D$24,Manufacture_MJ!$C$26:$D$26) + _xlfn.XLOOKUP(J188,Manufacture_MJ!$C$18:$N$18,Manufacture_MJ!$C$20:$N$20) + _xlfn.XLOOKUP(B188&amp;"|"&amp;E188,
        Calculate_cap_ener!$L$14:$L$21&amp;"|"&amp;Calculate_cap_ener!$I$14:$I$21,
        Calculate_cap_ener!$AI$14:$AI$21, "Not found", 0))</f>
        <v>122049.14486751298</v>
      </c>
      <c r="M188" s="8">
        <f>LOOKUP(J188,Manufacture_MJ!$C$18:$N$18,Manufacture_MJ!$C$20:$N$20)</f>
        <v>48695.486398672118</v>
      </c>
      <c r="N188" s="8" cm="1">
        <f t="array" ref="N188">_xlfn.SWITCH(K188,200,0,LOOKUP(K188,Manufacture_MJ!$C$24:$D$24,Manufacture_MJ!$C$26:$D$26))</f>
        <v>10613.59090909091</v>
      </c>
      <c r="O188" s="5" cm="1">
        <f t="array" ref="O188">_xlfn.XLOOKUP(B188&amp;"|"&amp;E188,
        Calculate_cap_ener!$L$14:$L$21&amp;"|"&amp;Calculate_cap_ener!$I$14:$I$21,
        Calculate_cap_ener!$AI$14:$AI$21, "Not found", 0)</f>
        <v>62740.067559749943</v>
      </c>
      <c r="P188" s="8">
        <f t="shared" si="23"/>
        <v>122049.14486751298</v>
      </c>
      <c r="Q188" s="8" cm="1">
        <f t="array" ref="Q188">_xlfn.SWITCH(K188,200,_xlfn.XLOOKUP(J188,Distribution_MJ!$C$18:$N$18,Distribution_MJ!$C$20:$N$20) + _xlfn.XLOOKUP(B188&amp;"|"&amp;E188,
        Calculate_cap_ener!$L$14:$L$21&amp;"|"&amp;Calculate_cap_ener!$I$14:$I$21,
        Calculate_cap_ener!$AP$14:$AP$21, "Not found", 0), LOOKUP(K188,Distribution_MJ!$C$24:$D$24,Distribution_MJ!$C$26:$D$26) + _xlfn.XLOOKUP(J188,Distribution_MJ!$C$18:$N$18,Distribution_MJ!$C$20:$N$20) + _xlfn.XLOOKUP(B188&amp;"|"&amp;E188,
        Calculate_cap_ener!$L$14:$L$21&amp;"|"&amp;Calculate_cap_ener!$I$14:$I$21,
        Calculate_cap_ener!$AP$14:$AP$21, "Not found", 0))</f>
        <v>2802.0830077576238</v>
      </c>
      <c r="R188" s="8" cm="1">
        <f t="array" ref="R188">_xlfn.SWITCH(K188,200,_xlfn.XLOOKUP(J188,Installation_MJ!$C$18:$N$18,Installation_MJ!$C$20:$N$20) + _xlfn.XLOOKUP(B188&amp;"|"&amp;E188,
        Calculate_cap_ener!$L$14:$L$21&amp;"|"&amp;Calculate_cap_ener!$I$14:$I$21,
        Calculate_cap_ener!$AW$14:$AW$21, "Not found", 0), LOOKUP(K188,Installation_MJ!$C$24:$D$24,Installation_MJ!$C$26:$D$26) + _xlfn.XLOOKUP(J188,Installation_MJ!$C$18:$N$18,Installation_MJ!$C$20:$N$20) + _xlfn.XLOOKUP(B188&amp;"|"&amp;E188,
        Calculate_cap_ener!$L$14:$L$21&amp;"|"&amp;Calculate_cap_ener!$I$14:$I$21,
        Calculate_cap_ener!$AW$14:$AW$21, "Not found", 0))</f>
        <v>240.62056908257404</v>
      </c>
      <c r="S188" s="8" cm="1">
        <f t="array" ref="S188">_xlfn.SWITCH(K188,200,_xlfn.XLOOKUP(J188,EOL_MJ!$C$18:$N$18,EOL_MJ!$C$20:$N$20) + _xlfn.XLOOKUP(B188&amp;"|"&amp;E188,
        Calculate_cap_ener!$L$14:$L$21&amp;"|"&amp;Calculate_cap_ener!$I$14:$I$21,
        Calculate_cap_ener!$BD$14:$BD$21, "Not found", 0), LOOKUP(K188,EOL_MJ!$C$24:$D$24,EOL_MJ!$C$26:$D$26) + _xlfn.XLOOKUP(J188,EOL_MJ!$C$18:$N$18,EOL_MJ!$C$20:$N$20) + _xlfn.XLOOKUP(B188&amp;"|"&amp;E188,
        Calculate_cap_ener!$L$14:$L$21&amp;"|"&amp;Calculate_cap_ener!$I$14:$I$21,
        Calculate_cap_ener!$BD$14:$BD$21, "Not found", 0))</f>
        <v>16745.623399145454</v>
      </c>
      <c r="T188" s="8" cm="1">
        <f t="array" ref="T188">_xlfn.SWITCH(K188,200,_xlfn.XLOOKUP(J188,Other!$C$18:$N$18,Other!$C$20:$N$20) + _xlfn.XLOOKUP(B188&amp;"|"&amp;E188,
        Calculate_cap_ener!$L$14:$L$21&amp;"|"&amp;Calculate_cap_ener!$I$14:$I$21,
        Calculate_cap_ener!$BK$14:$BK$21, "Not found", 0), LOOKUP(K188,Other!$C$24:$D$24,Other!$C$26:$D$26) + _xlfn.XLOOKUP(J188,Other!$C$18:$N$18,Other!$C$20:$N$20) + _xlfn.XLOOKUP(B188&amp;"|"&amp;E188,
        Calculate_cap_ener!$L$14:$L$21&amp;"|"&amp;Calculate_cap_ener!$I$14:$I$21,
        Calculate_cap_ener!$BK$14:$BK$21, "Not found", 0))</f>
        <v>89864.346891748763</v>
      </c>
    </row>
    <row r="189" spans="1:20" x14ac:dyDescent="0.25">
      <c r="A189" s="5"/>
      <c r="B189" s="5" t="str">
        <f t="shared" si="24"/>
        <v>Mod-H1</v>
      </c>
      <c r="C189" s="5" t="s">
        <v>38</v>
      </c>
      <c r="D189" s="5" t="str">
        <f t="shared" si="25"/>
        <v>H1</v>
      </c>
      <c r="E189" s="5" t="s">
        <v>11</v>
      </c>
      <c r="F189" s="5" t="s">
        <v>55</v>
      </c>
      <c r="G189" s="5" t="s">
        <v>55</v>
      </c>
      <c r="H189" s="5">
        <v>8.5</v>
      </c>
      <c r="I189" s="5"/>
      <c r="J189" s="5">
        <f t="shared" si="22"/>
        <v>9</v>
      </c>
      <c r="K189" s="5">
        <v>500</v>
      </c>
      <c r="L189" s="8" cm="1">
        <f t="array" ref="L189">_xlfn.SWITCH(K189,200,_xlfn.XLOOKUP(J189,Manufacture_MJ!$C$18:$N$18,Manufacture_MJ!$C$20:$N$20) + _xlfn.XLOOKUP(B189&amp;"|"&amp;E189,
        Calculate_cap_ener!$L$14:$L$21&amp;"|"&amp;Calculate_cap_ener!$I$14:$I$21,
        Calculate_cap_ener!$AI$14:$AI$21, "Not found", 0), LOOKUP(K189,Manufacture_MJ!$C$24:$D$24,Manufacture_MJ!$C$26:$D$26) + _xlfn.XLOOKUP(J189,Manufacture_MJ!$C$18:$N$18,Manufacture_MJ!$C$20:$N$20) + _xlfn.XLOOKUP(B189&amp;"|"&amp;E189,
        Calculate_cap_ener!$L$14:$L$21&amp;"|"&amp;Calculate_cap_ener!$I$14:$I$21,
        Calculate_cap_ener!$AI$14:$AI$21, "Not found", 0))</f>
        <v>123113.66066840648</v>
      </c>
      <c r="M189" s="8">
        <f>LOOKUP(J189,Manufacture_MJ!$C$18:$N$18,Manufacture_MJ!$C$20:$N$20)</f>
        <v>49760.002199565621</v>
      </c>
      <c r="N189" s="8" cm="1">
        <f t="array" ref="N189">_xlfn.SWITCH(K189,200,0,LOOKUP(K189,Manufacture_MJ!$C$24:$D$24,Manufacture_MJ!$C$26:$D$26))</f>
        <v>10613.59090909091</v>
      </c>
      <c r="O189" s="5" cm="1">
        <f t="array" ref="O189">_xlfn.XLOOKUP(B189&amp;"|"&amp;E189,
        Calculate_cap_ener!$L$14:$L$21&amp;"|"&amp;Calculate_cap_ener!$I$14:$I$21,
        Calculate_cap_ener!$AI$14:$AI$21, "Not found", 0)</f>
        <v>62740.067559749943</v>
      </c>
      <c r="P189" s="8">
        <f t="shared" si="23"/>
        <v>123113.66066840648</v>
      </c>
      <c r="Q189" s="8" cm="1">
        <f t="array" ref="Q189">_xlfn.SWITCH(K189,200,_xlfn.XLOOKUP(J189,Distribution_MJ!$C$18:$N$18,Distribution_MJ!$C$20:$N$20) + _xlfn.XLOOKUP(B189&amp;"|"&amp;E189,
        Calculate_cap_ener!$L$14:$L$21&amp;"|"&amp;Calculate_cap_ener!$I$14:$I$21,
        Calculate_cap_ener!$AP$14:$AP$21, "Not found", 0), LOOKUP(K189,Distribution_MJ!$C$24:$D$24,Distribution_MJ!$C$26:$D$26) + _xlfn.XLOOKUP(J189,Distribution_MJ!$C$18:$N$18,Distribution_MJ!$C$20:$N$20) + _xlfn.XLOOKUP(B189&amp;"|"&amp;E189,
        Calculate_cap_ener!$L$14:$L$21&amp;"|"&amp;Calculate_cap_ener!$I$14:$I$21,
        Calculate_cap_ener!$AP$14:$AP$21, "Not found", 0))</f>
        <v>2900.1958871630736</v>
      </c>
      <c r="R189" s="8" cm="1">
        <f t="array" ref="R189">_xlfn.SWITCH(K189,200,_xlfn.XLOOKUP(J189,Installation_MJ!$C$18:$N$18,Installation_MJ!$C$20:$N$20) + _xlfn.XLOOKUP(B189&amp;"|"&amp;E189,
        Calculate_cap_ener!$L$14:$L$21&amp;"|"&amp;Calculate_cap_ener!$I$14:$I$21,
        Calculate_cap_ener!$AW$14:$AW$21, "Not found", 0), LOOKUP(K189,Installation_MJ!$C$24:$D$24,Installation_MJ!$C$26:$D$26) + _xlfn.XLOOKUP(J189,Installation_MJ!$C$18:$N$18,Installation_MJ!$C$20:$N$20) + _xlfn.XLOOKUP(B189&amp;"|"&amp;E189,
        Calculate_cap_ener!$L$14:$L$21&amp;"|"&amp;Calculate_cap_ener!$I$14:$I$21,
        Calculate_cap_ener!$AW$14:$AW$21, "Not found", 0))</f>
        <v>247.99780386264052</v>
      </c>
      <c r="S189" s="8" cm="1">
        <f t="array" ref="S189">_xlfn.SWITCH(K189,200,_xlfn.XLOOKUP(J189,EOL_MJ!$C$18:$N$18,EOL_MJ!$C$20:$N$20) + _xlfn.XLOOKUP(B189&amp;"|"&amp;E189,
        Calculate_cap_ener!$L$14:$L$21&amp;"|"&amp;Calculate_cap_ener!$I$14:$I$21,
        Calculate_cap_ener!$BD$14:$BD$21, "Not found", 0), LOOKUP(K189,EOL_MJ!$C$24:$D$24,EOL_MJ!$C$26:$D$26) + _xlfn.XLOOKUP(J189,EOL_MJ!$C$18:$N$18,EOL_MJ!$C$20:$N$20) + _xlfn.XLOOKUP(B189&amp;"|"&amp;E189,
        Calculate_cap_ener!$L$14:$L$21&amp;"|"&amp;Calculate_cap_ener!$I$14:$I$21,
        Calculate_cap_ener!$BD$14:$BD$21, "Not found", 0))</f>
        <v>16745.623399145454</v>
      </c>
      <c r="T189" s="8" cm="1">
        <f t="array" ref="T189">_xlfn.SWITCH(K189,200,_xlfn.XLOOKUP(J189,Other!$C$18:$N$18,Other!$C$20:$N$20) + _xlfn.XLOOKUP(B189&amp;"|"&amp;E189,
        Calculate_cap_ener!$L$14:$L$21&amp;"|"&amp;Calculate_cap_ener!$I$14:$I$21,
        Calculate_cap_ener!$BK$14:$BK$21, "Not found", 0), LOOKUP(K189,Other!$C$24:$D$24,Other!$C$26:$D$26) + _xlfn.XLOOKUP(J189,Other!$C$18:$N$18,Other!$C$20:$N$20) + _xlfn.XLOOKUP(B189&amp;"|"&amp;E189,
        Calculate_cap_ener!$L$14:$L$21&amp;"|"&amp;Calculate_cap_ener!$I$14:$I$21,
        Calculate_cap_ener!$BK$14:$BK$21, "Not found", 0))</f>
        <v>89930.016141637185</v>
      </c>
    </row>
    <row r="190" spans="1:20" x14ac:dyDescent="0.25">
      <c r="A190" s="5"/>
      <c r="B190" s="5" t="str">
        <f t="shared" si="24"/>
        <v>Mod-H1</v>
      </c>
      <c r="C190" s="5" t="s">
        <v>38</v>
      </c>
      <c r="D190" s="5" t="str">
        <f>_xlfn.TEXTAFTER(B190, "-", 1)</f>
        <v>H1</v>
      </c>
      <c r="E190" s="5" t="s">
        <v>11</v>
      </c>
      <c r="F190" s="5" t="s">
        <v>55</v>
      </c>
      <c r="G190" s="5" t="s">
        <v>55</v>
      </c>
      <c r="H190" s="5">
        <v>14</v>
      </c>
      <c r="I190" s="5"/>
      <c r="J190" s="5">
        <f t="shared" si="22"/>
        <v>14</v>
      </c>
      <c r="K190" s="5">
        <v>500</v>
      </c>
      <c r="L190" s="8" cm="1">
        <f t="array" ref="L190">_xlfn.SWITCH(K190,200,_xlfn.XLOOKUP(J190,Manufacture_MJ!$C$18:$N$18,Manufacture_MJ!$C$20:$N$20) + _xlfn.XLOOKUP(B190&amp;"|"&amp;E190,
        Calculate_cap_ener!$L$14:$L$21&amp;"|"&amp;Calculate_cap_ener!$I$14:$I$21,
        Calculate_cap_ener!$AI$14:$AI$21, "Not found", 0), LOOKUP(K190,Manufacture_MJ!$C$24:$D$24,Manufacture_MJ!$C$26:$D$26) + _xlfn.XLOOKUP(J190,Manufacture_MJ!$C$18:$N$18,Manufacture_MJ!$C$20:$N$20) + _xlfn.XLOOKUP(B190&amp;"|"&amp;E190,
        Calculate_cap_ener!$L$14:$L$21&amp;"|"&amp;Calculate_cap_ener!$I$14:$I$21,
        Calculate_cap_ener!$AI$14:$AI$21, "Not found", 0))</f>
        <v>124887.85366989578</v>
      </c>
      <c r="M190" s="8">
        <f>LOOKUP(J190,Manufacture_MJ!$C$18:$N$18,Manufacture_MJ!$C$20:$N$20)</f>
        <v>51534.195201054921</v>
      </c>
      <c r="N190" s="8" cm="1">
        <f t="array" ref="N190">_xlfn.SWITCH(K190,200,0,LOOKUP(K190,Manufacture_MJ!$C$24:$D$24,Manufacture_MJ!$C$26:$D$26))</f>
        <v>10613.59090909091</v>
      </c>
      <c r="O190" s="5" cm="1">
        <f t="array" ref="O190">_xlfn.XLOOKUP(B190&amp;"|"&amp;E190,
        Calculate_cap_ener!$L$14:$L$21&amp;"|"&amp;Calculate_cap_ener!$I$14:$I$21,
        Calculate_cap_ener!$AI$14:$AI$21, "Not found", 0)</f>
        <v>62740.067559749943</v>
      </c>
      <c r="P190" s="8">
        <f t="shared" si="23"/>
        <v>124887.85366989578</v>
      </c>
      <c r="Q190" s="8" cm="1">
        <f t="array" ref="Q190">_xlfn.SWITCH(K190,200,_xlfn.XLOOKUP(J190,Distribution_MJ!$C$18:$N$18,Distribution_MJ!$C$20:$N$20) + _xlfn.XLOOKUP(B190&amp;"|"&amp;E190,
        Calculate_cap_ener!$L$14:$L$21&amp;"|"&amp;Calculate_cap_ener!$I$14:$I$21,
        Calculate_cap_ener!$AP$14:$AP$21, "Not found", 0), LOOKUP(K190,Distribution_MJ!$C$24:$D$24,Distribution_MJ!$C$26:$D$26) + _xlfn.XLOOKUP(J190,Distribution_MJ!$C$18:$N$18,Distribution_MJ!$C$20:$N$20) + _xlfn.XLOOKUP(B190&amp;"|"&amp;E190,
        Calculate_cap_ener!$L$14:$L$21&amp;"|"&amp;Calculate_cap_ener!$I$14:$I$21,
        Calculate_cap_ener!$AP$14:$AP$21, "Not found", 0))</f>
        <v>3063.7173528388234</v>
      </c>
      <c r="R190" s="8" cm="1">
        <f t="array" ref="R190">_xlfn.SWITCH(K190,200,_xlfn.XLOOKUP(J190,Installation_MJ!$C$18:$N$18,Installation_MJ!$C$20:$N$20) + _xlfn.XLOOKUP(B190&amp;"|"&amp;E190,
        Calculate_cap_ener!$L$14:$L$21&amp;"|"&amp;Calculate_cap_ener!$I$14:$I$21,
        Calculate_cap_ener!$AW$14:$AW$21, "Not found", 0), LOOKUP(K190,Installation_MJ!$C$24:$D$24,Installation_MJ!$C$26:$D$26) + _xlfn.XLOOKUP(J190,Installation_MJ!$C$18:$N$18,Installation_MJ!$C$20:$N$20) + _xlfn.XLOOKUP(B190&amp;"|"&amp;E190,
        Calculate_cap_ener!$L$14:$L$21&amp;"|"&amp;Calculate_cap_ener!$I$14:$I$21,
        Calculate_cap_ener!$AW$14:$AW$21, "Not found", 0))</f>
        <v>260.29319516275172</v>
      </c>
      <c r="S190" s="8" cm="1">
        <f t="array" ref="S190">_xlfn.SWITCH(K190,200,_xlfn.XLOOKUP(J190,EOL_MJ!$C$18:$N$18,EOL_MJ!$C$20:$N$20) + _xlfn.XLOOKUP(B190&amp;"|"&amp;E190,
        Calculate_cap_ener!$L$14:$L$21&amp;"|"&amp;Calculate_cap_ener!$I$14:$I$21,
        Calculate_cap_ener!$BD$14:$BD$21, "Not found", 0), LOOKUP(K190,EOL_MJ!$C$24:$D$24,EOL_MJ!$C$26:$D$26) + _xlfn.XLOOKUP(J190,EOL_MJ!$C$18:$N$18,EOL_MJ!$C$20:$N$20) + _xlfn.XLOOKUP(B190&amp;"|"&amp;E190,
        Calculate_cap_ener!$L$14:$L$21&amp;"|"&amp;Calculate_cap_ener!$I$14:$I$21,
        Calculate_cap_ener!$BD$14:$BD$21, "Not found", 0))</f>
        <v>16745.623399145454</v>
      </c>
      <c r="T190" s="8" cm="1">
        <f t="array" ref="T190">_xlfn.SWITCH(K190,200,_xlfn.XLOOKUP(J190,Other!$C$18:$N$18,Other!$C$20:$N$20) + _xlfn.XLOOKUP(B190&amp;"|"&amp;E190,
        Calculate_cap_ener!$L$14:$L$21&amp;"|"&amp;Calculate_cap_ener!$I$14:$I$21,
        Calculate_cap_ener!$BK$14:$BK$21, "Not found", 0), LOOKUP(K190,Other!$C$24:$D$24,Other!$C$26:$D$26) + _xlfn.XLOOKUP(J190,Other!$C$18:$N$18,Other!$C$20:$N$20) + _xlfn.XLOOKUP(B190&amp;"|"&amp;E190,
        Calculate_cap_ener!$L$14:$L$21&amp;"|"&amp;Calculate_cap_ener!$I$14:$I$21,
        Calculate_cap_ener!$BK$14:$BK$21, "Not found", 0))</f>
        <v>90039.464891451222</v>
      </c>
    </row>
    <row r="191" spans="1:20" x14ac:dyDescent="0.25">
      <c r="A191" s="5"/>
      <c r="B191" s="5" t="str">
        <f t="shared" si="24"/>
        <v>Mod-H1</v>
      </c>
      <c r="C191" s="5" t="s">
        <v>38</v>
      </c>
      <c r="D191" s="5" t="str">
        <f t="shared" ref="D191:D195" si="26">_xlfn.TEXTAFTER(B191, "-", 1)</f>
        <v>H1</v>
      </c>
      <c r="E191" s="5" t="s">
        <v>11</v>
      </c>
      <c r="F191" s="5" t="s">
        <v>57</v>
      </c>
      <c r="G191" s="5" t="s">
        <v>57</v>
      </c>
      <c r="H191" s="5">
        <v>5</v>
      </c>
      <c r="I191" s="5"/>
      <c r="J191" s="5">
        <f t="shared" si="22"/>
        <v>5</v>
      </c>
      <c r="K191" s="5">
        <v>1000</v>
      </c>
      <c r="L191" s="8" cm="1">
        <f t="array" ref="L191">_xlfn.SWITCH(K191,200,_xlfn.XLOOKUP(J191,Manufacture_MJ!$C$18:$N$18,Manufacture_MJ!$C$20:$N$20) + _xlfn.XLOOKUP(B191&amp;"|"&amp;E191,
        Calculate_cap_ener!$L$14:$L$21&amp;"|"&amp;Calculate_cap_ener!$I$14:$I$21,
        Calculate_cap_ener!$AI$14:$AI$21, "Not found", 0), LOOKUP(K191,Manufacture_MJ!$C$24:$D$24,Manufacture_MJ!$C$26:$D$26) + _xlfn.XLOOKUP(J191,Manufacture_MJ!$C$18:$N$18,Manufacture_MJ!$C$20:$N$20) + _xlfn.XLOOKUP(B191&amp;"|"&amp;E191,
        Calculate_cap_ener!$L$14:$L$21&amp;"|"&amp;Calculate_cap_ener!$I$14:$I$21,
        Calculate_cap_ener!$AI$14:$AI$21, "Not found", 0))</f>
        <v>131654.03353994241</v>
      </c>
      <c r="M191" s="8">
        <f>LOOKUP(J191,Manufacture_MJ!$C$18:$N$18,Manufacture_MJ!$C$20:$N$20)</f>
        <v>48340.647798374281</v>
      </c>
      <c r="N191" s="8" cm="1">
        <f t="array" ref="N191">_xlfn.SWITCH(K191,200,0,LOOKUP(K191,Manufacture_MJ!$C$24:$D$24,Manufacture_MJ!$C$26:$D$26))</f>
        <v>20573.31818181818</v>
      </c>
      <c r="O191" s="5" cm="1">
        <f t="array" ref="O191">_xlfn.XLOOKUP(B191&amp;"|"&amp;E191,
        Calculate_cap_ener!$L$14:$L$21&amp;"|"&amp;Calculate_cap_ener!$I$14:$I$21,
        Calculate_cap_ener!$AI$14:$AI$21, "Not found", 0)</f>
        <v>62740.067559749943</v>
      </c>
      <c r="P191" s="8">
        <f t="shared" si="23"/>
        <v>131654.03353994241</v>
      </c>
      <c r="Q191" s="8" cm="1">
        <f t="array" ref="Q191">_xlfn.SWITCH(K191,200,_xlfn.XLOOKUP(J191,Distribution_MJ!$C$18:$N$18,Distribution_MJ!$C$20:$N$20) + _xlfn.XLOOKUP(B191&amp;"|"&amp;E191,
        Calculate_cap_ener!$L$14:$L$21&amp;"|"&amp;Calculate_cap_ener!$I$14:$I$21,
        Calculate_cap_ener!$AP$14:$AP$21, "Not found", 0), LOOKUP(K191,Distribution_MJ!$C$24:$D$24,Distribution_MJ!$C$26:$D$26) + _xlfn.XLOOKUP(J191,Distribution_MJ!$C$18:$N$18,Distribution_MJ!$C$20:$N$20) + _xlfn.XLOOKUP(B191&amp;"|"&amp;E191,
        Calculate_cap_ener!$L$14:$L$21&amp;"|"&amp;Calculate_cap_ener!$I$14:$I$21,
        Calculate_cap_ener!$AP$14:$AP$21, "Not found", 0))</f>
        <v>2949.9640399694736</v>
      </c>
      <c r="R191" s="8" cm="1">
        <f t="array" ref="R191">_xlfn.SWITCH(K191,200,_xlfn.XLOOKUP(J191,Installation_MJ!$C$18:$N$18,Installation_MJ!$C$20:$N$20) + _xlfn.XLOOKUP(B191&amp;"|"&amp;E191,
        Calculate_cap_ener!$L$14:$L$21&amp;"|"&amp;Calculate_cap_ener!$I$14:$I$21,
        Calculate_cap_ener!$AW$14:$AW$21, "Not found", 0), LOOKUP(K191,Installation_MJ!$C$24:$D$24,Installation_MJ!$C$26:$D$26) + _xlfn.XLOOKUP(J191,Installation_MJ!$C$18:$N$18,Installation_MJ!$C$20:$N$20) + _xlfn.XLOOKUP(B191&amp;"|"&amp;E191,
        Calculate_cap_ener!$L$14:$L$21&amp;"|"&amp;Calculate_cap_ener!$I$14:$I$21,
        Calculate_cap_ener!$AW$14:$AW$21, "Not found", 0))</f>
        <v>243.88876354982449</v>
      </c>
      <c r="S191" s="8" cm="1">
        <f t="array" ref="S191">_xlfn.SWITCH(K191,200,_xlfn.XLOOKUP(J191,EOL_MJ!$C$18:$N$18,EOL_MJ!$C$20:$N$20) + _xlfn.XLOOKUP(B191&amp;"|"&amp;E191,
        Calculate_cap_ener!$L$14:$L$21&amp;"|"&amp;Calculate_cap_ener!$I$14:$I$21,
        Calculate_cap_ener!$BD$14:$BD$21, "Not found", 0), LOOKUP(K191,EOL_MJ!$C$24:$D$24,EOL_MJ!$C$26:$D$26) + _xlfn.XLOOKUP(J191,EOL_MJ!$C$18:$N$18,EOL_MJ!$C$20:$N$20) + _xlfn.XLOOKUP(B191&amp;"|"&amp;E191,
        Calculate_cap_ener!$L$14:$L$21&amp;"|"&amp;Calculate_cap_ener!$I$14:$I$21,
        Calculate_cap_ener!$BD$14:$BD$21, "Not found", 0))</f>
        <v>26881.941580963634</v>
      </c>
      <c r="T191" s="8" cm="1">
        <f t="array" ref="T191">_xlfn.SWITCH(K191,200,_xlfn.XLOOKUP(J191,Other!$C$18:$N$18,Other!$C$20:$N$20) + _xlfn.XLOOKUP(B191&amp;"|"&amp;E191,
        Calculate_cap_ener!$L$14:$L$21&amp;"|"&amp;Calculate_cap_ener!$I$14:$I$21,
        Calculate_cap_ener!$BK$14:$BK$21, "Not found", 0), LOOKUP(K191,Other!$C$24:$D$24,Other!$C$26:$D$26) + _xlfn.XLOOKUP(J191,Other!$C$18:$N$18,Other!$C$20:$N$20) + _xlfn.XLOOKUP(B191&amp;"|"&amp;E191,
        Calculate_cap_ener!$L$14:$L$21&amp;"|"&amp;Calculate_cap_ener!$I$14:$I$21,
        Calculate_cap_ener!$BK$14:$BK$21, "Not found", 0))</f>
        <v>89842.457141785955</v>
      </c>
    </row>
    <row r="192" spans="1:20" x14ac:dyDescent="0.25">
      <c r="A192" s="5"/>
      <c r="B192" s="5" t="str">
        <f t="shared" si="24"/>
        <v>Mod-H1</v>
      </c>
      <c r="C192" s="5" t="s">
        <v>38</v>
      </c>
      <c r="D192" s="5" t="str">
        <f t="shared" si="26"/>
        <v>H1</v>
      </c>
      <c r="E192" s="5" t="s">
        <v>11</v>
      </c>
      <c r="F192" s="5" t="s">
        <v>57</v>
      </c>
      <c r="G192" s="5" t="s">
        <v>57</v>
      </c>
      <c r="H192" s="5">
        <v>6</v>
      </c>
      <c r="I192" s="5"/>
      <c r="J192" s="5">
        <f t="shared" si="22"/>
        <v>6</v>
      </c>
      <c r="K192" s="5">
        <v>1000</v>
      </c>
      <c r="L192" s="8" cm="1">
        <f t="array" ref="L192">_xlfn.SWITCH(K192,200,_xlfn.XLOOKUP(J192,Manufacture_MJ!$C$18:$N$18,Manufacture_MJ!$C$20:$N$20) + _xlfn.XLOOKUP(B192&amp;"|"&amp;E192,
        Calculate_cap_ener!$L$14:$L$21&amp;"|"&amp;Calculate_cap_ener!$I$14:$I$21,
        Calculate_cap_ener!$AI$14:$AI$21, "Not found", 0), LOOKUP(K192,Manufacture_MJ!$C$24:$D$24,Manufacture_MJ!$C$26:$D$26) + _xlfn.XLOOKUP(J192,Manufacture_MJ!$C$18:$N$18,Manufacture_MJ!$C$20:$N$20) + _xlfn.XLOOKUP(B192&amp;"|"&amp;E192,
        Calculate_cap_ener!$L$14:$L$21&amp;"|"&amp;Calculate_cap_ener!$I$14:$I$21,
        Calculate_cap_ener!$AI$14:$AI$21, "Not found", 0))</f>
        <v>132008.87214024024</v>
      </c>
      <c r="M192" s="8">
        <f>LOOKUP(J192,Manufacture_MJ!$C$18:$N$18,Manufacture_MJ!$C$20:$N$20)</f>
        <v>48695.486398672118</v>
      </c>
      <c r="N192" s="8" cm="1">
        <f t="array" ref="N192">_xlfn.SWITCH(K192,200,0,LOOKUP(K192,Manufacture_MJ!$C$24:$D$24,Manufacture_MJ!$C$26:$D$26))</f>
        <v>20573.31818181818</v>
      </c>
      <c r="O192" s="5" cm="1">
        <f t="array" ref="O192">_xlfn.XLOOKUP(B192&amp;"|"&amp;E192,
        Calculate_cap_ener!$L$14:$L$21&amp;"|"&amp;Calculate_cap_ener!$I$14:$I$21,
        Calculate_cap_ener!$AI$14:$AI$21, "Not found", 0)</f>
        <v>62740.067559749943</v>
      </c>
      <c r="P192" s="8">
        <f t="shared" si="23"/>
        <v>132008.87214024024</v>
      </c>
      <c r="Q192" s="8" cm="1">
        <f t="array" ref="Q192">_xlfn.SWITCH(K192,200,_xlfn.XLOOKUP(J192,Distribution_MJ!$C$18:$N$18,Distribution_MJ!$C$20:$N$20) + _xlfn.XLOOKUP(B192&amp;"|"&amp;E192,
        Calculate_cap_ener!$L$14:$L$21&amp;"|"&amp;Calculate_cap_ener!$I$14:$I$21,
        Calculate_cap_ener!$AP$14:$AP$21, "Not found", 0), LOOKUP(K192,Distribution_MJ!$C$24:$D$24,Distribution_MJ!$C$26:$D$26) + _xlfn.XLOOKUP(J192,Distribution_MJ!$C$18:$N$18,Distribution_MJ!$C$20:$N$20) + _xlfn.XLOOKUP(B192&amp;"|"&amp;E192,
        Calculate_cap_ener!$L$14:$L$21&amp;"|"&amp;Calculate_cap_ener!$I$14:$I$21,
        Calculate_cap_ener!$AP$14:$AP$21, "Not found", 0))</f>
        <v>2982.6683331046233</v>
      </c>
      <c r="R192" s="8" cm="1">
        <f t="array" ref="R192">_xlfn.SWITCH(K192,200,_xlfn.XLOOKUP(J192,Installation_MJ!$C$18:$N$18,Installation_MJ!$C$20:$N$20) + _xlfn.XLOOKUP(B192&amp;"|"&amp;E192,
        Calculate_cap_ener!$L$14:$L$21&amp;"|"&amp;Calculate_cap_ener!$I$14:$I$21,
        Calculate_cap_ener!$AW$14:$AW$21, "Not found", 0), LOOKUP(K192,Installation_MJ!$C$24:$D$24,Installation_MJ!$C$26:$D$26) + _xlfn.XLOOKUP(J192,Installation_MJ!$C$18:$N$18,Installation_MJ!$C$20:$N$20) + _xlfn.XLOOKUP(B192&amp;"|"&amp;E192,
        Calculate_cap_ener!$L$14:$L$21&amp;"|"&amp;Calculate_cap_ener!$I$14:$I$21,
        Calculate_cap_ener!$AW$14:$AW$21, "Not found", 0))</f>
        <v>246.34784180984676</v>
      </c>
      <c r="S192" s="8" cm="1">
        <f t="array" ref="S192">_xlfn.SWITCH(K192,200,_xlfn.XLOOKUP(J192,EOL_MJ!$C$18:$N$18,EOL_MJ!$C$20:$N$20) + _xlfn.XLOOKUP(B192&amp;"|"&amp;E192,
        Calculate_cap_ener!$L$14:$L$21&amp;"|"&amp;Calculate_cap_ener!$I$14:$I$21,
        Calculate_cap_ener!$BD$14:$BD$21, "Not found", 0), LOOKUP(K192,EOL_MJ!$C$24:$D$24,EOL_MJ!$C$26:$D$26) + _xlfn.XLOOKUP(J192,EOL_MJ!$C$18:$N$18,EOL_MJ!$C$20:$N$20) + _xlfn.XLOOKUP(B192&amp;"|"&amp;E192,
        Calculate_cap_ener!$L$14:$L$21&amp;"|"&amp;Calculate_cap_ener!$I$14:$I$21,
        Calculate_cap_ener!$BD$14:$BD$21, "Not found", 0))</f>
        <v>26881.941580963634</v>
      </c>
      <c r="T192" s="8" cm="1">
        <f t="array" ref="T192">_xlfn.SWITCH(K192,200,_xlfn.XLOOKUP(J192,Other!$C$18:$N$18,Other!$C$20:$N$20) + _xlfn.XLOOKUP(B192&amp;"|"&amp;E192,
        Calculate_cap_ener!$L$14:$L$21&amp;"|"&amp;Calculate_cap_ener!$I$14:$I$21,
        Calculate_cap_ener!$BK$14:$BK$21, "Not found", 0), LOOKUP(K192,Other!$C$24:$D$24,Other!$C$26:$D$26) + _xlfn.XLOOKUP(J192,Other!$C$18:$N$18,Other!$C$20:$N$20) + _xlfn.XLOOKUP(B192&amp;"|"&amp;E192,
        Calculate_cap_ener!$L$14:$L$21&amp;"|"&amp;Calculate_cap_ener!$I$14:$I$21,
        Calculate_cap_ener!$BK$14:$BK$21, "Not found", 0))</f>
        <v>89864.346891748763</v>
      </c>
    </row>
    <row r="193" spans="1:20" x14ac:dyDescent="0.25">
      <c r="A193" s="5"/>
      <c r="B193" s="5" t="str">
        <f t="shared" si="24"/>
        <v>Mod-H1</v>
      </c>
      <c r="C193" s="5" t="s">
        <v>38</v>
      </c>
      <c r="D193" s="5" t="str">
        <f t="shared" si="26"/>
        <v>H1</v>
      </c>
      <c r="E193" s="5" t="s">
        <v>11</v>
      </c>
      <c r="F193" s="5" t="s">
        <v>57</v>
      </c>
      <c r="G193" s="5" t="s">
        <v>57</v>
      </c>
      <c r="H193" s="5">
        <v>8.5</v>
      </c>
      <c r="I193" s="5"/>
      <c r="J193" s="5">
        <f t="shared" si="22"/>
        <v>9</v>
      </c>
      <c r="K193" s="5">
        <v>1000</v>
      </c>
      <c r="L193" s="8" cm="1">
        <f t="array" ref="L193">_xlfn.SWITCH(K193,200,_xlfn.XLOOKUP(J193,Manufacture_MJ!$C$18:$N$18,Manufacture_MJ!$C$20:$N$20) + _xlfn.XLOOKUP(B193&amp;"|"&amp;E193,
        Calculate_cap_ener!$L$14:$L$21&amp;"|"&amp;Calculate_cap_ener!$I$14:$I$21,
        Calculate_cap_ener!$AI$14:$AI$21, "Not found", 0), LOOKUP(K193,Manufacture_MJ!$C$24:$D$24,Manufacture_MJ!$C$26:$D$26) + _xlfn.XLOOKUP(J193,Manufacture_MJ!$C$18:$N$18,Manufacture_MJ!$C$20:$N$20) + _xlfn.XLOOKUP(B193&amp;"|"&amp;E193,
        Calculate_cap_ener!$L$14:$L$21&amp;"|"&amp;Calculate_cap_ener!$I$14:$I$21,
        Calculate_cap_ener!$AI$14:$AI$21, "Not found", 0))</f>
        <v>133073.38794113375</v>
      </c>
      <c r="M193" s="8">
        <f>LOOKUP(J193,Manufacture_MJ!$C$18:$N$18,Manufacture_MJ!$C$20:$N$20)</f>
        <v>49760.002199565621</v>
      </c>
      <c r="N193" s="8" cm="1">
        <f t="array" ref="N193">_xlfn.SWITCH(K193,200,0,LOOKUP(K193,Manufacture_MJ!$C$24:$D$24,Manufacture_MJ!$C$26:$D$26))</f>
        <v>20573.31818181818</v>
      </c>
      <c r="O193" s="5" cm="1">
        <f t="array" ref="O193">_xlfn.XLOOKUP(B193&amp;"|"&amp;E193,
        Calculate_cap_ener!$L$14:$L$21&amp;"|"&amp;Calculate_cap_ener!$I$14:$I$21,
        Calculate_cap_ener!$AI$14:$AI$21, "Not found", 0)</f>
        <v>62740.067559749943</v>
      </c>
      <c r="P193" s="8">
        <f t="shared" si="23"/>
        <v>133073.38794113375</v>
      </c>
      <c r="Q193" s="8" cm="1">
        <f t="array" ref="Q193">_xlfn.SWITCH(K193,200,_xlfn.XLOOKUP(J193,Distribution_MJ!$C$18:$N$18,Distribution_MJ!$C$20:$N$20) + _xlfn.XLOOKUP(B193&amp;"|"&amp;E193,
        Calculate_cap_ener!$L$14:$L$21&amp;"|"&amp;Calculate_cap_ener!$I$14:$I$21,
        Calculate_cap_ener!$AP$14:$AP$21, "Not found", 0), LOOKUP(K193,Distribution_MJ!$C$24:$D$24,Distribution_MJ!$C$26:$D$26) + _xlfn.XLOOKUP(J193,Distribution_MJ!$C$18:$N$18,Distribution_MJ!$C$20:$N$20) + _xlfn.XLOOKUP(B193&amp;"|"&amp;E193,
        Calculate_cap_ener!$L$14:$L$21&amp;"|"&amp;Calculate_cap_ener!$I$14:$I$21,
        Calculate_cap_ener!$AP$14:$AP$21, "Not found", 0))</f>
        <v>3080.7812125100736</v>
      </c>
      <c r="R193" s="8" cm="1">
        <f t="array" ref="R193">_xlfn.SWITCH(K193,200,_xlfn.XLOOKUP(J193,Installation_MJ!$C$18:$N$18,Installation_MJ!$C$20:$N$20) + _xlfn.XLOOKUP(B193&amp;"|"&amp;E193,
        Calculate_cap_ener!$L$14:$L$21&amp;"|"&amp;Calculate_cap_ener!$I$14:$I$21,
        Calculate_cap_ener!$AW$14:$AW$21, "Not found", 0), LOOKUP(K193,Installation_MJ!$C$24:$D$24,Installation_MJ!$C$26:$D$26) + _xlfn.XLOOKUP(J193,Installation_MJ!$C$18:$N$18,Installation_MJ!$C$20:$N$20) + _xlfn.XLOOKUP(B193&amp;"|"&amp;E193,
        Calculate_cap_ener!$L$14:$L$21&amp;"|"&amp;Calculate_cap_ener!$I$14:$I$21,
        Calculate_cap_ener!$AW$14:$AW$21, "Not found", 0))</f>
        <v>253.72507658991327</v>
      </c>
      <c r="S193" s="8" cm="1">
        <f t="array" ref="S193">_xlfn.SWITCH(K193,200,_xlfn.XLOOKUP(J193,EOL_MJ!$C$18:$N$18,EOL_MJ!$C$20:$N$20) + _xlfn.XLOOKUP(B193&amp;"|"&amp;E193,
        Calculate_cap_ener!$L$14:$L$21&amp;"|"&amp;Calculate_cap_ener!$I$14:$I$21,
        Calculate_cap_ener!$BD$14:$BD$21, "Not found", 0), LOOKUP(K193,EOL_MJ!$C$24:$D$24,EOL_MJ!$C$26:$D$26) + _xlfn.XLOOKUP(J193,EOL_MJ!$C$18:$N$18,EOL_MJ!$C$20:$N$20) + _xlfn.XLOOKUP(B193&amp;"|"&amp;E193,
        Calculate_cap_ener!$L$14:$L$21&amp;"|"&amp;Calculate_cap_ener!$I$14:$I$21,
        Calculate_cap_ener!$BD$14:$BD$21, "Not found", 0))</f>
        <v>26881.941580963634</v>
      </c>
      <c r="T193" s="8" cm="1">
        <f t="array" ref="T193">_xlfn.SWITCH(K193,200,_xlfn.XLOOKUP(J193,Other!$C$18:$N$18,Other!$C$20:$N$20) + _xlfn.XLOOKUP(B193&amp;"|"&amp;E193,
        Calculate_cap_ener!$L$14:$L$21&amp;"|"&amp;Calculate_cap_ener!$I$14:$I$21,
        Calculate_cap_ener!$BK$14:$BK$21, "Not found", 0), LOOKUP(K193,Other!$C$24:$D$24,Other!$C$26:$D$26) + _xlfn.XLOOKUP(J193,Other!$C$18:$N$18,Other!$C$20:$N$20) + _xlfn.XLOOKUP(B193&amp;"|"&amp;E193,
        Calculate_cap_ener!$L$14:$L$21&amp;"|"&amp;Calculate_cap_ener!$I$14:$I$21,
        Calculate_cap_ener!$BK$14:$BK$21, "Not found", 0))</f>
        <v>89930.016141637185</v>
      </c>
    </row>
    <row r="194" spans="1:20" x14ac:dyDescent="0.25">
      <c r="A194" s="5"/>
      <c r="B194" s="5" t="str">
        <f t="shared" si="24"/>
        <v>Mod-H1</v>
      </c>
      <c r="C194" s="5" t="s">
        <v>38</v>
      </c>
      <c r="D194" s="5" t="str">
        <f t="shared" si="26"/>
        <v>H1</v>
      </c>
      <c r="E194" s="5" t="s">
        <v>11</v>
      </c>
      <c r="F194" s="5" t="s">
        <v>57</v>
      </c>
      <c r="G194" s="5" t="s">
        <v>57</v>
      </c>
      <c r="H194" s="5">
        <v>11.2</v>
      </c>
      <c r="I194" s="5"/>
      <c r="J194" s="5">
        <f t="shared" si="22"/>
        <v>12</v>
      </c>
      <c r="K194" s="5">
        <v>1000</v>
      </c>
      <c r="L194" s="8" cm="1">
        <f t="array" ref="L194">_xlfn.SWITCH(K194,200,_xlfn.XLOOKUP(J194,Manufacture_MJ!$C$18:$N$18,Manufacture_MJ!$C$20:$N$20) + _xlfn.XLOOKUP(B194&amp;"|"&amp;E194,
        Calculate_cap_ener!$L$14:$L$21&amp;"|"&amp;Calculate_cap_ener!$I$14:$I$21,
        Calculate_cap_ener!$AI$14:$AI$21, "Not found", 0), LOOKUP(K194,Manufacture_MJ!$C$24:$D$24,Manufacture_MJ!$C$26:$D$26) + _xlfn.XLOOKUP(J194,Manufacture_MJ!$C$18:$N$18,Manufacture_MJ!$C$20:$N$20) + _xlfn.XLOOKUP(B194&amp;"|"&amp;E194,
        Calculate_cap_ener!$L$14:$L$21&amp;"|"&amp;Calculate_cap_ener!$I$14:$I$21,
        Calculate_cap_ener!$AI$14:$AI$21, "Not found", 0))</f>
        <v>134137.90374202738</v>
      </c>
      <c r="M194" s="8">
        <f>LOOKUP(J194,Manufacture_MJ!$C$18:$N$18,Manufacture_MJ!$C$20:$N$20)</f>
        <v>50824.518000459248</v>
      </c>
      <c r="N194" s="8" cm="1">
        <f t="array" ref="N194">_xlfn.SWITCH(K194,200,0,LOOKUP(K194,Manufacture_MJ!$C$24:$D$24,Manufacture_MJ!$C$26:$D$26))</f>
        <v>20573.31818181818</v>
      </c>
      <c r="O194" s="5" cm="1">
        <f t="array" ref="O194">_xlfn.XLOOKUP(B194&amp;"|"&amp;E194,
        Calculate_cap_ener!$L$14:$L$21&amp;"|"&amp;Calculate_cap_ener!$I$14:$I$21,
        Calculate_cap_ener!$AI$14:$AI$21, "Not found", 0)</f>
        <v>62740.067559749943</v>
      </c>
      <c r="P194" s="8">
        <f t="shared" si="23"/>
        <v>134137.90374202738</v>
      </c>
      <c r="Q194" s="8" cm="1">
        <f t="array" ref="Q194">_xlfn.SWITCH(K194,200,_xlfn.XLOOKUP(J194,Distribution_MJ!$C$18:$N$18,Distribution_MJ!$C$20:$N$20) + _xlfn.XLOOKUP(B194&amp;"|"&amp;E194,
        Calculate_cap_ener!$L$14:$L$21&amp;"|"&amp;Calculate_cap_ener!$I$14:$I$21,
        Calculate_cap_ener!$AP$14:$AP$21, "Not found", 0), LOOKUP(K194,Distribution_MJ!$C$24:$D$24,Distribution_MJ!$C$26:$D$26) + _xlfn.XLOOKUP(J194,Distribution_MJ!$C$18:$N$18,Distribution_MJ!$C$20:$N$20) + _xlfn.XLOOKUP(B194&amp;"|"&amp;E194,
        Calculate_cap_ener!$L$14:$L$21&amp;"|"&amp;Calculate_cap_ener!$I$14:$I$21,
        Calculate_cap_ener!$AP$14:$AP$21, "Not found", 0))</f>
        <v>3178.8940919155234</v>
      </c>
      <c r="R194" s="8" cm="1">
        <f t="array" ref="R194">_xlfn.SWITCH(K194,200,_xlfn.XLOOKUP(J194,Installation_MJ!$C$18:$N$18,Installation_MJ!$C$20:$N$20) + _xlfn.XLOOKUP(B194&amp;"|"&amp;E194,
        Calculate_cap_ener!$L$14:$L$21&amp;"|"&amp;Calculate_cap_ener!$I$14:$I$21,
        Calculate_cap_ener!$AW$14:$AW$21, "Not found", 0), LOOKUP(K194,Installation_MJ!$C$24:$D$24,Installation_MJ!$C$26:$D$26) + _xlfn.XLOOKUP(J194,Installation_MJ!$C$18:$N$18,Installation_MJ!$C$20:$N$20) + _xlfn.XLOOKUP(B194&amp;"|"&amp;E194,
        Calculate_cap_ener!$L$14:$L$21&amp;"|"&amp;Calculate_cap_ener!$I$14:$I$21,
        Calculate_cap_ener!$AW$14:$AW$21, "Not found", 0))</f>
        <v>261.10231136997993</v>
      </c>
      <c r="S194" s="8" cm="1">
        <f t="array" ref="S194">_xlfn.SWITCH(K194,200,_xlfn.XLOOKUP(J194,EOL_MJ!$C$18:$N$18,EOL_MJ!$C$20:$N$20) + _xlfn.XLOOKUP(B194&amp;"|"&amp;E194,
        Calculate_cap_ener!$L$14:$L$21&amp;"|"&amp;Calculate_cap_ener!$I$14:$I$21,
        Calculate_cap_ener!$BD$14:$BD$21, "Not found", 0), LOOKUP(K194,EOL_MJ!$C$24:$D$24,EOL_MJ!$C$26:$D$26) + _xlfn.XLOOKUP(J194,EOL_MJ!$C$18:$N$18,EOL_MJ!$C$20:$N$20) + _xlfn.XLOOKUP(B194&amp;"|"&amp;E194,
        Calculate_cap_ener!$L$14:$L$21&amp;"|"&amp;Calculate_cap_ener!$I$14:$I$21,
        Calculate_cap_ener!$BD$14:$BD$21, "Not found", 0))</f>
        <v>26881.941580963634</v>
      </c>
      <c r="T194" s="8" cm="1">
        <f t="array" ref="T194">_xlfn.SWITCH(K194,200,_xlfn.XLOOKUP(J194,Other!$C$18:$N$18,Other!$C$20:$N$20) + _xlfn.XLOOKUP(B194&amp;"|"&amp;E194,
        Calculate_cap_ener!$L$14:$L$21&amp;"|"&amp;Calculate_cap_ener!$I$14:$I$21,
        Calculate_cap_ener!$BK$14:$BK$21, "Not found", 0), LOOKUP(K194,Other!$C$24:$D$24,Other!$C$26:$D$26) + _xlfn.XLOOKUP(J194,Other!$C$18:$N$18,Other!$C$20:$N$20) + _xlfn.XLOOKUP(B194&amp;"|"&amp;E194,
        Calculate_cap_ener!$L$14:$L$21&amp;"|"&amp;Calculate_cap_ener!$I$14:$I$21,
        Calculate_cap_ener!$BK$14:$BK$21, "Not found", 0))</f>
        <v>89995.685391525607</v>
      </c>
    </row>
    <row r="195" spans="1:20" x14ac:dyDescent="0.25">
      <c r="A195" s="5"/>
      <c r="B195" s="5" t="str">
        <f t="shared" si="24"/>
        <v>Mod-H1</v>
      </c>
      <c r="C195" s="5" t="s">
        <v>38</v>
      </c>
      <c r="D195" s="5" t="str">
        <f t="shared" si="26"/>
        <v>H1</v>
      </c>
      <c r="E195" s="5" t="s">
        <v>11</v>
      </c>
      <c r="F195" s="5" t="s">
        <v>57</v>
      </c>
      <c r="G195" s="5" t="s">
        <v>57</v>
      </c>
      <c r="H195" s="5">
        <v>14</v>
      </c>
      <c r="I195" s="5"/>
      <c r="J195" s="5">
        <f t="shared" si="22"/>
        <v>14</v>
      </c>
      <c r="K195" s="5">
        <v>1000</v>
      </c>
      <c r="L195" s="8" cm="1">
        <f t="array" ref="L195">_xlfn.SWITCH(K195,200,_xlfn.XLOOKUP(J195,Manufacture_MJ!$C$18:$N$18,Manufacture_MJ!$C$20:$N$20) + _xlfn.XLOOKUP(B195&amp;"|"&amp;E195,
        Calculate_cap_ener!$L$14:$L$21&amp;"|"&amp;Calculate_cap_ener!$I$14:$I$21,
        Calculate_cap_ener!$AI$14:$AI$21, "Not found", 0), LOOKUP(K195,Manufacture_MJ!$C$24:$D$24,Manufacture_MJ!$C$26:$D$26) + _xlfn.XLOOKUP(J195,Manufacture_MJ!$C$18:$N$18,Manufacture_MJ!$C$20:$N$20) + _xlfn.XLOOKUP(B195&amp;"|"&amp;E195,
        Calculate_cap_ener!$L$14:$L$21&amp;"|"&amp;Calculate_cap_ener!$I$14:$I$21,
        Calculate_cap_ener!$AI$14:$AI$21, "Not found", 0))</f>
        <v>134847.58094262306</v>
      </c>
      <c r="M195" s="8">
        <f>LOOKUP(J195,Manufacture_MJ!$C$18:$N$18,Manufacture_MJ!$C$20:$N$20)</f>
        <v>51534.195201054921</v>
      </c>
      <c r="N195" s="8" cm="1">
        <f t="array" ref="N195">_xlfn.SWITCH(K195,200,0,LOOKUP(K195,Manufacture_MJ!$C$24:$D$24,Manufacture_MJ!$C$26:$D$26))</f>
        <v>20573.31818181818</v>
      </c>
      <c r="O195" s="5" cm="1">
        <f t="array" ref="O195">_xlfn.XLOOKUP(B195&amp;"|"&amp;E195,
        Calculate_cap_ener!$L$14:$L$21&amp;"|"&amp;Calculate_cap_ener!$I$14:$I$21,
        Calculate_cap_ener!$AI$14:$AI$21, "Not found", 0)</f>
        <v>62740.067559749943</v>
      </c>
      <c r="P195" s="8">
        <f t="shared" si="23"/>
        <v>134847.58094262306</v>
      </c>
      <c r="Q195" s="8" cm="1">
        <f t="array" ref="Q195">_xlfn.SWITCH(K195,200,_xlfn.XLOOKUP(J195,Distribution_MJ!$C$18:$N$18,Distribution_MJ!$C$20:$N$20) + _xlfn.XLOOKUP(B195&amp;"|"&amp;E195,
        Calculate_cap_ener!$L$14:$L$21&amp;"|"&amp;Calculate_cap_ener!$I$14:$I$21,
        Calculate_cap_ener!$AP$14:$AP$21, "Not found", 0), LOOKUP(K195,Distribution_MJ!$C$24:$D$24,Distribution_MJ!$C$26:$D$26) + _xlfn.XLOOKUP(J195,Distribution_MJ!$C$18:$N$18,Distribution_MJ!$C$20:$N$20) + _xlfn.XLOOKUP(B195&amp;"|"&amp;E195,
        Calculate_cap_ener!$L$14:$L$21&amp;"|"&amp;Calculate_cap_ener!$I$14:$I$21,
        Calculate_cap_ener!$AP$14:$AP$21, "Not found", 0))</f>
        <v>3244.3026781858234</v>
      </c>
      <c r="R195" s="8" cm="1">
        <f t="array" ref="R195">_xlfn.SWITCH(K195,200,_xlfn.XLOOKUP(J195,Installation_MJ!$C$18:$N$18,Installation_MJ!$C$20:$N$20) + _xlfn.XLOOKUP(B195&amp;"|"&amp;E195,
        Calculate_cap_ener!$L$14:$L$21&amp;"|"&amp;Calculate_cap_ener!$I$14:$I$21,
        Calculate_cap_ener!$AW$14:$AW$21, "Not found", 0), LOOKUP(K195,Installation_MJ!$C$24:$D$24,Installation_MJ!$C$26:$D$26) + _xlfn.XLOOKUP(J195,Installation_MJ!$C$18:$N$18,Installation_MJ!$C$20:$N$20) + _xlfn.XLOOKUP(B195&amp;"|"&amp;E195,
        Calculate_cap_ener!$L$14:$L$21&amp;"|"&amp;Calculate_cap_ener!$I$14:$I$21,
        Calculate_cap_ener!$AW$14:$AW$21, "Not found", 0))</f>
        <v>266.02046789002446</v>
      </c>
      <c r="S195" s="8" cm="1">
        <f t="array" ref="S195">_xlfn.SWITCH(K195,200,_xlfn.XLOOKUP(J195,EOL_MJ!$C$18:$N$18,EOL_MJ!$C$20:$N$20) + _xlfn.XLOOKUP(B195&amp;"|"&amp;E195,
        Calculate_cap_ener!$L$14:$L$21&amp;"|"&amp;Calculate_cap_ener!$I$14:$I$21,
        Calculate_cap_ener!$BD$14:$BD$21, "Not found", 0), LOOKUP(K195,EOL_MJ!$C$24:$D$24,EOL_MJ!$C$26:$D$26) + _xlfn.XLOOKUP(J195,EOL_MJ!$C$18:$N$18,EOL_MJ!$C$20:$N$20) + _xlfn.XLOOKUP(B195&amp;"|"&amp;E195,
        Calculate_cap_ener!$L$14:$L$21&amp;"|"&amp;Calculate_cap_ener!$I$14:$I$21,
        Calculate_cap_ener!$BD$14:$BD$21, "Not found", 0))</f>
        <v>26881.941580963634</v>
      </c>
      <c r="T195" s="8" cm="1">
        <f t="array" ref="T195">_xlfn.SWITCH(K195,200,_xlfn.XLOOKUP(J195,Other!$C$18:$N$18,Other!$C$20:$N$20) + _xlfn.XLOOKUP(B195&amp;"|"&amp;E195,
        Calculate_cap_ener!$L$14:$L$21&amp;"|"&amp;Calculate_cap_ener!$I$14:$I$21,
        Calculate_cap_ener!$BK$14:$BK$21, "Not found", 0), LOOKUP(K195,Other!$C$24:$D$24,Other!$C$26:$D$26) + _xlfn.XLOOKUP(J195,Other!$C$18:$N$18,Other!$C$20:$N$20) + _xlfn.XLOOKUP(B195&amp;"|"&amp;E195,
        Calculate_cap_ener!$L$14:$L$21&amp;"|"&amp;Calculate_cap_ener!$I$14:$I$21,
        Calculate_cap_ener!$BK$14:$BK$21, "Not found", 0))</f>
        <v>90039.464891451222</v>
      </c>
    </row>
  </sheetData>
  <pageMargins left="0.7" right="0.7" top="0.75" bottom="0.75" header="0.3" footer="0.3"/>
  <headerFooter>
    <oddFooter>&amp;C_x000D_&amp;1#&amp;"Calibri"&amp;7&amp;K000000 In-Confidence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721B-CBAE-4297-89C3-21F4F6F5166E}">
  <dimension ref="A1:R23"/>
  <sheetViews>
    <sheetView workbookViewId="0">
      <selection activeCell="C16" sqref="C16"/>
    </sheetView>
  </sheetViews>
  <sheetFormatPr defaultRowHeight="15" x14ac:dyDescent="0.25"/>
  <cols>
    <col min="1" max="1" width="18.42578125" bestFit="1" customWidth="1"/>
    <col min="2" max="2" width="10" bestFit="1" customWidth="1"/>
    <col min="3" max="3" width="15.7109375" bestFit="1" customWidth="1"/>
    <col min="4" max="4" width="11.85546875" bestFit="1" customWidth="1"/>
    <col min="5" max="5" width="16.85546875" bestFit="1" customWidth="1"/>
    <col min="6" max="6" width="14.140625" bestFit="1" customWidth="1"/>
    <col min="7" max="7" width="17.7109375" bestFit="1" customWidth="1"/>
    <col min="8" max="8" width="29.42578125" bestFit="1" customWidth="1"/>
    <col min="9" max="9" width="15.28515625" bestFit="1" customWidth="1"/>
    <col min="12" max="12" width="17.140625" bestFit="1" customWidth="1"/>
    <col min="13" max="13" width="17.85546875" bestFit="1" customWidth="1"/>
    <col min="14" max="14" width="14.42578125" bestFit="1" customWidth="1"/>
    <col min="15" max="16" width="17.28515625" bestFit="1" customWidth="1"/>
    <col min="18" max="18" width="16.28515625" bestFit="1" customWidth="1"/>
  </cols>
  <sheetData>
    <row r="1" spans="1:18" x14ac:dyDescent="0.25">
      <c r="A1" t="s">
        <v>27</v>
      </c>
      <c r="C1">
        <v>2</v>
      </c>
      <c r="D1">
        <v>2.5</v>
      </c>
      <c r="E1">
        <v>3</v>
      </c>
      <c r="F1">
        <v>3.5</v>
      </c>
      <c r="G1">
        <v>4</v>
      </c>
      <c r="H1">
        <v>4.5</v>
      </c>
      <c r="I1">
        <v>5</v>
      </c>
      <c r="J1">
        <v>5.5</v>
      </c>
      <c r="K1">
        <v>6</v>
      </c>
      <c r="L1">
        <v>6.5</v>
      </c>
      <c r="M1">
        <v>7</v>
      </c>
      <c r="N1">
        <v>7.5</v>
      </c>
      <c r="O1">
        <v>8</v>
      </c>
      <c r="P1">
        <v>8.5</v>
      </c>
      <c r="Q1">
        <v>9</v>
      </c>
      <c r="R1">
        <v>9.5</v>
      </c>
    </row>
    <row r="2" spans="1:18" x14ac:dyDescent="0.25">
      <c r="A2" t="s">
        <v>68</v>
      </c>
      <c r="B2">
        <v>17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73</v>
      </c>
      <c r="I2" t="s">
        <v>74</v>
      </c>
      <c r="J2" t="s">
        <v>72</v>
      </c>
      <c r="K2" t="s">
        <v>72</v>
      </c>
      <c r="L2" t="s">
        <v>72</v>
      </c>
      <c r="M2" s="9" t="s">
        <v>75</v>
      </c>
      <c r="N2" t="s">
        <v>76</v>
      </c>
      <c r="O2" s="9" t="s">
        <v>90</v>
      </c>
      <c r="P2" t="s">
        <v>77</v>
      </c>
      <c r="Q2" t="s">
        <v>72</v>
      </c>
      <c r="R2" t="s">
        <v>78</v>
      </c>
    </row>
    <row r="3" spans="1:18" x14ac:dyDescent="0.25">
      <c r="A3" t="s">
        <v>69</v>
      </c>
      <c r="B3">
        <v>17</v>
      </c>
      <c r="C3" t="s">
        <v>79</v>
      </c>
      <c r="D3" t="s">
        <v>72</v>
      </c>
      <c r="E3" s="9" t="s">
        <v>89</v>
      </c>
      <c r="F3" t="s">
        <v>72</v>
      </c>
      <c r="G3" t="s">
        <v>81</v>
      </c>
      <c r="H3" t="s">
        <v>72</v>
      </c>
      <c r="I3" t="s">
        <v>72</v>
      </c>
      <c r="J3" t="s">
        <v>72</v>
      </c>
      <c r="K3" t="s">
        <v>72</v>
      </c>
      <c r="L3" t="s">
        <v>72</v>
      </c>
      <c r="M3" t="s">
        <v>82</v>
      </c>
    </row>
    <row r="4" spans="1:18" x14ac:dyDescent="0.25">
      <c r="A4" t="s">
        <v>70</v>
      </c>
      <c r="B4">
        <v>17</v>
      </c>
      <c r="C4" t="s">
        <v>83</v>
      </c>
      <c r="D4" t="s">
        <v>72</v>
      </c>
      <c r="E4" t="s">
        <v>84</v>
      </c>
      <c r="F4" t="s">
        <v>72</v>
      </c>
      <c r="G4" t="s">
        <v>72</v>
      </c>
      <c r="H4" t="s">
        <v>72</v>
      </c>
      <c r="I4" t="s">
        <v>80</v>
      </c>
      <c r="J4" t="s">
        <v>72</v>
      </c>
      <c r="K4" t="s">
        <v>72</v>
      </c>
      <c r="L4" t="s">
        <v>85</v>
      </c>
    </row>
    <row r="7" spans="1:18" x14ac:dyDescent="0.25">
      <c r="A7" t="s">
        <v>86</v>
      </c>
      <c r="B7" t="s">
        <v>68</v>
      </c>
      <c r="C7" t="s">
        <v>69</v>
      </c>
      <c r="D7" t="s">
        <v>70</v>
      </c>
      <c r="E7" t="s">
        <v>91</v>
      </c>
      <c r="F7" t="s">
        <v>92</v>
      </c>
    </row>
    <row r="8" spans="1:18" x14ac:dyDescent="0.25">
      <c r="A8" t="s">
        <v>87</v>
      </c>
      <c r="B8" s="10">
        <v>4.5</v>
      </c>
      <c r="F8" t="str">
        <f>LEFT(A8, FIND("@", SUBSTITUTE(A8, "-", "@", LEN(A8) - LEN(SUBSTITUTE(A8, "-", "")))) - 1)</f>
        <v>Mass-H1-AK</v>
      </c>
    </row>
    <row r="9" spans="1:18" x14ac:dyDescent="0.25">
      <c r="A9" t="s">
        <v>88</v>
      </c>
      <c r="B9" s="10">
        <v>4.5</v>
      </c>
      <c r="F9" t="str">
        <f t="shared" ref="F9:F23" si="0">LEFT(A9, FIND("@", SUBSTITUTE(A9, "-", "@", LEN(A9) - LEN(SUBSTITUTE(A9, "-", "")))) - 1)</f>
        <v>Mod-H1-AK</v>
      </c>
    </row>
    <row r="10" spans="1:18" x14ac:dyDescent="0.25">
      <c r="A10" t="s">
        <v>74</v>
      </c>
      <c r="B10" s="10">
        <v>5</v>
      </c>
      <c r="F10" t="str">
        <f t="shared" si="0"/>
        <v>Mass-H1-CH</v>
      </c>
    </row>
    <row r="11" spans="1:18" x14ac:dyDescent="0.25">
      <c r="A11" t="s">
        <v>75</v>
      </c>
      <c r="B11" s="10">
        <v>7</v>
      </c>
      <c r="F11" t="str">
        <f t="shared" si="0"/>
        <v>Mass-Nom-AK</v>
      </c>
    </row>
    <row r="12" spans="1:18" x14ac:dyDescent="0.25">
      <c r="A12" t="s">
        <v>76</v>
      </c>
      <c r="B12" s="10">
        <v>7.5</v>
      </c>
      <c r="F12" t="str">
        <f t="shared" si="0"/>
        <v>Mod-H1-CH</v>
      </c>
    </row>
    <row r="13" spans="1:18" x14ac:dyDescent="0.25">
      <c r="A13" t="s">
        <v>90</v>
      </c>
      <c r="B13" s="10">
        <v>8</v>
      </c>
      <c r="F13" t="str">
        <f t="shared" si="0"/>
        <v>Mod-Nom-AK</v>
      </c>
    </row>
    <row r="14" spans="1:18" x14ac:dyDescent="0.25">
      <c r="A14" t="s">
        <v>77</v>
      </c>
      <c r="B14" s="10">
        <v>8.5</v>
      </c>
      <c r="F14" t="str">
        <f t="shared" si="0"/>
        <v>Mass-Nom-CH</v>
      </c>
    </row>
    <row r="15" spans="1:18" x14ac:dyDescent="0.25">
      <c r="A15" t="s">
        <v>78</v>
      </c>
      <c r="B15" s="10">
        <v>9.5</v>
      </c>
      <c r="F15" t="str">
        <f t="shared" si="0"/>
        <v>Mod-Nom-CH</v>
      </c>
    </row>
    <row r="16" spans="1:18" x14ac:dyDescent="0.25">
      <c r="A16" t="s">
        <v>79</v>
      </c>
      <c r="C16">
        <f>_xlfn.XLOOKUP(A16,$C$3:$M$3,$C$1:$M$1)</f>
        <v>2</v>
      </c>
      <c r="E16" s="10">
        <f>C16+D16</f>
        <v>2</v>
      </c>
      <c r="F16" t="str">
        <f t="shared" si="0"/>
        <v>Mass-H1-AK</v>
      </c>
    </row>
    <row r="17" spans="1:6" x14ac:dyDescent="0.25">
      <c r="A17" t="s">
        <v>89</v>
      </c>
      <c r="C17">
        <f>_xlfn.XLOOKUP(A17,$C$3:$M$3,$C$1:$M$1)</f>
        <v>3</v>
      </c>
      <c r="E17" s="10">
        <f t="shared" ref="E17:E23" si="1">C17+D17</f>
        <v>3</v>
      </c>
      <c r="F17" t="str">
        <f t="shared" si="0"/>
        <v>Mass-H1-CH</v>
      </c>
    </row>
    <row r="18" spans="1:6" x14ac:dyDescent="0.25">
      <c r="A18" t="s">
        <v>81</v>
      </c>
      <c r="C18">
        <f>_xlfn.XLOOKUP(A18,$C$3:$M$3,$C$1:$M$1)</f>
        <v>4</v>
      </c>
      <c r="E18" s="10">
        <f t="shared" si="1"/>
        <v>4</v>
      </c>
      <c r="F18" t="str">
        <f t="shared" si="0"/>
        <v>Mass-Nom-AK</v>
      </c>
    </row>
    <row r="19" spans="1:6" x14ac:dyDescent="0.25">
      <c r="A19" t="s">
        <v>82</v>
      </c>
      <c r="C19">
        <f>_xlfn.XLOOKUP(A19,$C$3:$M$3,$C$1:$M$1)</f>
        <v>7</v>
      </c>
      <c r="E19" s="10">
        <f t="shared" si="1"/>
        <v>7</v>
      </c>
      <c r="F19" t="str">
        <f t="shared" si="0"/>
        <v>Mass-Nom-CH</v>
      </c>
    </row>
    <row r="20" spans="1:6" x14ac:dyDescent="0.25">
      <c r="A20" t="s">
        <v>83</v>
      </c>
      <c r="D20">
        <f>_xlfn.XLOOKUP(A20,$C$4:$M$4,$C$1:$M$1)</f>
        <v>2</v>
      </c>
      <c r="E20" s="10">
        <f t="shared" si="1"/>
        <v>2</v>
      </c>
      <c r="F20" t="str">
        <f t="shared" si="0"/>
        <v>Mod-H1-AK</v>
      </c>
    </row>
    <row r="21" spans="1:6" x14ac:dyDescent="0.25">
      <c r="A21" t="s">
        <v>80</v>
      </c>
      <c r="D21">
        <f>_xlfn.XLOOKUP(A21,$C$4:$M$4,$C$1:$M$1)</f>
        <v>5</v>
      </c>
      <c r="E21" s="10">
        <f t="shared" si="1"/>
        <v>5</v>
      </c>
      <c r="F21" t="str">
        <f t="shared" si="0"/>
        <v>Mod-H1-CH</v>
      </c>
    </row>
    <row r="22" spans="1:6" x14ac:dyDescent="0.25">
      <c r="A22" t="s">
        <v>84</v>
      </c>
      <c r="D22">
        <f>_xlfn.XLOOKUP(A22,$C$4:$M$4,$C$1:$M$1)</f>
        <v>3</v>
      </c>
      <c r="E22" s="10">
        <f t="shared" si="1"/>
        <v>3</v>
      </c>
      <c r="F22" t="str">
        <f t="shared" si="0"/>
        <v>Mod-Nom-AK</v>
      </c>
    </row>
    <row r="23" spans="1:6" x14ac:dyDescent="0.25">
      <c r="A23" t="s">
        <v>85</v>
      </c>
      <c r="D23">
        <f>_xlfn.XLOOKUP(A23,$C$4:$M$4,$C$1:$M$1)</f>
        <v>6.5</v>
      </c>
      <c r="E23" s="10">
        <f t="shared" si="1"/>
        <v>6.5</v>
      </c>
      <c r="F23" t="str">
        <f t="shared" si="0"/>
        <v>Mod-Nom-CH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10A8-775F-44E2-9627-B36E2AB01BB8}">
  <sheetPr codeName="Sheet2"/>
  <dimension ref="A1:BK21"/>
  <sheetViews>
    <sheetView workbookViewId="0">
      <selection activeCell="BK14" sqref="BK14"/>
    </sheetView>
  </sheetViews>
  <sheetFormatPr defaultRowHeight="15" x14ac:dyDescent="0.25"/>
  <cols>
    <col min="1" max="1" width="12.28515625" bestFit="1" customWidth="1"/>
    <col min="2" max="2" width="5.7109375" bestFit="1" customWidth="1"/>
    <col min="3" max="3" width="10" bestFit="1" customWidth="1"/>
    <col min="4" max="4" width="15" bestFit="1" customWidth="1"/>
    <col min="8" max="8" width="14.42578125" bestFit="1" customWidth="1"/>
    <col min="9" max="10" width="11.7109375" bestFit="1" customWidth="1"/>
    <col min="11" max="11" width="10" bestFit="1" customWidth="1"/>
    <col min="12" max="12" width="15" bestFit="1" customWidth="1"/>
    <col min="13" max="13" width="15" customWidth="1"/>
    <col min="14" max="14" width="36.28515625" bestFit="1" customWidth="1"/>
    <col min="35" max="35" width="12" bestFit="1" customWidth="1"/>
  </cols>
  <sheetData>
    <row r="1" spans="1:63" x14ac:dyDescent="0.25">
      <c r="A1" s="2" t="s">
        <v>39</v>
      </c>
      <c r="B1" s="2" t="s">
        <v>40</v>
      </c>
      <c r="C1" s="2" t="s">
        <v>41</v>
      </c>
      <c r="D1" s="2" t="s">
        <v>44</v>
      </c>
      <c r="E1" t="s">
        <v>18</v>
      </c>
      <c r="F1" t="s">
        <v>19</v>
      </c>
      <c r="G1" t="s">
        <v>20</v>
      </c>
      <c r="H1" t="s">
        <v>21</v>
      </c>
    </row>
    <row r="2" spans="1:63" x14ac:dyDescent="0.25">
      <c r="A2" t="s">
        <v>3</v>
      </c>
      <c r="B2" t="s">
        <v>37</v>
      </c>
      <c r="C2" t="s">
        <v>42</v>
      </c>
      <c r="D2" t="str">
        <f>CONCATENATE(B2, "-", C2)</f>
        <v>Mass-Nom</v>
      </c>
      <c r="E2" s="3">
        <v>7</v>
      </c>
      <c r="F2" s="3">
        <v>1.9</v>
      </c>
      <c r="G2" s="3">
        <v>2.1</v>
      </c>
      <c r="H2" s="3">
        <v>11</v>
      </c>
    </row>
    <row r="3" spans="1:63" x14ac:dyDescent="0.25">
      <c r="A3" t="s">
        <v>3</v>
      </c>
      <c r="B3" t="s">
        <v>37</v>
      </c>
      <c r="C3" t="s">
        <v>43</v>
      </c>
      <c r="D3" t="str">
        <f t="shared" ref="D3:D11" si="0">CONCATENATE(B3, "-", C3)</f>
        <v>Mass-H1</v>
      </c>
      <c r="E3" s="3">
        <v>4.5999999999999996</v>
      </c>
      <c r="F3" s="3">
        <v>0.7</v>
      </c>
      <c r="G3" s="3">
        <v>0.9</v>
      </c>
      <c r="H3" s="3">
        <v>6.2</v>
      </c>
    </row>
    <row r="4" spans="1:63" x14ac:dyDescent="0.25">
      <c r="A4" t="s">
        <v>11</v>
      </c>
      <c r="B4" t="s">
        <v>37</v>
      </c>
      <c r="C4" t="s">
        <v>42</v>
      </c>
      <c r="D4" t="str">
        <f t="shared" si="0"/>
        <v>Mass-Nom</v>
      </c>
      <c r="E4" s="3">
        <v>8.4</v>
      </c>
      <c r="F4" s="3">
        <v>3.3</v>
      </c>
      <c r="G4" s="3">
        <v>3.5</v>
      </c>
      <c r="H4" s="3">
        <v>15.2</v>
      </c>
    </row>
    <row r="5" spans="1:63" x14ac:dyDescent="0.25">
      <c r="A5" t="s">
        <v>11</v>
      </c>
      <c r="B5" t="s">
        <v>37</v>
      </c>
      <c r="C5" t="s">
        <v>43</v>
      </c>
      <c r="D5" t="str">
        <f t="shared" si="0"/>
        <v>Mass-H1</v>
      </c>
      <c r="E5" s="3">
        <v>5.0999999999999996</v>
      </c>
      <c r="F5" s="3">
        <v>1.4</v>
      </c>
      <c r="G5" s="3">
        <v>1.7</v>
      </c>
      <c r="H5" s="3">
        <v>8.1999999999999993</v>
      </c>
    </row>
    <row r="7" spans="1:63" x14ac:dyDescent="0.25">
      <c r="E7" t="s">
        <v>22</v>
      </c>
      <c r="F7" t="s">
        <v>23</v>
      </c>
      <c r="G7" t="s">
        <v>19</v>
      </c>
      <c r="H7" t="s">
        <v>20</v>
      </c>
      <c r="I7" t="s">
        <v>24</v>
      </c>
      <c r="J7" t="s">
        <v>25</v>
      </c>
      <c r="K7" t="s">
        <v>21</v>
      </c>
    </row>
    <row r="8" spans="1:63" x14ac:dyDescent="0.25">
      <c r="A8" t="s">
        <v>3</v>
      </c>
      <c r="B8" t="s">
        <v>38</v>
      </c>
      <c r="C8" t="s">
        <v>42</v>
      </c>
      <c r="D8" t="str">
        <f t="shared" si="0"/>
        <v>Mod-Nom</v>
      </c>
      <c r="E8" s="3">
        <v>2.9</v>
      </c>
      <c r="F8" s="3">
        <v>5</v>
      </c>
      <c r="G8" s="3">
        <v>0.8</v>
      </c>
      <c r="H8" s="3">
        <v>0.8</v>
      </c>
      <c r="I8" s="3">
        <v>0.8</v>
      </c>
      <c r="J8" s="3">
        <v>0.7</v>
      </c>
      <c r="K8" s="3">
        <v>11.000000000000002</v>
      </c>
    </row>
    <row r="9" spans="1:63" x14ac:dyDescent="0.25">
      <c r="A9" t="s">
        <v>3</v>
      </c>
      <c r="B9" t="s">
        <v>38</v>
      </c>
      <c r="C9" t="s">
        <v>43</v>
      </c>
      <c r="D9" t="str">
        <f t="shared" si="0"/>
        <v>Mod-H1</v>
      </c>
      <c r="E9" s="3">
        <v>2.6</v>
      </c>
      <c r="F9" s="3">
        <v>2.1</v>
      </c>
      <c r="G9" s="3">
        <v>0.5</v>
      </c>
      <c r="H9" s="3">
        <v>0.5</v>
      </c>
      <c r="I9" s="3">
        <v>0.5</v>
      </c>
      <c r="J9" s="3">
        <v>0.5</v>
      </c>
      <c r="K9" s="3">
        <v>6.7</v>
      </c>
    </row>
    <row r="10" spans="1:63" x14ac:dyDescent="0.25">
      <c r="A10" t="s">
        <v>11</v>
      </c>
      <c r="B10" t="s">
        <v>38</v>
      </c>
      <c r="C10" t="s">
        <v>42</v>
      </c>
      <c r="D10" t="str">
        <f t="shared" si="0"/>
        <v>Mod-Nom</v>
      </c>
      <c r="E10" s="3">
        <v>3.4</v>
      </c>
      <c r="F10" s="3">
        <v>5.9</v>
      </c>
      <c r="G10" s="3">
        <v>1.7</v>
      </c>
      <c r="H10" s="3">
        <v>1.6</v>
      </c>
      <c r="I10" s="3">
        <v>1.6</v>
      </c>
      <c r="J10" s="3">
        <v>1.5</v>
      </c>
      <c r="K10" s="1">
        <v>15.5</v>
      </c>
    </row>
    <row r="11" spans="1:63" x14ac:dyDescent="0.25">
      <c r="A11" t="s">
        <v>11</v>
      </c>
      <c r="B11" t="s">
        <v>38</v>
      </c>
      <c r="C11" t="s">
        <v>43</v>
      </c>
      <c r="D11" t="str">
        <f t="shared" si="0"/>
        <v>Mod-H1</v>
      </c>
      <c r="E11" s="3">
        <v>2.7</v>
      </c>
      <c r="F11" s="3">
        <v>4.8</v>
      </c>
      <c r="G11" s="3">
        <v>1.3</v>
      </c>
      <c r="H11" s="3">
        <v>1.2</v>
      </c>
      <c r="I11" s="3">
        <v>1.2</v>
      </c>
      <c r="J11" s="3">
        <v>1.2</v>
      </c>
      <c r="K11" s="3">
        <v>12.399999999999999</v>
      </c>
      <c r="AC11" s="12" t="s">
        <v>93</v>
      </c>
      <c r="AD11" s="13"/>
      <c r="AE11" s="13"/>
      <c r="AF11" s="13"/>
      <c r="AG11" s="13"/>
      <c r="AH11" s="13"/>
      <c r="AI11" s="14"/>
      <c r="AJ11" s="12" t="s">
        <v>94</v>
      </c>
      <c r="AK11" s="13"/>
      <c r="AL11" s="13"/>
      <c r="AM11" s="13"/>
      <c r="AN11" s="13"/>
      <c r="AO11" s="13"/>
      <c r="AP11" s="14"/>
      <c r="AQ11" s="12" t="s">
        <v>95</v>
      </c>
      <c r="AR11" s="13"/>
      <c r="AS11" s="13"/>
      <c r="AT11" s="13"/>
      <c r="AU11" s="13"/>
      <c r="AV11" s="13"/>
      <c r="AW11" s="14"/>
      <c r="AX11" s="12" t="s">
        <v>96</v>
      </c>
      <c r="AY11" s="13"/>
      <c r="AZ11" s="13"/>
      <c r="BA11" s="13"/>
      <c r="BB11" s="13"/>
      <c r="BC11" s="13"/>
      <c r="BD11" s="14"/>
      <c r="BE11" s="12" t="s">
        <v>97</v>
      </c>
      <c r="BF11" s="13"/>
      <c r="BG11" s="13"/>
      <c r="BH11" s="13"/>
      <c r="BI11" s="13"/>
      <c r="BJ11" s="13"/>
      <c r="BK11" s="14"/>
    </row>
    <row r="12" spans="1:63" x14ac:dyDescent="0.25">
      <c r="W12" t="s">
        <v>51</v>
      </c>
      <c r="AC12" s="15" t="s">
        <v>50</v>
      </c>
      <c r="AI12" s="16" t="s">
        <v>58</v>
      </c>
      <c r="AJ12" s="15" t="s">
        <v>50</v>
      </c>
      <c r="AP12" s="16" t="s">
        <v>58</v>
      </c>
      <c r="AQ12" s="15" t="s">
        <v>50</v>
      </c>
      <c r="AW12" s="16" t="s">
        <v>58</v>
      </c>
      <c r="AX12" s="15" t="s">
        <v>50</v>
      </c>
      <c r="BD12" s="16" t="s">
        <v>58</v>
      </c>
      <c r="BE12" s="15" t="s">
        <v>50</v>
      </c>
      <c r="BK12" s="16" t="s">
        <v>58</v>
      </c>
    </row>
    <row r="13" spans="1:63" x14ac:dyDescent="0.25">
      <c r="H13" s="2" t="s">
        <v>92</v>
      </c>
      <c r="I13" s="2" t="s">
        <v>39</v>
      </c>
      <c r="J13" s="2" t="s">
        <v>40</v>
      </c>
      <c r="K13" s="2" t="s">
        <v>41</v>
      </c>
      <c r="L13" s="2" t="s">
        <v>44</v>
      </c>
      <c r="M13" s="2" t="s">
        <v>48</v>
      </c>
      <c r="N13" t="s">
        <v>18</v>
      </c>
      <c r="O13" t="s">
        <v>22</v>
      </c>
      <c r="P13" t="s">
        <v>23</v>
      </c>
      <c r="Q13" t="s">
        <v>19</v>
      </c>
      <c r="R13" t="s">
        <v>20</v>
      </c>
      <c r="S13" t="s">
        <v>24</v>
      </c>
      <c r="T13" t="s">
        <v>25</v>
      </c>
      <c r="U13" t="s">
        <v>49</v>
      </c>
      <c r="W13" t="s">
        <v>35</v>
      </c>
      <c r="X13" t="s">
        <v>36</v>
      </c>
      <c r="Y13" t="s">
        <v>45</v>
      </c>
      <c r="Z13" t="s">
        <v>46</v>
      </c>
      <c r="AA13" t="s">
        <v>47</v>
      </c>
      <c r="AB13" t="s">
        <v>71</v>
      </c>
      <c r="AC13" s="15" t="s">
        <v>35</v>
      </c>
      <c r="AD13" t="s">
        <v>36</v>
      </c>
      <c r="AE13" t="s">
        <v>45</v>
      </c>
      <c r="AF13" t="s">
        <v>46</v>
      </c>
      <c r="AG13" t="s">
        <v>47</v>
      </c>
      <c r="AH13" t="s">
        <v>71</v>
      </c>
      <c r="AI13" s="16" t="s">
        <v>59</v>
      </c>
      <c r="AJ13" s="15" t="s">
        <v>35</v>
      </c>
      <c r="AK13" t="s">
        <v>36</v>
      </c>
      <c r="AL13" t="s">
        <v>45</v>
      </c>
      <c r="AM13" t="s">
        <v>46</v>
      </c>
      <c r="AN13" t="s">
        <v>47</v>
      </c>
      <c r="AO13" t="s">
        <v>71</v>
      </c>
      <c r="AP13" s="16" t="s">
        <v>59</v>
      </c>
      <c r="AQ13" s="15" t="s">
        <v>35</v>
      </c>
      <c r="AR13" t="s">
        <v>36</v>
      </c>
      <c r="AS13" t="s">
        <v>45</v>
      </c>
      <c r="AT13" t="s">
        <v>46</v>
      </c>
      <c r="AU13" t="s">
        <v>47</v>
      </c>
      <c r="AV13" t="s">
        <v>71</v>
      </c>
      <c r="AW13" s="16" t="s">
        <v>59</v>
      </c>
      <c r="AX13" s="15" t="s">
        <v>35</v>
      </c>
      <c r="AY13" t="s">
        <v>36</v>
      </c>
      <c r="AZ13" t="s">
        <v>45</v>
      </c>
      <c r="BA13" t="s">
        <v>46</v>
      </c>
      <c r="BB13" t="s">
        <v>47</v>
      </c>
      <c r="BC13" t="s">
        <v>71</v>
      </c>
      <c r="BD13" s="16" t="s">
        <v>59</v>
      </c>
      <c r="BE13" s="15" t="s">
        <v>35</v>
      </c>
      <c r="BF13" t="s">
        <v>36</v>
      </c>
      <c r="BG13" t="s">
        <v>45</v>
      </c>
      <c r="BH13" t="s">
        <v>46</v>
      </c>
      <c r="BI13" t="s">
        <v>47</v>
      </c>
      <c r="BJ13" t="s">
        <v>71</v>
      </c>
      <c r="BK13" s="16" t="s">
        <v>59</v>
      </c>
    </row>
    <row r="14" spans="1:63" x14ac:dyDescent="0.25">
      <c r="H14" s="4" t="str">
        <f>_xlfn.TEXTJOIN("-", TRUE, L14, I14)</f>
        <v>Mass-Nom-AK</v>
      </c>
      <c r="I14" s="4" t="s">
        <v>3</v>
      </c>
      <c r="J14" s="4" t="s">
        <v>37</v>
      </c>
      <c r="K14" s="4" t="s">
        <v>42</v>
      </c>
      <c r="L14" s="4" t="str">
        <f>CONCATENATE(J14, "-", K14)</f>
        <v>Mass-Nom</v>
      </c>
      <c r="M14" s="4">
        <f>H2</f>
        <v>11</v>
      </c>
      <c r="N14" s="4">
        <v>7</v>
      </c>
      <c r="O14" s="4">
        <f>IF(MOD(N14,1)=0.5,INT(N14/2),N14/2)</f>
        <v>3.5</v>
      </c>
      <c r="P14" s="4">
        <f>N14-O14</f>
        <v>3.5</v>
      </c>
      <c r="Q14" s="4">
        <v>2</v>
      </c>
      <c r="R14" s="4">
        <v>2</v>
      </c>
      <c r="S14" s="4"/>
      <c r="T14" s="4"/>
      <c r="U14" s="4">
        <f>SUM(O14:T14)</f>
        <v>11</v>
      </c>
      <c r="V14" s="4"/>
      <c r="W14" s="4">
        <f>U14</f>
        <v>11</v>
      </c>
      <c r="X14" s="4">
        <f>AA14+AB14</f>
        <v>11</v>
      </c>
      <c r="Y14" s="4">
        <f>SUM(Q14:T14)</f>
        <v>4</v>
      </c>
      <c r="Z14" s="4">
        <f>O14+P14</f>
        <v>7</v>
      </c>
      <c r="AA14" s="4">
        <f>_xlfn.XLOOKUP(H14,Key!$F$8:$F$15,Key!$B$8:$B$15)</f>
        <v>7</v>
      </c>
      <c r="AB14" s="4">
        <f>_xlfn.XLOOKUP(H14,Key!$F$16:$F$23,Key!$E$16:$E$23)</f>
        <v>4</v>
      </c>
      <c r="AC14" s="17">
        <f>LOOKUP($O14,Manufacture!$C$2:$K$2,Manufacture!$C$4:$K$4)+LOOKUP($P14,Manufacture!$C$2:$K$2,Manufacture!$C$4:$K$4)+LOOKUP($Q14,Manufacture!$C$2:$K$2,Manufacture!$C$4:$K$4)+LOOKUP($R14,Manufacture!$C$2:$K$2,Manufacture!$C$4:$K$4)+_xlfn.IFNA(LOOKUP($S14,Manufacture!$C$2:$K$2,Manufacture!$C$4:$K$4),0)+_xlfn.IFNA(LOOKUP($T14,Manufacture!$C$2:$K$2,Manufacture!$C$4:$K$4),0)</f>
        <v>945.71810051217631</v>
      </c>
      <c r="AD14" s="4">
        <f>AG14+AH14</f>
        <v>1534.5082449529411</v>
      </c>
      <c r="AE14" s="4">
        <f>LOOKUP($Q14,Manufacture!$C$2:$K$2,Manufacture!$C$4:$K$4)+LOOKUP($R14,Manufacture!$C$2:$K$2,Manufacture!$C$4:$K$4)+_xlfn.IFNA(LOOKUP($S14,Manufacture!$C$2:$K$2,Manufacture!$C$4:$K$4),0)+_xlfn.IFNA(LOOKUP($T14,Manufacture!$C$2:$K$2,Manufacture!$C$4:$K$4),0)</f>
        <v>330.48616289699044</v>
      </c>
      <c r="AF14" s="4">
        <f>LOOKUP($O14,Manufacture!$C$2:$K$2,Manufacture!$C$4:$K$4)+LOOKUP($P14,Manufacture!$C$2:$K$2,Manufacture!$C$4:$K$4)</f>
        <v>615.23193761518587</v>
      </c>
      <c r="AG14" s="4">
        <f>_xlfn.XLOOKUP($AA14,Manufacture!$C$5:$R$5,Manufacture!$C$7:$R$7)</f>
        <v>959.72589201176459</v>
      </c>
      <c r="AH14" s="4">
        <f>_xlfn.XLOOKUP($AB14,Manufacture!$C$5:$R$5,Manufacture!$C$9:$R$9)</f>
        <v>574.78235294117655</v>
      </c>
      <c r="AI14" s="18">
        <f>LOOKUP(_xlfn.CEILING.MATH($O14,1),Manufacture!$C$21:$G$21,Manufacture!$C$23:$G$23)+LOOKUP(_xlfn.CEILING.MATH($P14),Manufacture!$C$21:$G$21,Manufacture!$C$23:$G$23)+LOOKUP(_xlfn.CEILING.MATH($Q14),Manufacture!$C$21:$G$21,Manufacture!$C$23:$G$23)+LOOKUP(_xlfn.CEILING.MATH($R14),Manufacture!$C$21:$G$21,Manufacture!$C$23:$G$23)+_xlfn.IFNA(LOOKUP(_xlfn.CEILING.MATH($S14),Manufacture!$C$21:$G$21,Manufacture!$C$23:$G$23),0)+_xlfn.IFNA(LOOKUP(_xlfn.CEILING.MATH($T14),Manufacture!$C$21:$G$21,Manufacture!$C$23:$G$23),0)</f>
        <v>1454.3818009274348</v>
      </c>
      <c r="AJ14" s="17">
        <f>LOOKUP($O14,Distribution!$C$2:$K$2,Distribution!$C$4:$K$4)+LOOKUP($P14,Distribution!$C$2:$K$2,Distribution!$C$4:$K$4)+LOOKUP($Q14,Distribution!$C$2:$K$2,Distribution!$C$4:$K$4)+LOOKUP($R14,Distribution!$C$2:$K$2,Distribution!$C$4:$K$4)+_xlfn.IFNA(LOOKUP($S14,Distribution!$C$2:$K$2,Distribution!$C$4:$K$4),0)+_xlfn.IFNA(LOOKUP($T14,Distribution!$C$2:$K$2,Distribution!$C$4:$K$4),0)</f>
        <v>46.407925197529416</v>
      </c>
      <c r="AK14" s="4">
        <f>AN14+AO14</f>
        <v>36.844294649192022</v>
      </c>
      <c r="AL14" s="4">
        <f>LOOKUP($Q14,Distribution!$C$2:$K$2,Distribution!$C$4:$K$4)+LOOKUP($R14,Distribution!$C$2:$K$2,Distribution!$C$4:$K$4)+_xlfn.IFNA(LOOKUP($S14,Distribution!$C$2:$K$2,Distribution!$C$4:$K$4),0)+_xlfn.IFNA(LOOKUP($T14,Distribution!$C$2:$K$2,Distribution!$C$4:$K$4),0)</f>
        <v>16.470579120141178</v>
      </c>
      <c r="AM14" s="4">
        <f>LOOKUP($O14,Distribution!$C$2:$K$2,Distribution!$C$4:$K$4)+LOOKUP($P14,Distribution!$C$2:$K$2,Distribution!$C$4:$K$4)</f>
        <v>29.937346077388234</v>
      </c>
      <c r="AN14" s="4">
        <f>_xlfn.XLOOKUP($AA14,Distribution!$C$5:$R$5,Distribution!$C$7:$R$7)</f>
        <v>20.862810413897904</v>
      </c>
      <c r="AO14" s="4">
        <f>_xlfn.XLOOKUP($AB14,Distribution!$C$5:$R$5,Distribution!$C$9:$R$9)</f>
        <v>15.981484235294117</v>
      </c>
      <c r="AP14" s="18">
        <f>LOOKUP(_xlfn.CEILING.MATH($O14,1),Distribution!$C$21:$G$21,Distribution!$C$23:$G$23)+LOOKUP(_xlfn.CEILING.MATH($P14),Distribution!$C$21:$G$21,Distribution!$C$23:$G$23)+LOOKUP(_xlfn.CEILING.MATH($Q14),Distribution!$C$21:$G$21,Distribution!$C$23:$G$23)+LOOKUP(_xlfn.CEILING.MATH($R14),Distribution!$C$21:$G$21,Distribution!$C$23:$G$23)+_xlfn.IFNA(LOOKUP(_xlfn.CEILING.MATH($S14),Distribution!$C$21:$G$21,Distribution!$C$23:$G$23),0)+_xlfn.IFNA(LOOKUP(_xlfn.CEILING.MATH($T14),Distribution!$C$21:$G$21,Distribution!$C$23:$G$23),0)</f>
        <v>36.551153376569602</v>
      </c>
      <c r="AQ14" s="17">
        <f>LOOKUP($O14,Installation!$C$2:$K$2,Installation!$C$4:$K$4)+LOOKUP($P14,Installation!$C$2:$K$2,Installation!$C$4:$K$4)+LOOKUP($Q14,Installation!$C$2:$K$2,Installation!$C$4:$K$4)+LOOKUP($R14,Installation!$C$2:$K$2,Installation!$C$4:$K$4)+_xlfn.IFNA(LOOKUP($S14,Installation!$C$2:$K$2,Installation!$C$4:$K$4),0)+_xlfn.IFNA(LOOKUP($T14,Installation!$C$2:$K$2,Installation!$C$4:$K$4),0)</f>
        <v>4.6974619796122736</v>
      </c>
      <c r="AR14" s="4">
        <f>AU14+AV14</f>
        <v>92.156538464117645</v>
      </c>
      <c r="AS14" s="4">
        <f>LOOKUP($Q14,Installation!$C$2:$K$2,Installation!$C$4:$K$4)+LOOKUP($R14,Installation!$C$2:$K$2,Installation!$C$4:$K$4)+_xlfn.IFNA(LOOKUP($S14,Installation!$C$2:$K$2,Installation!$C$4:$K$4),0)+_xlfn.IFNA(LOOKUP($T14,Installation!$C$2:$K$2,Installation!$C$4:$K$4),0)</f>
        <v>1.6054691209261442</v>
      </c>
      <c r="AT14" s="4">
        <f>LOOKUP($O14,Installation!$C$2:$K$2,Installation!$C$4:$K$4)+LOOKUP($P14,Installation!$C$2:$K$2,Installation!$C$4:$K$4)</f>
        <v>3.0919928586861296</v>
      </c>
      <c r="AU14" s="4">
        <f>_xlfn.XLOOKUP($AA14,Installation!$C$5:$R$5,Installation!$C$7:$R$7)</f>
        <v>68.562420817058822</v>
      </c>
      <c r="AV14" s="4">
        <f>_xlfn.XLOOKUP($AB14,Installation!$C$5:$R$5,Installation!$C$9:$R$9)</f>
        <v>23.594117647058823</v>
      </c>
      <c r="AW14" s="18">
        <f>LOOKUP(_xlfn.CEILING.MATH($O14,1),Installation!$C$21:$G$21,Installation!$C$23:$G$23)+LOOKUP(_xlfn.CEILING.MATH($P14),Installation!$C$21:$G$21,Installation!$C$23:$G$23)+LOOKUP(_xlfn.CEILING.MATH($Q14),Installation!$C$21:$G$21,Installation!$C$23:$G$23)+LOOKUP(_xlfn.CEILING.MATH($R14),Installation!$C$21:$G$21,Installation!$C$23:$G$23)+_xlfn.IFNA(LOOKUP(_xlfn.CEILING.MATH($S14),Installation!$C$21:$G$21,Installation!$C$23:$G$23),0)+_xlfn.IFNA(LOOKUP(_xlfn.CEILING.MATH($T14),Installation!$C$21:$G$21,Installation!$C$23:$G$23),0)</f>
        <v>11.108997269999998</v>
      </c>
      <c r="AX14" s="17">
        <f>LOOKUP($O14,EOL!$C$2:$K$2,EOL!$C$4:$K$4)+LOOKUP($P14,EOL!$C$2:$K$2,EOL!$C$4:$K$4)+LOOKUP($Q14,EOL!$C$2:$K$2,EOL!$C$4:$K$4)+LOOKUP($R14,EOL!$C$2:$K$2,EOL!$C$4:$K$4)+_xlfn.IFNA(LOOKUP($S14,EOL!$C$2:$K$2,EOL!$C$4:$K$4),0)+_xlfn.IFNA(LOOKUP($T14,EOL!$C$2:$K$2,EOL!$C$4:$K$4),0)</f>
        <v>54.92303662226724</v>
      </c>
      <c r="AY14" s="4">
        <f>BB14+BC14</f>
        <v>284.43346129999998</v>
      </c>
      <c r="AZ14" s="4">
        <f>LOOKUP($Q14,EOL!$C$2:$K$2,EOL!$C$4:$K$4)+LOOKUP($R14,EOL!$C$2:$K$2,EOL!$C$4:$K$4)+_xlfn.IFNA(LOOKUP($S14,EOL!$C$2:$K$2,EOL!$C$4:$K$4),0)+_xlfn.IFNA(LOOKUP($T14,EOL!$C$2:$K$2,EOL!$C$4:$K$4),0)</f>
        <v>19.484484525958916</v>
      </c>
      <c r="BA14" s="4">
        <f>LOOKUP($O14,EOL!$C$2:$K$2,EOL!$C$4:$K$4)+LOOKUP($P14,EOL!$C$2:$K$2,EOL!$C$4:$K$4)</f>
        <v>35.438552096308321</v>
      </c>
      <c r="BB14" s="4">
        <f>_xlfn.XLOOKUP($AA14,EOL!$C$5:$R$5,EOL!$C$6:$R$6)</f>
        <v>173.13346129999999</v>
      </c>
      <c r="BC14" s="4">
        <f>_xlfn.XLOOKUP($AB14,EOL!$C$5:$R$5,EOL!$C$9:$R$9)</f>
        <v>111.3</v>
      </c>
      <c r="BD14" s="18">
        <f>LOOKUP(_xlfn.CEILING.MATH($O14,1),EOL!$C$21:$G$21,EOL!$C$23:$G$23)+LOOKUP(_xlfn.CEILING.MATH($P14),EOL!$C$21:$G$21,EOL!$C$23:$G$23)+LOOKUP(_xlfn.CEILING.MATH($Q14),EOL!$C$21:$G$21,EOL!$C$23:$G$23)+LOOKUP(_xlfn.CEILING.MATH($R14),EOL!$C$21:$G$21,EOL!$C$23:$G$23)+_xlfn.IFNA(LOOKUP(_xlfn.CEILING.MATH($S14),EOL!$C$21:$G$21,EOL!$C$23:$G$23),0)+_xlfn.IFNA(LOOKUP(_xlfn.CEILING.MATH($T14),EOL!$C$21:$G$21,EOL!$C$23:$G$23),0)</f>
        <v>231.689314395</v>
      </c>
      <c r="BE14" s="17">
        <f>LOOKUP($O14,Other!$C$2:$K$2,Other!$C$4:$K$4)+LOOKUP($P14,Other!$C$2:$K$2,Other!$C$4:$K$4)+LOOKUP($Q14,Other!$C$2:$K$2,Other!$C$4:$K$4)+LOOKUP($R14,Other!$C$2:$K$2,Other!$C$4:$K$4)+_xlfn.IFNA(LOOKUP($S14,Other!$C$2:$K$2,Other!$C$4:$K$4),0)+_xlfn.IFNA(LOOKUP($T14,Other!$C$2:$K$2,Other!$C$4:$K$4),0)</f>
        <v>0</v>
      </c>
      <c r="BF14" s="4">
        <f>BI14+BJ14</f>
        <v>1321.8995572588235</v>
      </c>
      <c r="BG14" s="4">
        <f>LOOKUP($Q14,Other!$C$2:$K$2,Other!$C$4:$K$4)+LOOKUP($R14,Other!$C$2:$K$2,Other!$C$4:$K$4)+_xlfn.IFNA(LOOKUP($S14,Other!$C$2:$K$2,Other!$C$4:$K$4),0)+_xlfn.IFNA(LOOKUP($T14,Other!$C$2:$K$2,Other!$C$4:$K$4),0)</f>
        <v>0</v>
      </c>
      <c r="BH14" s="4">
        <f>LOOKUP($O14,Other!$C$2:$K$2,Other!$C$4:$K$4)+LOOKUP($P14,Other!$C$2:$K$2,Other!$C$4:$K$4)</f>
        <v>0</v>
      </c>
      <c r="BI14" s="4">
        <f>_xlfn.XLOOKUP($AA14,Other!$C$5:$R$5,Other!$C$7:$R$7)</f>
        <v>673.37014549411765</v>
      </c>
      <c r="BJ14" s="4">
        <f>_xlfn.XLOOKUP($AB14,Other!$C$5:$R$5,Other!$C$9:$R$9)</f>
        <v>648.52941176470586</v>
      </c>
      <c r="BK14" s="18">
        <f>LOOKUP(_xlfn.CEILING.MATH($O14,1),Other!$C$21:$G$21,Other!$C$23:$G$23)+LOOKUP(_xlfn.CEILING.MATH($P14),Other!$C$21:$G$21,Other!$C$23:$G$23)+LOOKUP(_xlfn.CEILING.MATH($Q14),Other!$C$21:$G$21,Other!$C$23:$G$23)+LOOKUP(_xlfn.CEILING.MATH($R14),Other!$C$21:$G$21,Other!$C$23:$G$23)+_xlfn.IFNA(LOOKUP(_xlfn.CEILING.MATH($S14),Other!$C$21:$G$21,Other!$C$23:$G$23),0)+_xlfn.IFNA(LOOKUP(_xlfn.CEILING.MATH($T14),Other!$C$21:$G$21,Other!$C$23:$G$23),0)</f>
        <v>1584.1204128749998</v>
      </c>
    </row>
    <row r="15" spans="1:63" x14ac:dyDescent="0.25">
      <c r="H15" s="4" t="str">
        <f t="shared" ref="H15:H21" si="1">_xlfn.TEXTJOIN("-", TRUE, L15, I15)</f>
        <v>Mass-H1-AK</v>
      </c>
      <c r="I15" s="4" t="s">
        <v>3</v>
      </c>
      <c r="J15" s="4" t="s">
        <v>37</v>
      </c>
      <c r="K15" s="4" t="s">
        <v>43</v>
      </c>
      <c r="L15" s="4" t="str">
        <f t="shared" ref="L15:L21" si="2">CONCATENATE(J15, "-", K15)</f>
        <v>Mass-H1</v>
      </c>
      <c r="M15" s="4">
        <f>H3</f>
        <v>6.2</v>
      </c>
      <c r="N15" s="4">
        <v>5</v>
      </c>
      <c r="O15" s="4">
        <f>IF(MOD(N15,1)=0.5,INT(N15/2),N15/2)</f>
        <v>2.5</v>
      </c>
      <c r="P15" s="4">
        <f>N15-O15</f>
        <v>2.5</v>
      </c>
      <c r="Q15" s="4">
        <v>1</v>
      </c>
      <c r="R15" s="4">
        <v>1</v>
      </c>
      <c r="S15" s="4"/>
      <c r="T15" s="4"/>
      <c r="U15" s="4">
        <f t="shared" ref="U15:U21" si="3">SUM(O15:T15)</f>
        <v>7</v>
      </c>
      <c r="V15" s="4"/>
      <c r="W15" s="4">
        <f t="shared" ref="W15:W21" si="4">U15</f>
        <v>7</v>
      </c>
      <c r="X15" s="4">
        <f t="shared" ref="X15:X21" si="5">AA15+AB15</f>
        <v>6.5</v>
      </c>
      <c r="Y15" s="4">
        <f t="shared" ref="Y15:Y21" si="6">SUM(Q15:T15)</f>
        <v>2</v>
      </c>
      <c r="Z15" s="4">
        <f t="shared" ref="Z15:Z21" si="7">O15+P15</f>
        <v>5</v>
      </c>
      <c r="AA15" s="4">
        <f>_xlfn.XLOOKUP(H15,Key!$F$8:$F$15,Key!$B$8:$B$15)</f>
        <v>4.5</v>
      </c>
      <c r="AB15" s="4">
        <f>_xlfn.XLOOKUP(H15,Key!$F$16:$F$23,Key!$E$16:$E$23)</f>
        <v>2</v>
      </c>
      <c r="AC15" s="17">
        <f>LOOKUP($O15,Manufacture!$C$2:$K$2,Manufacture!$C$4:$K$4)+LOOKUP($P15,Manufacture!$C$2:$K$2,Manufacture!$C$4:$K$4)+LOOKUP($Q15,Manufacture!$C$2:$K$2,Manufacture!$C$4:$K$4)+LOOKUP($R15,Manufacture!$C$2:$K$2,Manufacture!$C$4:$K$4)+_xlfn.IFNA(LOOKUP($S15,Manufacture!$C$2:$K$2,Manufacture!$C$4:$K$4),0)+_xlfn.IFNA(LOOKUP($T15,Manufacture!$C$2:$K$2,Manufacture!$C$4:$K$4),0)</f>
        <v>762.75654779699664</v>
      </c>
      <c r="AD15" s="4">
        <f t="shared" ref="AD15:AD21" si="8">AG15+AH15</f>
        <v>1215.5476183941173</v>
      </c>
      <c r="AE15" s="4">
        <f>LOOKUP($Q15,Manufacture!$C$2:$K$2,Manufacture!$C$4:$K$4)+LOOKUP($R15,Manufacture!$C$2:$K$2,Manufacture!$C$4:$K$4)+_xlfn.IFNA(LOOKUP($S15,Manufacture!$C$2:$K$2,Manufacture!$C$4:$K$4),0)+_xlfn.IFNA(LOOKUP($T15,Manufacture!$C$2:$K$2,Manufacture!$C$4:$K$4),0)</f>
        <v>239.00538653940063</v>
      </c>
      <c r="AF15" s="4">
        <f>LOOKUP($O15,Manufacture!$C$2:$K$2,Manufacture!$C$4:$K$4)+LOOKUP($P15,Manufacture!$C$2:$K$2,Manufacture!$C$4:$K$4)</f>
        <v>523.75116125759598</v>
      </c>
      <c r="AG15" s="4">
        <f>_xlfn.XLOOKUP($AA15,Manufacture!$C$5:$R$5,Manufacture!$C$7:$R$7)</f>
        <v>793.81820662941152</v>
      </c>
      <c r="AH15" s="4">
        <f>_xlfn.XLOOKUP($AB15,Manufacture!$C$5:$R$5,Manufacture!$C$9:$R$9)</f>
        <v>421.72941176470584</v>
      </c>
      <c r="AI15" s="18">
        <f>LOOKUP(_xlfn.CEILING.MATH($O15,1),Manufacture!$C$21:$G$21,Manufacture!$C$23:$G$23)+LOOKUP(_xlfn.CEILING.MATH($P15),Manufacture!$C$21:$G$21,Manufacture!$C$23:$G$23)+LOOKUP(_xlfn.CEILING.MATH($Q15),Manufacture!$C$21:$G$21,Manufacture!$C$23:$G$23)+LOOKUP(_xlfn.CEILING.MATH($R15),Manufacture!$C$21:$G$21,Manufacture!$C$23:$G$23)+_xlfn.IFNA(LOOKUP(_xlfn.CEILING.MATH($S15),Manufacture!$C$21:$G$21,Manufacture!$C$23:$G$23),0)+_xlfn.IFNA(LOOKUP(_xlfn.CEILING.MATH($T15),Manufacture!$C$21:$G$21,Manufacture!$C$23:$G$23),0)</f>
        <v>1158.4922338604972</v>
      </c>
      <c r="AJ15" s="17">
        <f>LOOKUP($O15,Distribution!$C$2:$K$2,Distribution!$C$4:$K$4)+LOOKUP($P15,Distribution!$C$2:$K$2,Distribution!$C$4:$K$4)+LOOKUP($Q15,Distribution!$C$2:$K$2,Distribution!$C$4:$K$4)+LOOKUP($R15,Distribution!$C$2:$K$2,Distribution!$C$4:$K$4)+_xlfn.IFNA(LOOKUP($S15,Distribution!$C$2:$K$2,Distribution!$C$4:$K$4),0)+_xlfn.IFNA(LOOKUP($T15,Distribution!$C$2:$K$2,Distribution!$C$4:$K$4),0)</f>
        <v>34.392676545952938</v>
      </c>
      <c r="AK15" s="4">
        <f t="shared" ref="AK15:AK21" si="9">AN15+AO15</f>
        <v>27.448470358391585</v>
      </c>
      <c r="AL15" s="4">
        <f>LOOKUP($Q15,Distribution!$C$2:$K$2,Distribution!$C$4:$K$4)+LOOKUP($R15,Distribution!$C$2:$K$2,Distribution!$C$4:$K$4)+_xlfn.IFNA(LOOKUP($S15,Distribution!$C$2:$K$2,Distribution!$C$4:$K$4),0)+_xlfn.IFNA(LOOKUP($T15,Distribution!$C$2:$K$2,Distribution!$C$4:$K$4),0)</f>
        <v>10.462954794352941</v>
      </c>
      <c r="AM15" s="4">
        <f>LOOKUP($O15,Distribution!$C$2:$K$2,Distribution!$C$4:$K$4)+LOOKUP($P15,Distribution!$C$2:$K$2,Distribution!$C$4:$K$4)</f>
        <v>23.929721751599999</v>
      </c>
      <c r="AN15" s="4">
        <f>_xlfn.XLOOKUP($AA15,Distribution!$C$5:$R$5,Distribution!$C$7:$R$7)</f>
        <v>16.691702123097468</v>
      </c>
      <c r="AO15" s="4">
        <f>_xlfn.XLOOKUP($AB15,Distribution!$C$5:$R$5,Distribution!$C$9:$R$9)</f>
        <v>10.756768235294118</v>
      </c>
      <c r="AP15" s="18">
        <f>LOOKUP(_xlfn.CEILING.MATH($O15,1),Distribution!$C$21:$G$21,Distribution!$C$23:$G$23)+LOOKUP(_xlfn.CEILING.MATH($P15),Distribution!$C$21:$G$21,Distribution!$C$23:$G$23)+LOOKUP(_xlfn.CEILING.MATH($Q15),Distribution!$C$21:$G$21,Distribution!$C$23:$G$23)+LOOKUP(_xlfn.CEILING.MATH($R15),Distribution!$C$21:$G$21,Distribution!$C$23:$G$23)+_xlfn.IFNA(LOOKUP(_xlfn.CEILING.MATH($S15),Distribution!$C$21:$G$21,Distribution!$C$23:$G$23),0)+_xlfn.IFNA(LOOKUP(_xlfn.CEILING.MATH($T15),Distribution!$C$21:$G$21,Distribution!$C$23:$G$23),0)</f>
        <v>29.115699356053732</v>
      </c>
      <c r="AQ15" s="17">
        <f>LOOKUP($O15,Installation!$C$2:$K$2,Installation!$C$4:$K$4)+LOOKUP($P15,Installation!$C$2:$K$2,Installation!$C$4:$K$4)+LOOKUP($Q15,Installation!$C$2:$K$2,Installation!$C$4:$K$4)+LOOKUP($R15,Installation!$C$2:$K$2,Installation!$C$4:$K$4)+_xlfn.IFNA(LOOKUP($S15,Installation!$C$2:$K$2,Installation!$C$4:$K$4),0)+_xlfn.IFNA(LOOKUP($T15,Installation!$C$2:$K$2,Installation!$C$4:$K$4),0)</f>
        <v>4.2216804469476452</v>
      </c>
      <c r="AR15" s="4">
        <f t="shared" ref="AR15:AR21" si="10">AU15+AV15</f>
        <v>76.312009027058821</v>
      </c>
      <c r="AS15" s="4">
        <f>LOOKUP($Q15,Installation!$C$2:$K$2,Installation!$C$4:$K$4)+LOOKUP($R15,Installation!$C$2:$K$2,Installation!$C$4:$K$4)+_xlfn.IFNA(LOOKUP($S15,Installation!$C$2:$K$2,Installation!$C$4:$K$4),0)+_xlfn.IFNA(LOOKUP($T15,Installation!$C$2:$K$2,Installation!$C$4:$K$4),0)</f>
        <v>1.3675783545938294</v>
      </c>
      <c r="AT15" s="4">
        <f>LOOKUP($O15,Installation!$C$2:$K$2,Installation!$C$4:$K$4)+LOOKUP($P15,Installation!$C$2:$K$2,Installation!$C$4:$K$4)</f>
        <v>2.8541020923538154</v>
      </c>
      <c r="AU15" s="4">
        <f>_xlfn.XLOOKUP($AA15,Installation!$C$5:$R$5,Installation!$C$7:$R$7)</f>
        <v>44.564950203529413</v>
      </c>
      <c r="AV15" s="4">
        <f>_xlfn.XLOOKUP($AB15,Installation!$C$5:$R$5,Installation!$C$9:$R$9)</f>
        <v>31.747058823529407</v>
      </c>
      <c r="AW15" s="18">
        <f>LOOKUP(_xlfn.CEILING.MATH($O15,1),Installation!$C$21:$G$21,Installation!$C$23:$G$23)+LOOKUP(_xlfn.CEILING.MATH($P15),Installation!$C$21:$G$21,Installation!$C$23:$G$23)+LOOKUP(_xlfn.CEILING.MATH($Q15),Installation!$C$21:$G$21,Installation!$C$23:$G$23)+LOOKUP(_xlfn.CEILING.MATH($R15),Installation!$C$21:$G$21,Installation!$C$23:$G$23)+_xlfn.IFNA(LOOKUP(_xlfn.CEILING.MATH($S15),Installation!$C$21:$G$21,Installation!$C$23:$G$23),0)+_xlfn.IFNA(LOOKUP(_xlfn.CEILING.MATH($T15),Installation!$C$21:$G$21,Installation!$C$23:$G$23),0)</f>
        <v>6.9315646837500031</v>
      </c>
      <c r="AX15" s="17">
        <f>LOOKUP($O15,EOL!$C$2:$K$2,EOL!$C$4:$K$4)+LOOKUP($P15,EOL!$C$2:$K$2,EOL!$C$4:$K$4)+LOOKUP($Q15,EOL!$C$2:$K$2,EOL!$C$4:$K$4)+LOOKUP($R15,EOL!$C$2:$K$2,EOL!$C$4:$K$4)+_xlfn.IFNA(LOOKUP($S15,EOL!$C$2:$K$2,EOL!$C$4:$K$4),0)+_xlfn.IFNA(LOOKUP($T15,EOL!$C$2:$K$2,EOL!$C$4:$K$4),0)</f>
        <v>40.801368799829156</v>
      </c>
      <c r="AY15" s="4">
        <f t="shared" ref="AY15:AY21" si="11">BB15+BC15</f>
        <v>241.32799335294118</v>
      </c>
      <c r="AZ15" s="4">
        <f>LOOKUP($Q15,EOL!$C$2:$K$2,EOL!$C$4:$K$4)+LOOKUP($R15,EOL!$C$2:$K$2,EOL!$C$4:$K$4)+_xlfn.IFNA(LOOKUP($S15,EOL!$C$2:$K$2,EOL!$C$4:$K$4),0)+_xlfn.IFNA(LOOKUP($T15,EOL!$C$2:$K$2,EOL!$C$4:$K$4),0)</f>
        <v>12.423650614739874</v>
      </c>
      <c r="BA15" s="4">
        <f>LOOKUP($O15,EOL!$C$2:$K$2,EOL!$C$4:$K$4)+LOOKUP($P15,EOL!$C$2:$K$2,EOL!$C$4:$K$4)</f>
        <v>28.377718185089282</v>
      </c>
      <c r="BB15" s="4">
        <f>_xlfn.XLOOKUP($AA15,EOL!$C$5:$R$5,EOL!$C$6:$R$6)</f>
        <v>147.32211100000001</v>
      </c>
      <c r="BC15" s="4">
        <f>_xlfn.XLOOKUP($AB15,EOL!$C$5:$R$5,EOL!$C$9:$R$9)</f>
        <v>94.005882352941171</v>
      </c>
      <c r="BD15" s="18">
        <f>LOOKUP(_xlfn.CEILING.MATH($O15,1),EOL!$C$21:$G$21,EOL!$C$23:$G$23)+LOOKUP(_xlfn.CEILING.MATH($P15),EOL!$C$21:$G$21,EOL!$C$23:$G$23)+LOOKUP(_xlfn.CEILING.MATH($Q15),EOL!$C$21:$G$21,EOL!$C$23:$G$23)+LOOKUP(_xlfn.CEILING.MATH($R15),EOL!$C$21:$G$21,EOL!$C$23:$G$23)+_xlfn.IFNA(LOOKUP(_xlfn.CEILING.MATH($S15),EOL!$C$21:$G$21,EOL!$C$23:$G$23),0)+_xlfn.IFNA(LOOKUP(_xlfn.CEILING.MATH($T15),EOL!$C$21:$G$21,EOL!$C$23:$G$23),0)</f>
        <v>184.55768966249997</v>
      </c>
      <c r="BE15" s="17">
        <f>LOOKUP($O15,Other!$C$2:$K$2,Other!$C$4:$K$4)+LOOKUP($P15,Other!$C$2:$K$2,Other!$C$4:$K$4)+LOOKUP($Q15,Other!$C$2:$K$2,Other!$C$4:$K$4)+LOOKUP($R15,Other!$C$2:$K$2,Other!$C$4:$K$4)+_xlfn.IFNA(LOOKUP($S15,Other!$C$2:$K$2,Other!$C$4:$K$4),0)+_xlfn.IFNA(LOOKUP($T15,Other!$C$2:$K$2,Other!$C$4:$K$4),0)</f>
        <v>0</v>
      </c>
      <c r="BF15" s="4">
        <f t="shared" ref="BF15:BF21" si="12">BI15+BJ15</f>
        <v>1264.174085135294</v>
      </c>
      <c r="BG15" s="4">
        <f>LOOKUP($Q15,Other!$C$2:$K$2,Other!$C$4:$K$4)+LOOKUP($R15,Other!$C$2:$K$2,Other!$C$4:$K$4)+_xlfn.IFNA(LOOKUP($S15,Other!$C$2:$K$2,Other!$C$4:$K$4),0)+_xlfn.IFNA(LOOKUP($T15,Other!$C$2:$K$2,Other!$C$4:$K$4),0)</f>
        <v>0</v>
      </c>
      <c r="BH15" s="4">
        <f>LOOKUP($O15,Other!$C$2:$K$2,Other!$C$4:$K$4)+LOOKUP($P15,Other!$C$2:$K$2,Other!$C$4:$K$4)</f>
        <v>0</v>
      </c>
      <c r="BI15" s="4">
        <f>_xlfn.XLOOKUP($AA15,Other!$C$5:$R$5,Other!$C$7:$R$7)</f>
        <v>615.64467337058818</v>
      </c>
      <c r="BJ15" s="4">
        <f>_xlfn.XLOOKUP($AB15,Other!$C$5:$R$5,Other!$C$9:$R$9)</f>
        <v>648.52941176470586</v>
      </c>
      <c r="BK15" s="18">
        <f>LOOKUP(_xlfn.CEILING.MATH($O15,1),Other!$C$21:$G$21,Other!$C$23:$G$23)+LOOKUP(_xlfn.CEILING.MATH($P15),Other!$C$21:$G$21,Other!$C$23:$G$23)+LOOKUP(_xlfn.CEILING.MATH($Q15),Other!$C$21:$G$21,Other!$C$23:$G$23)+LOOKUP(_xlfn.CEILING.MATH($R15),Other!$C$21:$G$21,Other!$C$23:$G$23)+_xlfn.IFNA(LOOKUP(_xlfn.CEILING.MATH($S15),Other!$C$21:$G$21,Other!$C$23:$G$23),0)+_xlfn.IFNA(LOOKUP(_xlfn.CEILING.MATH($T15),Other!$C$21:$G$21,Other!$C$23:$G$23),0)</f>
        <v>1221.2623546724999</v>
      </c>
    </row>
    <row r="16" spans="1:63" x14ac:dyDescent="0.25">
      <c r="H16" s="4" t="str">
        <f t="shared" si="1"/>
        <v>Mass-Nom-CH</v>
      </c>
      <c r="I16" s="4" t="s">
        <v>11</v>
      </c>
      <c r="J16" s="4" t="s">
        <v>37</v>
      </c>
      <c r="K16" s="4" t="s">
        <v>42</v>
      </c>
      <c r="L16" s="4" t="str">
        <f t="shared" si="2"/>
        <v>Mass-Nom</v>
      </c>
      <c r="M16" s="4">
        <f>H4</f>
        <v>15.2</v>
      </c>
      <c r="N16" s="4">
        <v>8.5</v>
      </c>
      <c r="O16" s="4">
        <f>IF(MOD(N16,1)=0.5,INT(N16/2),N16/2)</f>
        <v>4</v>
      </c>
      <c r="P16" s="4">
        <f>N16-O16</f>
        <v>4.5</v>
      </c>
      <c r="Q16" s="4">
        <v>3.5</v>
      </c>
      <c r="R16" s="4">
        <v>3.5</v>
      </c>
      <c r="S16" s="4"/>
      <c r="T16" s="4"/>
      <c r="U16" s="4">
        <f t="shared" si="3"/>
        <v>15.5</v>
      </c>
      <c r="V16" s="4"/>
      <c r="W16" s="4">
        <f t="shared" si="4"/>
        <v>15.5</v>
      </c>
      <c r="X16" s="4">
        <f t="shared" si="5"/>
        <v>15.5</v>
      </c>
      <c r="Y16" s="4">
        <f t="shared" si="6"/>
        <v>7</v>
      </c>
      <c r="Z16" s="4">
        <f t="shared" si="7"/>
        <v>8.5</v>
      </c>
      <c r="AA16" s="4">
        <f>_xlfn.XLOOKUP(H16,Key!$F$8:$F$15,Key!$B$8:$B$15)</f>
        <v>8.5</v>
      </c>
      <c r="AB16" s="4">
        <f>_xlfn.XLOOKUP(H16,Key!$F$16:$F$23,Key!$E$16:$E$23)</f>
        <v>7</v>
      </c>
      <c r="AC16" s="17">
        <f>LOOKUP($O16,Manufacture!$C$2:$K$2,Manufacture!$C$4:$K$4)+LOOKUP($P16,Manufacture!$C$2:$K$2,Manufacture!$C$4:$K$4)+LOOKUP($Q16,Manufacture!$C$2:$K$2,Manufacture!$C$4:$K$4)+LOOKUP($R16,Manufacture!$C$2:$K$2,Manufacture!$C$4:$K$4)+_xlfn.IFNA(LOOKUP($S16,Manufacture!$C$2:$K$2,Manufacture!$C$4:$K$4),0)+_xlfn.IFNA(LOOKUP($T16,Manufacture!$C$2:$K$2,Manufacture!$C$4:$K$4),0)</f>
        <v>1372.8367625894696</v>
      </c>
      <c r="AD16" s="4">
        <f t="shared" si="8"/>
        <v>2011.6822679470588</v>
      </c>
      <c r="AE16" s="4">
        <f>LOOKUP($Q16,Manufacture!$C$2:$K$2,Manufacture!$C$4:$K$4)+LOOKUP($R16,Manufacture!$C$2:$K$2,Manufacture!$C$4:$K$4)+_xlfn.IFNA(LOOKUP($S16,Manufacture!$C$2:$K$2,Manufacture!$C$4:$K$4),0)+_xlfn.IFNA(LOOKUP($T16,Manufacture!$C$2:$K$2,Manufacture!$C$4:$K$4),0)</f>
        <v>615.23193761518587</v>
      </c>
      <c r="AF16" s="4">
        <f>LOOKUP($O16,Manufacture!$C$2:$K$2,Manufacture!$C$4:$K$4)+LOOKUP($P16,Manufacture!$C$2:$K$2,Manufacture!$C$4:$K$4)</f>
        <v>757.6048249742837</v>
      </c>
      <c r="AG16" s="4">
        <f>_xlfn.XLOOKUP($AA16,Manufacture!$C$5:$R$5,Manufacture!$C$7:$R$7)</f>
        <v>1059.2705032411764</v>
      </c>
      <c r="AH16" s="4">
        <f>_xlfn.XLOOKUP($AB16,Manufacture!$C$5:$R$5,Manufacture!$C$9:$R$9)</f>
        <v>952.41176470588232</v>
      </c>
      <c r="AI16" s="18">
        <f>LOOKUP(_xlfn.CEILING.MATH($O16,1),Manufacture!$C$21:$G$21,Manufacture!$C$23:$G$23)+LOOKUP(_xlfn.CEILING.MATH($P16),Manufacture!$C$21:$G$21,Manufacture!$C$23:$G$23)+LOOKUP(_xlfn.CEILING.MATH($Q16),Manufacture!$C$21:$G$21,Manufacture!$C$23:$G$23)+LOOKUP(_xlfn.CEILING.MATH($R16),Manufacture!$C$21:$G$21,Manufacture!$C$23:$G$23)+_xlfn.IFNA(LOOKUP(_xlfn.CEILING.MATH($S16),Manufacture!$C$21:$G$21,Manufacture!$C$23:$G$23),0)+_xlfn.IFNA(LOOKUP(_xlfn.CEILING.MATH($T16),Manufacture!$C$21:$G$21,Manufacture!$C$23:$G$23),0)</f>
        <v>1824.2055961986114</v>
      </c>
      <c r="AJ16" s="17">
        <f>LOOKUP($O16,Distribution!$C$2:$K$2,Distribution!$C$4:$K$4)+LOOKUP($P16,Distribution!$C$2:$K$2,Distribution!$C$4:$K$4)+LOOKUP($Q16,Distribution!$C$2:$K$2,Distribution!$C$4:$K$4)+LOOKUP($R16,Distribution!$C$2:$K$2,Distribution!$C$4:$K$4)+_xlfn.IFNA(LOOKUP($S16,Distribution!$C$2:$K$2,Distribution!$C$4:$K$4),0)+_xlfn.IFNA(LOOKUP($T16,Distribution!$C$2:$K$2,Distribution!$C$4:$K$4),0)</f>
        <v>66.608075633400006</v>
      </c>
      <c r="AK16" s="4">
        <f t="shared" si="9"/>
        <v>51.02573656116072</v>
      </c>
      <c r="AL16" s="4">
        <f>LOOKUP($Q16,Distribution!$C$2:$K$2,Distribution!$C$4:$K$4)+LOOKUP($R16,Distribution!$C$2:$K$2,Distribution!$C$4:$K$4)+_xlfn.IFNA(LOOKUP($S16,Distribution!$C$2:$K$2,Distribution!$C$4:$K$4),0)+_xlfn.IFNA(LOOKUP($T16,Distribution!$C$2:$K$2,Distribution!$C$4:$K$4),0)</f>
        <v>29.937346077388234</v>
      </c>
      <c r="AM16" s="4">
        <f>LOOKUP($O16,Distribution!$C$2:$K$2,Distribution!$C$4:$K$4)+LOOKUP($P16,Distribution!$C$2:$K$2,Distribution!$C$4:$K$4)</f>
        <v>36.670729556011764</v>
      </c>
      <c r="AN16" s="4">
        <f>_xlfn.XLOOKUP($AA16,Distribution!$C$5:$R$5,Distribution!$C$7:$R$7)</f>
        <v>23.365475384690136</v>
      </c>
      <c r="AO16" s="4">
        <f>_xlfn.XLOOKUP($AB16,Distribution!$C$5:$R$5,Distribution!$C$9:$R$9)</f>
        <v>27.660261176470584</v>
      </c>
      <c r="AP16" s="18">
        <f>LOOKUP(_xlfn.CEILING.MATH($O16,1),Distribution!$C$21:$G$21,Distribution!$C$23:$G$23)+LOOKUP(_xlfn.CEILING.MATH($P16),Distribution!$C$21:$G$21,Distribution!$C$23:$G$23)+LOOKUP(_xlfn.CEILING.MATH($Q16),Distribution!$C$21:$G$21,Distribution!$C$23:$G$23)+LOOKUP(_xlfn.CEILING.MATH($R16),Distribution!$C$21:$G$21,Distribution!$C$23:$G$23)+_xlfn.IFNA(LOOKUP(_xlfn.CEILING.MATH($S16),Distribution!$C$21:$G$21,Distribution!$C$23:$G$23),0)+_xlfn.IFNA(LOOKUP(_xlfn.CEILING.MATH($T16),Distribution!$C$21:$G$21,Distribution!$C$23:$G$23),0)</f>
        <v>45.845470902214494</v>
      </c>
      <c r="AQ16" s="17">
        <f>LOOKUP($O16,Installation!$C$2:$K$2,Installation!$C$4:$K$4)+LOOKUP($P16,Installation!$C$2:$K$2,Installation!$C$4:$K$4)+LOOKUP($Q16,Installation!$C$2:$K$2,Installation!$C$4:$K$4)+LOOKUP($R16,Installation!$C$2:$K$2,Installation!$C$4:$K$4)+_xlfn.IFNA(LOOKUP($S16,Installation!$C$2:$K$2,Installation!$C$4:$K$4),0)+_xlfn.IFNA(LOOKUP($T16,Installation!$C$2:$K$2,Installation!$C$4:$K$4),0)</f>
        <v>6.9272475862522533</v>
      </c>
      <c r="AR16" s="4">
        <f t="shared" si="10"/>
        <v>123.72560905764705</v>
      </c>
      <c r="AS16" s="4">
        <f>LOOKUP($Q16,Installation!$C$2:$K$2,Installation!$C$4:$K$4)+LOOKUP($R16,Installation!$C$2:$K$2,Installation!$C$4:$K$4)+_xlfn.IFNA(LOOKUP($S16,Installation!$C$2:$K$2,Installation!$C$4:$K$4),0)+_xlfn.IFNA(LOOKUP($T16,Installation!$C$2:$K$2,Installation!$C$4:$K$4),0)</f>
        <v>3.0919928586861296</v>
      </c>
      <c r="AT16" s="4">
        <f>LOOKUP($O16,Installation!$C$2:$K$2,Installation!$C$4:$K$4)+LOOKUP($P16,Installation!$C$2:$K$2,Installation!$C$4:$K$4)</f>
        <v>3.8352547275661237</v>
      </c>
      <c r="AU16" s="4">
        <f>_xlfn.XLOOKUP($AA16,Installation!$C$5:$R$5,Installation!$C$7:$R$7)</f>
        <v>82.960903175294106</v>
      </c>
      <c r="AV16" s="4">
        <f>_xlfn.XLOOKUP($AB16,Installation!$C$5:$R$5,Installation!$C$9:$R$9)</f>
        <v>40.764705882352942</v>
      </c>
      <c r="AW16" s="18">
        <f>LOOKUP(_xlfn.CEILING.MATH($O16,1),Installation!$C$21:$G$21,Installation!$C$23:$G$23)+LOOKUP(_xlfn.CEILING.MATH($P16),Installation!$C$21:$G$21,Installation!$C$23:$G$23)+LOOKUP(_xlfn.CEILING.MATH($Q16),Installation!$C$21:$G$21,Installation!$C$23:$G$23)+LOOKUP(_xlfn.CEILING.MATH($R16),Installation!$C$21:$G$21,Installation!$C$23:$G$23)+_xlfn.IFNA(LOOKUP(_xlfn.CEILING.MATH($S16),Installation!$C$21:$G$21,Installation!$C$23:$G$23),0)+_xlfn.IFNA(LOOKUP(_xlfn.CEILING.MATH($T16),Installation!$C$21:$G$21,Installation!$C$23:$G$23),0)</f>
        <v>16.330788002812497</v>
      </c>
      <c r="AX16" s="17">
        <f>LOOKUP($O16,EOL!$C$2:$K$2,EOL!$C$4:$K$4)+LOOKUP($P16,EOL!$C$2:$K$2,EOL!$C$4:$K$4)+LOOKUP($Q16,EOL!$C$2:$K$2,EOL!$C$4:$K$4)+LOOKUP($R16,EOL!$C$2:$K$2,EOL!$C$4:$K$4)+_xlfn.IFNA(LOOKUP($S16,EOL!$C$2:$K$2,EOL!$C$4:$K$4),0)+_xlfn.IFNA(LOOKUP($T16,EOL!$C$2:$K$2,EOL!$C$4:$K$4),0)</f>
        <v>78.854137977791325</v>
      </c>
      <c r="AY16" s="4">
        <f t="shared" si="11"/>
        <v>517.20850679411762</v>
      </c>
      <c r="AZ16" s="4">
        <f>LOOKUP($Q16,EOL!$C$2:$K$2,EOL!$C$4:$K$4)+LOOKUP($R16,EOL!$C$2:$K$2,EOL!$C$4:$K$4)+_xlfn.IFNA(LOOKUP($S16,EOL!$C$2:$K$2,EOL!$C$4:$K$4),0)+_xlfn.IFNA(LOOKUP($T16,EOL!$C$2:$K$2,EOL!$C$4:$K$4),0)</f>
        <v>35.438552096308321</v>
      </c>
      <c r="BA16" s="4">
        <f>LOOKUP($O16,EOL!$C$2:$K$2,EOL!$C$4:$K$4)+LOOKUP($P16,EOL!$C$2:$K$2,EOL!$C$4:$K$4)</f>
        <v>43.415585881483011</v>
      </c>
      <c r="BB16" s="4">
        <f>_xlfn.XLOOKUP($AA16,EOL!$C$5:$R$5,EOL!$C$6:$R$6)</f>
        <v>188.6202715</v>
      </c>
      <c r="BC16" s="4">
        <f>_xlfn.XLOOKUP($AB16,EOL!$C$5:$R$5,EOL!$C$9:$R$9)</f>
        <v>328.58823529411762</v>
      </c>
      <c r="BD16" s="18">
        <f>LOOKUP(_xlfn.CEILING.MATH($O16,1),EOL!$C$21:$G$21,EOL!$C$23:$G$23)+LOOKUP(_xlfn.CEILING.MATH($P16),EOL!$C$21:$G$21,EOL!$C$23:$G$23)+LOOKUP(_xlfn.CEILING.MATH($Q16),EOL!$C$21:$G$21,EOL!$C$23:$G$23)+LOOKUP(_xlfn.CEILING.MATH($R16),EOL!$C$21:$G$21,EOL!$C$23:$G$23)+_xlfn.IFNA(LOOKUP(_xlfn.CEILING.MATH($S16),EOL!$C$21:$G$21,EOL!$C$23:$G$23),0)+_xlfn.IFNA(LOOKUP(_xlfn.CEILING.MATH($T16),EOL!$C$21:$G$21,EOL!$C$23:$G$23),0)</f>
        <v>290.60384531062499</v>
      </c>
      <c r="BE16" s="17">
        <f>LOOKUP($O16,Other!$C$2:$K$2,Other!$C$4:$K$4)+LOOKUP($P16,Other!$C$2:$K$2,Other!$C$4:$K$4)+LOOKUP($Q16,Other!$C$2:$K$2,Other!$C$4:$K$4)+LOOKUP($R16,Other!$C$2:$K$2,Other!$C$4:$K$4)+_xlfn.IFNA(LOOKUP($S16,Other!$C$2:$K$2,Other!$C$4:$K$4),0)+_xlfn.IFNA(LOOKUP($T16,Other!$C$2:$K$2,Other!$C$4:$K$4),0)</f>
        <v>0</v>
      </c>
      <c r="BF16" s="4">
        <f t="shared" si="12"/>
        <v>1648.0642522235294</v>
      </c>
      <c r="BG16" s="4">
        <f>LOOKUP($Q16,Other!$C$2:$K$2,Other!$C$4:$K$4)+LOOKUP($R16,Other!$C$2:$K$2,Other!$C$4:$K$4)+_xlfn.IFNA(LOOKUP($S16,Other!$C$2:$K$2,Other!$C$4:$K$4),0)+_xlfn.IFNA(LOOKUP($T16,Other!$C$2:$K$2,Other!$C$4:$K$4),0)</f>
        <v>0</v>
      </c>
      <c r="BH16" s="4">
        <f>LOOKUP($O16,Other!$C$2:$K$2,Other!$C$4:$K$4)+LOOKUP($P16,Other!$C$2:$K$2,Other!$C$4:$K$4)</f>
        <v>0</v>
      </c>
      <c r="BI16" s="4">
        <f>_xlfn.XLOOKUP($AA16,Other!$C$5:$R$5,Other!$C$7:$R$7)</f>
        <v>708.00542869411777</v>
      </c>
      <c r="BJ16" s="4">
        <f>_xlfn.XLOOKUP($AB16,Other!$C$5:$R$5,Other!$C$9:$R$9)</f>
        <v>940.05882352941171</v>
      </c>
      <c r="BK16" s="18">
        <f>LOOKUP(_xlfn.CEILING.MATH($O16,1),Other!$C$21:$G$21,Other!$C$23:$G$23)+LOOKUP(_xlfn.CEILING.MATH($P16),Other!$C$21:$G$21,Other!$C$23:$G$23)+LOOKUP(_xlfn.CEILING.MATH($Q16),Other!$C$21:$G$21,Other!$C$23:$G$23)+LOOKUP(_xlfn.CEILING.MATH($R16),Other!$C$21:$G$21,Other!$C$23:$G$23)+_xlfn.IFNA(LOOKUP(_xlfn.CEILING.MATH($S16),Other!$C$21:$G$21,Other!$C$23:$G$23),0)+_xlfn.IFNA(LOOKUP(_xlfn.CEILING.MATH($T16),Other!$C$21:$G$21,Other!$C$23:$G$23),0)</f>
        <v>2037.6929856281251</v>
      </c>
    </row>
    <row r="17" spans="8:63" x14ac:dyDescent="0.25">
      <c r="H17" s="4" t="str">
        <f t="shared" si="1"/>
        <v>Mass-H1-CH</v>
      </c>
      <c r="I17" s="4" t="s">
        <v>11</v>
      </c>
      <c r="J17" s="4" t="s">
        <v>37</v>
      </c>
      <c r="K17" s="4" t="s">
        <v>43</v>
      </c>
      <c r="L17" s="4" t="str">
        <f t="shared" si="2"/>
        <v>Mass-H1</v>
      </c>
      <c r="M17" s="4">
        <f>H5</f>
        <v>8.1999999999999993</v>
      </c>
      <c r="N17" s="4">
        <v>5</v>
      </c>
      <c r="O17" s="4">
        <f>IF(MOD(N17,1)=0.5,INT(N17/2),N17/2)</f>
        <v>2.5</v>
      </c>
      <c r="P17" s="4">
        <f>N17-O17</f>
        <v>2.5</v>
      </c>
      <c r="Q17" s="4">
        <v>1.5</v>
      </c>
      <c r="R17" s="4">
        <v>2</v>
      </c>
      <c r="S17" s="4"/>
      <c r="T17" s="4"/>
      <c r="U17" s="4">
        <f t="shared" si="3"/>
        <v>8.5</v>
      </c>
      <c r="V17" s="4"/>
      <c r="W17" s="4">
        <f t="shared" si="4"/>
        <v>8.5</v>
      </c>
      <c r="X17" s="4">
        <f t="shared" si="5"/>
        <v>8</v>
      </c>
      <c r="Y17" s="4">
        <f t="shared" si="6"/>
        <v>3.5</v>
      </c>
      <c r="Z17" s="4">
        <f t="shared" si="7"/>
        <v>5</v>
      </c>
      <c r="AA17" s="4">
        <f>_xlfn.XLOOKUP(H17,Key!$F$8:$F$15,Key!$B$8:$B$15)</f>
        <v>5</v>
      </c>
      <c r="AB17" s="4">
        <f>_xlfn.XLOOKUP(H17,Key!$F$16:$F$23,Key!$E$16:$E$23)</f>
        <v>3</v>
      </c>
      <c r="AC17" s="17">
        <f>LOOKUP($O17,Manufacture!$C$2:$K$2,Manufacture!$C$4:$K$4)+LOOKUP($P17,Manufacture!$C$2:$K$2,Manufacture!$C$4:$K$4)+LOOKUP($Q17,Manufacture!$C$2:$K$2,Manufacture!$C$4:$K$4)+LOOKUP($R17,Manufacture!$C$2:$K$2,Manufacture!$C$4:$K$4)+_xlfn.IFNA(LOOKUP($S17,Manufacture!$C$2:$K$2,Manufacture!$C$4:$K$4),0)+_xlfn.IFNA(LOOKUP($T17,Manufacture!$C$2:$K$2,Manufacture!$C$4:$K$4),0)</f>
        <v>831.36713006518892</v>
      </c>
      <c r="AD17" s="4">
        <f t="shared" si="8"/>
        <v>1248.729155470588</v>
      </c>
      <c r="AE17" s="4">
        <f>LOOKUP($Q17,Manufacture!$C$2:$K$2,Manufacture!$C$4:$K$4)+LOOKUP($R17,Manufacture!$C$2:$K$2,Manufacture!$C$4:$K$4)+_xlfn.IFNA(LOOKUP($S17,Manufacture!$C$2:$K$2,Manufacture!$C$4:$K$4),0)+_xlfn.IFNA(LOOKUP($T17,Manufacture!$C$2:$K$2,Manufacture!$C$4:$K$4),0)</f>
        <v>307.61596880759294</v>
      </c>
      <c r="AF17" s="4">
        <f>LOOKUP($O17,Manufacture!$C$2:$K$2,Manufacture!$C$4:$K$4)+LOOKUP($P17,Manufacture!$C$2:$K$2,Manufacture!$C$4:$K$4)</f>
        <v>523.75116125759598</v>
      </c>
      <c r="AG17" s="4">
        <f>_xlfn.XLOOKUP($AA17,Manufacture!$C$5:$R$5,Manufacture!$C$7:$R$7)</f>
        <v>826.99974370588211</v>
      </c>
      <c r="AH17" s="4">
        <f>_xlfn.XLOOKUP($AB17,Manufacture!$C$5:$R$5,Manufacture!$C$9:$R$9)</f>
        <v>421.72941176470584</v>
      </c>
      <c r="AI17" s="18">
        <f>LOOKUP(_xlfn.CEILING.MATH($O17,1),Manufacture!$C$21:$G$21,Manufacture!$C$23:$G$23)+LOOKUP(_xlfn.CEILING.MATH($P17),Manufacture!$C$21:$G$21,Manufacture!$C$23:$G$23)+LOOKUP(_xlfn.CEILING.MATH($Q17),Manufacture!$C$21:$G$21,Manufacture!$C$23:$G$23)+LOOKUP(_xlfn.CEILING.MATH($R17),Manufacture!$C$21:$G$21,Manufacture!$C$23:$G$23)+_xlfn.IFNA(LOOKUP(_xlfn.CEILING.MATH($S17),Manufacture!$C$21:$G$21,Manufacture!$C$23:$G$23),0)+_xlfn.IFNA(LOOKUP(_xlfn.CEILING.MATH($T17),Manufacture!$C$21:$G$21,Manufacture!$C$23:$G$23),0)</f>
        <v>1306.4522828189647</v>
      </c>
      <c r="AJ17" s="17">
        <f>LOOKUP($O17,Distribution!$C$2:$K$2,Distribution!$C$4:$K$4)+LOOKUP($P17,Distribution!$C$2:$K$2,Distribution!$C$4:$K$4)+LOOKUP($Q17,Distribution!$C$2:$K$2,Distribution!$C$4:$K$4)+LOOKUP($R17,Distribution!$C$2:$K$2,Distribution!$C$4:$K$4)+_xlfn.IFNA(LOOKUP($S17,Distribution!$C$2:$K$2,Distribution!$C$4:$K$4),0)+_xlfn.IFNA(LOOKUP($T17,Distribution!$C$2:$K$2,Distribution!$C$4:$K$4),0)</f>
        <v>38.89839479029412</v>
      </c>
      <c r="AK17" s="4">
        <f t="shared" si="9"/>
        <v>28.282692018395689</v>
      </c>
      <c r="AL17" s="4">
        <f>LOOKUP($Q17,Distribution!$C$2:$K$2,Distribution!$C$4:$K$4)+LOOKUP($R17,Distribution!$C$2:$K$2,Distribution!$C$4:$K$4)+_xlfn.IFNA(LOOKUP($S17,Distribution!$C$2:$K$2,Distribution!$C$4:$K$4),0)+_xlfn.IFNA(LOOKUP($T17,Distribution!$C$2:$K$2,Distribution!$C$4:$K$4),0)</f>
        <v>14.968673038694117</v>
      </c>
      <c r="AM17" s="4">
        <f>LOOKUP($O17,Distribution!$C$2:$K$2,Distribution!$C$4:$K$4)+LOOKUP($P17,Distribution!$C$2:$K$2,Distribution!$C$4:$K$4)</f>
        <v>23.929721751599999</v>
      </c>
      <c r="AN17" s="4">
        <f>_xlfn.XLOOKUP($AA17,Distribution!$C$5:$R$5,Distribution!$C$7:$R$7)</f>
        <v>17.525923783101572</v>
      </c>
      <c r="AO17" s="4">
        <f>_xlfn.XLOOKUP($AB17,Distribution!$C$5:$R$5,Distribution!$C$9:$R$9)</f>
        <v>10.756768235294118</v>
      </c>
      <c r="AP17" s="18">
        <f>LOOKUP(_xlfn.CEILING.MATH($O17,1),Distribution!$C$21:$G$21,Distribution!$C$23:$G$23)+LOOKUP(_xlfn.CEILING.MATH($P17),Distribution!$C$21:$G$21,Distribution!$C$23:$G$23)+LOOKUP(_xlfn.CEILING.MATH($Q17),Distribution!$C$21:$G$21,Distribution!$C$23:$G$23)+LOOKUP(_xlfn.CEILING.MATH($R17),Distribution!$C$21:$G$21,Distribution!$C$23:$G$23)+_xlfn.IFNA(LOOKUP(_xlfn.CEILING.MATH($S17),Distribution!$C$21:$G$21,Distribution!$C$23:$G$23),0)+_xlfn.IFNA(LOOKUP(_xlfn.CEILING.MATH($T17),Distribution!$C$21:$G$21,Distribution!$C$23:$G$23),0)</f>
        <v>32.833426366311663</v>
      </c>
      <c r="AQ17" s="17">
        <f>LOOKUP($O17,Installation!$C$2:$K$2,Installation!$C$4:$K$4)+LOOKUP($P17,Installation!$C$2:$K$2,Installation!$C$4:$K$4)+LOOKUP($Q17,Installation!$C$2:$K$2,Installation!$C$4:$K$4)+LOOKUP($R17,Installation!$C$2:$K$2,Installation!$C$4:$K$4)+_xlfn.IFNA(LOOKUP($S17,Installation!$C$2:$K$2,Installation!$C$4:$K$4),0)+_xlfn.IFNA(LOOKUP($T17,Installation!$C$2:$K$2,Installation!$C$4:$K$4),0)</f>
        <v>4.4000985216968802</v>
      </c>
      <c r="AR17" s="4">
        <f t="shared" si="10"/>
        <v>81.111503154705872</v>
      </c>
      <c r="AS17" s="4">
        <f>LOOKUP($Q17,Installation!$C$2:$K$2,Installation!$C$4:$K$4)+LOOKUP($R17,Installation!$C$2:$K$2,Installation!$C$4:$K$4)+_xlfn.IFNA(LOOKUP($S17,Installation!$C$2:$K$2,Installation!$C$4:$K$4),0)+_xlfn.IFNA(LOOKUP($T17,Installation!$C$2:$K$2,Installation!$C$4:$K$4),0)</f>
        <v>1.545996429343065</v>
      </c>
      <c r="AT17" s="4">
        <f>LOOKUP($O17,Installation!$C$2:$K$2,Installation!$C$4:$K$4)+LOOKUP($P17,Installation!$C$2:$K$2,Installation!$C$4:$K$4)</f>
        <v>2.8541020923538154</v>
      </c>
      <c r="AU17" s="4">
        <f>_xlfn.XLOOKUP($AA17,Installation!$C$5:$R$5,Installation!$C$7:$R$7)</f>
        <v>49.364444331176465</v>
      </c>
      <c r="AV17" s="4">
        <f>_xlfn.XLOOKUP($AB17,Installation!$C$5:$R$5,Installation!$C$9:$R$9)</f>
        <v>31.747058823529407</v>
      </c>
      <c r="AW17" s="18">
        <f>LOOKUP(_xlfn.CEILING.MATH($O17,1),Installation!$C$21:$G$21,Installation!$C$23:$G$23)+LOOKUP(_xlfn.CEILING.MATH($P17),Installation!$C$21:$G$21,Installation!$C$23:$G$23)+LOOKUP(_xlfn.CEILING.MATH($Q17),Installation!$C$21:$G$21,Installation!$C$23:$G$23)+LOOKUP(_xlfn.CEILING.MATH($R17),Installation!$C$21:$G$21,Installation!$C$23:$G$23)+_xlfn.IFNA(LOOKUP(_xlfn.CEILING.MATH($S17),Installation!$C$21:$G$21,Installation!$C$23:$G$23),0)+_xlfn.IFNA(LOOKUP(_xlfn.CEILING.MATH($T17),Installation!$C$21:$G$21,Installation!$C$23:$G$23),0)</f>
        <v>9.0202809768750001</v>
      </c>
      <c r="AX17" s="17">
        <f>LOOKUP($O17,EOL!$C$2:$K$2,EOL!$C$4:$K$4)+LOOKUP($P17,EOL!$C$2:$K$2,EOL!$C$4:$K$4)+LOOKUP($Q17,EOL!$C$2:$K$2,EOL!$C$4:$K$4)+LOOKUP($R17,EOL!$C$2:$K$2,EOL!$C$4:$K$4)+_xlfn.IFNA(LOOKUP($S17,EOL!$C$2:$K$2,EOL!$C$4:$K$4),0)+_xlfn.IFNA(LOOKUP($T17,EOL!$C$2:$K$2,EOL!$C$4:$K$4),0)</f>
        <v>46.096994233243443</v>
      </c>
      <c r="AY17" s="4">
        <f t="shared" si="11"/>
        <v>246.49026335294118</v>
      </c>
      <c r="AZ17" s="4">
        <f>LOOKUP($Q17,EOL!$C$2:$K$2,EOL!$C$4:$K$4)+LOOKUP($R17,EOL!$C$2:$K$2,EOL!$C$4:$K$4)+_xlfn.IFNA(LOOKUP($S17,EOL!$C$2:$K$2,EOL!$C$4:$K$4),0)+_xlfn.IFNA(LOOKUP($T17,EOL!$C$2:$K$2,EOL!$C$4:$K$4),0)</f>
        <v>17.71927604815416</v>
      </c>
      <c r="BA17" s="4">
        <f>LOOKUP($O17,EOL!$C$2:$K$2,EOL!$C$4:$K$4)+LOOKUP($P17,EOL!$C$2:$K$2,EOL!$C$4:$K$4)</f>
        <v>28.377718185089282</v>
      </c>
      <c r="BB17" s="4">
        <f>_xlfn.XLOOKUP($AA17,EOL!$C$5:$R$5,EOL!$C$6:$R$6)</f>
        <v>152.48438100000001</v>
      </c>
      <c r="BC17" s="4">
        <f>_xlfn.XLOOKUP($AB17,EOL!$C$5:$R$5,EOL!$C$9:$R$9)</f>
        <v>94.005882352941171</v>
      </c>
      <c r="BD17" s="18">
        <f>LOOKUP(_xlfn.CEILING.MATH($O17,1),EOL!$C$21:$G$21,EOL!$C$23:$G$23)+LOOKUP(_xlfn.CEILING.MATH($P17),EOL!$C$21:$G$21,EOL!$C$23:$G$23)+LOOKUP(_xlfn.CEILING.MATH($Q17),EOL!$C$21:$G$21,EOL!$C$23:$G$23)+LOOKUP(_xlfn.CEILING.MATH($R17),EOL!$C$21:$G$21,EOL!$C$23:$G$23)+_xlfn.IFNA(LOOKUP(_xlfn.CEILING.MATH($S17),EOL!$C$21:$G$21,EOL!$C$23:$G$23),0)+_xlfn.IFNA(LOOKUP(_xlfn.CEILING.MATH($T17),EOL!$C$21:$G$21,EOL!$C$23:$G$23),0)</f>
        <v>208.12350202875001</v>
      </c>
      <c r="BE17" s="17">
        <f>LOOKUP($O17,Other!$C$2:$K$2,Other!$C$4:$K$4)+LOOKUP($P17,Other!$C$2:$K$2,Other!$C$4:$K$4)+LOOKUP($Q17,Other!$C$2:$K$2,Other!$C$4:$K$4)+LOOKUP($R17,Other!$C$2:$K$2,Other!$C$4:$K$4)+_xlfn.IFNA(LOOKUP($S17,Other!$C$2:$K$2,Other!$C$4:$K$4),0)+_xlfn.IFNA(LOOKUP($T17,Other!$C$2:$K$2,Other!$C$4:$K$4),0)</f>
        <v>0</v>
      </c>
      <c r="BF17" s="4">
        <f t="shared" si="12"/>
        <v>1275.7191796588236</v>
      </c>
      <c r="BG17" s="4">
        <f>LOOKUP($Q17,Other!$C$2:$K$2,Other!$C$4:$K$4)+LOOKUP($R17,Other!$C$2:$K$2,Other!$C$4:$K$4)+_xlfn.IFNA(LOOKUP($S17,Other!$C$2:$K$2,Other!$C$4:$K$4),0)+_xlfn.IFNA(LOOKUP($T17,Other!$C$2:$K$2,Other!$C$4:$K$4),0)</f>
        <v>0</v>
      </c>
      <c r="BH17" s="4">
        <f>LOOKUP($O17,Other!$C$2:$K$2,Other!$C$4:$K$4)+LOOKUP($P17,Other!$C$2:$K$2,Other!$C$4:$K$4)</f>
        <v>0</v>
      </c>
      <c r="BI17" s="4">
        <f>_xlfn.XLOOKUP($AA17,Other!$C$5:$R$5,Other!$C$7:$R$7)</f>
        <v>627.18976789411772</v>
      </c>
      <c r="BJ17" s="4">
        <f>_xlfn.XLOOKUP($AB17,Other!$C$5:$R$5,Other!$C$9:$R$9)</f>
        <v>648.52941176470586</v>
      </c>
      <c r="BK17" s="18">
        <f>LOOKUP(_xlfn.CEILING.MATH($O17,1),Other!$C$21:$G$21,Other!$C$23:$G$23)+LOOKUP(_xlfn.CEILING.MATH($P17),Other!$C$21:$G$21,Other!$C$23:$G$23)+LOOKUP(_xlfn.CEILING.MATH($Q17),Other!$C$21:$G$21,Other!$C$23:$G$23)+LOOKUP(_xlfn.CEILING.MATH($R17),Other!$C$21:$G$21,Other!$C$23:$G$23)+_xlfn.IFNA(LOOKUP(_xlfn.CEILING.MATH($S17),Other!$C$21:$G$21,Other!$C$23:$G$23),0)+_xlfn.IFNA(LOOKUP(_xlfn.CEILING.MATH($T17),Other!$C$21:$G$21,Other!$C$23:$G$23),0)</f>
        <v>1402.69138377375</v>
      </c>
    </row>
    <row r="18" spans="8:63" x14ac:dyDescent="0.25">
      <c r="H18" s="4" t="str">
        <f t="shared" si="1"/>
        <v>Mod-Nom-AK</v>
      </c>
      <c r="I18" s="4" t="s">
        <v>3</v>
      </c>
      <c r="J18" s="4" t="s">
        <v>38</v>
      </c>
      <c r="K18" s="4" t="s">
        <v>42</v>
      </c>
      <c r="L18" s="4" t="str">
        <f t="shared" si="2"/>
        <v>Mod-Nom</v>
      </c>
      <c r="M18" s="4">
        <f>K8</f>
        <v>11.000000000000002</v>
      </c>
      <c r="N18" s="4">
        <v>8</v>
      </c>
      <c r="O18" s="4">
        <v>3</v>
      </c>
      <c r="P18" s="4">
        <v>5</v>
      </c>
      <c r="Q18" s="4">
        <v>1</v>
      </c>
      <c r="R18" s="4">
        <v>1</v>
      </c>
      <c r="S18" s="4">
        <v>1</v>
      </c>
      <c r="T18" s="4">
        <v>1</v>
      </c>
      <c r="U18" s="4">
        <f t="shared" si="3"/>
        <v>12</v>
      </c>
      <c r="V18" s="4"/>
      <c r="W18" s="4">
        <f t="shared" si="4"/>
        <v>12</v>
      </c>
      <c r="X18" s="4">
        <f t="shared" si="5"/>
        <v>11</v>
      </c>
      <c r="Y18" s="4">
        <f t="shared" si="6"/>
        <v>4</v>
      </c>
      <c r="Z18" s="4">
        <f t="shared" si="7"/>
        <v>8</v>
      </c>
      <c r="AA18" s="4">
        <f>_xlfn.XLOOKUP(H18,Key!$F$8:$F$15,Key!$B$8:$B$15)</f>
        <v>8</v>
      </c>
      <c r="AB18" s="4">
        <f>_xlfn.XLOOKUP(H18,Key!$F$16:$F$23,Key!$E$16:$E$23)</f>
        <v>3</v>
      </c>
      <c r="AC18" s="17">
        <f>LOOKUP($O18,Manufacture!$C$2:$K$2,Manufacture!$C$4:$K$4)+LOOKUP($P18,Manufacture!$C$2:$K$2,Manufacture!$C$4:$K$4)+LOOKUP($Q18,Manufacture!$C$2:$K$2,Manufacture!$C$4:$K$4)+LOOKUP($R18,Manufacture!$C$2:$K$2,Manufacture!$C$4:$K$4)+_xlfn.IFNA(LOOKUP($S18,Manufacture!$C$2:$K$2,Manufacture!$C$4:$K$4),0)+_xlfn.IFNA(LOOKUP($T18,Manufacture!$C$2:$K$2,Manufacture!$C$4:$K$4),0)</f>
        <v>1286.5077090545929</v>
      </c>
      <c r="AD18" s="4">
        <f t="shared" si="8"/>
        <v>1869.5477896941175</v>
      </c>
      <c r="AE18" s="4">
        <f>LOOKUP($Q18,Manufacture!$C$2:$K$2,Manufacture!$C$4:$K$4)+LOOKUP($R18,Manufacture!$C$2:$K$2,Manufacture!$C$4:$K$4)+_xlfn.IFNA(LOOKUP($S18,Manufacture!$C$2:$K$2,Manufacture!$C$4:$K$4),0)+_xlfn.IFNA(LOOKUP($T18,Manufacture!$C$2:$K$2,Manufacture!$C$4:$K$4),0)</f>
        <v>478.01077307880126</v>
      </c>
      <c r="AF18" s="4">
        <f>LOOKUP($O18,Manufacture!$C$2:$K$2,Manufacture!$C$4:$K$4)+LOOKUP($P18,Manufacture!$C$2:$K$2,Manufacture!$C$4:$K$4)</f>
        <v>808.49693597579153</v>
      </c>
      <c r="AG18" s="4">
        <f>_xlfn.XLOOKUP($AA18,Manufacture!$C$5:$R$5,Manufacture!$C$7:$R$7)</f>
        <v>1026.0889661647059</v>
      </c>
      <c r="AH18" s="4">
        <f>_xlfn.XLOOKUP($AB18,Manufacture!$C$5:$R$5,Manufacture!$C$11:$R$11)</f>
        <v>843.45882352941169</v>
      </c>
      <c r="AI18" s="18">
        <f>LOOKUP(_xlfn.CEILING.MATH($O18,1),Manufacture!$C$21:$G$21,Manufacture!$C$23:$G$23)+LOOKUP(_xlfn.CEILING.MATH($P18),Manufacture!$C$21:$G$21,Manufacture!$C$23:$G$23)+LOOKUP(_xlfn.CEILING.MATH($Q18),Manufacture!$C$21:$G$21,Manufacture!$C$23:$G$23)+LOOKUP(_xlfn.CEILING.MATH($R18),Manufacture!$C$21:$G$21,Manufacture!$C$23:$G$23)+_xlfn.IFNA(LOOKUP(_xlfn.CEILING.MATH($S18),Manufacture!$C$21:$G$21,Manufacture!$C$23:$G$23),0)+_xlfn.IFNA(LOOKUP(_xlfn.CEILING.MATH($T18),Manufacture!$C$21:$G$21,Manufacture!$C$23:$G$23),0)</f>
        <v>1737.7230853657481</v>
      </c>
      <c r="AJ18" s="17">
        <f>LOOKUP($O18,Distribution!$C$2:$K$2,Distribution!$C$4:$K$4)+LOOKUP($P18,Distribution!$C$2:$K$2,Distribution!$C$4:$K$4)+LOOKUP($Q18,Distribution!$C$2:$K$2,Distribution!$C$4:$K$4)+LOOKUP($R18,Distribution!$C$2:$K$2,Distribution!$C$4:$K$4)+_xlfn.IFNA(LOOKUP($S18,Distribution!$C$2:$K$2,Distribution!$C$4:$K$4),0)+_xlfn.IFNA(LOOKUP($T18,Distribution!$C$2:$K$2,Distribution!$C$4:$K$4),0)</f>
        <v>58.322398297552937</v>
      </c>
      <c r="AK18" s="4">
        <f t="shared" si="9"/>
        <v>44.044790198347627</v>
      </c>
      <c r="AL18" s="4">
        <f>LOOKUP($Q18,Distribution!$C$2:$K$2,Distribution!$C$4:$K$4)+LOOKUP($R18,Distribution!$C$2:$K$2,Distribution!$C$4:$K$4)+_xlfn.IFNA(LOOKUP($S18,Distribution!$C$2:$K$2,Distribution!$C$4:$K$4),0)+_xlfn.IFNA(LOOKUP($T18,Distribution!$C$2:$K$2,Distribution!$C$4:$K$4),0)</f>
        <v>20.925909588705881</v>
      </c>
      <c r="AM18" s="4">
        <f>LOOKUP($O18,Distribution!$C$2:$K$2,Distribution!$C$4:$K$4)+LOOKUP($P18,Distribution!$C$2:$K$2,Distribution!$C$4:$K$4)</f>
        <v>37.396488708847059</v>
      </c>
      <c r="AN18" s="4">
        <f>_xlfn.XLOOKUP($AA18,Distribution!$C$5:$R$5,Distribution!$C$7:$R$7)</f>
        <v>22.531253727759392</v>
      </c>
      <c r="AO18" s="4">
        <f>_xlfn.XLOOKUP($AB18,Distribution!$C$5:$R$5,Distribution!$C$11:$R$11)</f>
        <v>21.513536470588235</v>
      </c>
      <c r="AP18" s="18">
        <f>LOOKUP(_xlfn.CEILING.MATH($O18,1),Distribution!$C$21:$G$21,Distribution!$C$23:$G$23)+LOOKUP(_xlfn.CEILING.MATH($P18),Distribution!$C$21:$G$21,Distribution!$C$23:$G$23)+LOOKUP(_xlfn.CEILING.MATH($Q18),Distribution!$C$21:$G$21,Distribution!$C$23:$G$23)+LOOKUP(_xlfn.CEILING.MATH($R18),Distribution!$C$21:$G$21,Distribution!$C$23:$G$23)+_xlfn.IFNA(LOOKUP(_xlfn.CEILING.MATH($S18),Distribution!$C$21:$G$21,Distribution!$C$23:$G$23),0)+_xlfn.IFNA(LOOKUP(_xlfn.CEILING.MATH($T18),Distribution!$C$21:$G$21,Distribution!$C$23:$G$23),0)</f>
        <v>43.673549034080558</v>
      </c>
      <c r="AQ18" s="17">
        <f>LOOKUP($O18,Installation!$C$2:$K$2,Installation!$C$4:$K$4)+LOOKUP($P18,Installation!$C$2:$K$2,Installation!$C$4:$K$4)+LOOKUP($Q18,Installation!$C$2:$K$2,Installation!$C$4:$K$4)+LOOKUP($R18,Installation!$C$2:$K$2,Installation!$C$4:$K$4)+_xlfn.IFNA(LOOKUP($S18,Installation!$C$2:$K$2,Installation!$C$4:$K$4),0)+_xlfn.IFNA(LOOKUP($T18,Installation!$C$2:$K$2,Installation!$C$4:$K$4),0)</f>
        <v>7.0757825393014615</v>
      </c>
      <c r="AR18" s="4">
        <f t="shared" si="10"/>
        <v>141.5319972952941</v>
      </c>
      <c r="AS18" s="4">
        <f>LOOKUP($Q18,Installation!$C$2:$K$2,Installation!$C$4:$K$4)+LOOKUP($R18,Installation!$C$2:$K$2,Installation!$C$4:$K$4)+_xlfn.IFNA(LOOKUP($S18,Installation!$C$2:$K$2,Installation!$C$4:$K$4),0)+_xlfn.IFNA(LOOKUP($T18,Installation!$C$2:$K$2,Installation!$C$4:$K$4),0)</f>
        <v>2.7351567091876587</v>
      </c>
      <c r="AT18" s="4">
        <f>LOOKUP($O18,Installation!$C$2:$K$2,Installation!$C$4:$K$4)+LOOKUP($P18,Installation!$C$2:$K$2,Installation!$C$4:$K$4)</f>
        <v>4.3406258301138019</v>
      </c>
      <c r="AU18" s="4">
        <f>_xlfn.XLOOKUP($AA18,Installation!$C$5:$R$5,Installation!$C$7:$R$7)</f>
        <v>78.161409059999983</v>
      </c>
      <c r="AV18" s="4">
        <f>_xlfn.XLOOKUP($AB18,Installation!$C$5:$R$5,Installation!$C$11:$R$11)</f>
        <v>63.370588235294115</v>
      </c>
      <c r="AW18" s="18">
        <f>LOOKUP(_xlfn.CEILING.MATH($O18,1),Installation!$C$21:$G$21,Installation!$C$23:$G$23)+LOOKUP(_xlfn.CEILING.MATH($P18),Installation!$C$21:$G$21,Installation!$C$23:$G$23)+LOOKUP(_xlfn.CEILING.MATH($Q18),Installation!$C$21:$G$21,Installation!$C$23:$G$23)+LOOKUP(_xlfn.CEILING.MATH($R18),Installation!$C$21:$G$21,Installation!$C$23:$G$23)+_xlfn.IFNA(LOOKUP(_xlfn.CEILING.MATH($S18),Installation!$C$21:$G$21,Installation!$C$23:$G$23),0)+_xlfn.IFNA(LOOKUP(_xlfn.CEILING.MATH($T18),Installation!$C$21:$G$21,Installation!$C$23:$G$23),0)</f>
        <v>10.397347025625006</v>
      </c>
      <c r="AX18" s="17">
        <f>LOOKUP($O18,EOL!$C$2:$K$2,EOL!$C$4:$K$4)+LOOKUP($P18,EOL!$C$2:$K$2,EOL!$C$4:$K$4)+LOOKUP($Q18,EOL!$C$2:$K$2,EOL!$C$4:$K$4)+LOOKUP($R18,EOL!$C$2:$K$2,EOL!$C$4:$K$4)+_xlfn.IFNA(LOOKUP($S18,EOL!$C$2:$K$2,EOL!$C$4:$K$4),0)+_xlfn.IFNA(LOOKUP($T18,EOL!$C$2:$K$2,EOL!$C$4:$K$4),0)</f>
        <v>69.179086984918428</v>
      </c>
      <c r="AY18" s="4">
        <f t="shared" si="11"/>
        <v>371.34623669411764</v>
      </c>
      <c r="AZ18" s="4">
        <f>LOOKUP($Q18,EOL!$C$2:$K$2,EOL!$C$4:$K$4)+LOOKUP($R18,EOL!$C$2:$K$2,EOL!$C$4:$K$4)+_xlfn.IFNA(LOOKUP($S18,EOL!$C$2:$K$2,EOL!$C$4:$K$4),0)+_xlfn.IFNA(LOOKUP($T18,EOL!$C$2:$K$2,EOL!$C$4:$K$4),0)</f>
        <v>24.847301229479747</v>
      </c>
      <c r="BA18" s="4">
        <f>LOOKUP($O18,EOL!$C$2:$K$2,EOL!$C$4:$K$4)+LOOKUP($P18,EOL!$C$2:$K$2,EOL!$C$4:$K$4)</f>
        <v>44.331785755438688</v>
      </c>
      <c r="BB18" s="4">
        <f>_xlfn.XLOOKUP($AA18,EOL!$C$5:$R$5,EOL!$C$6:$R$6)</f>
        <v>183.4580014</v>
      </c>
      <c r="BC18" s="4">
        <f>_xlfn.XLOOKUP($AB18,EOL!$C$5:$R$5,EOL!$C$11:$R$11)</f>
        <v>187.88823529411764</v>
      </c>
      <c r="BD18" s="18">
        <f>LOOKUP(_xlfn.CEILING.MATH($O18,1),EOL!$C$21:$G$21,EOL!$C$23:$G$23)+LOOKUP(_xlfn.CEILING.MATH($P18),EOL!$C$21:$G$21,EOL!$C$23:$G$23)+LOOKUP(_xlfn.CEILING.MATH($Q18),EOL!$C$21:$G$21,EOL!$C$23:$G$23)+LOOKUP(_xlfn.CEILING.MATH($R18),EOL!$C$21:$G$21,EOL!$C$23:$G$23)+_xlfn.IFNA(LOOKUP(_xlfn.CEILING.MATH($S18),EOL!$C$21:$G$21,EOL!$C$23:$G$23),0)+_xlfn.IFNA(LOOKUP(_xlfn.CEILING.MATH($T18),EOL!$C$21:$G$21,EOL!$C$23:$G$23),0)</f>
        <v>276.83653449374992</v>
      </c>
      <c r="BE18" s="17">
        <f>LOOKUP($O18,Other!$C$2:$K$2,Other!$C$4:$K$4)+LOOKUP($P18,Other!$C$2:$K$2,Other!$C$4:$K$4)+LOOKUP($Q18,Other!$C$2:$K$2,Other!$C$4:$K$4)+LOOKUP($R18,Other!$C$2:$K$2,Other!$C$4:$K$4)+_xlfn.IFNA(LOOKUP($S18,Other!$C$2:$K$2,Other!$C$4:$K$4),0)+_xlfn.IFNA(LOOKUP($T18,Other!$C$2:$K$2,Other!$C$4:$K$4),0)</f>
        <v>0</v>
      </c>
      <c r="BF18" s="4">
        <f t="shared" si="12"/>
        <v>1993.5191578235294</v>
      </c>
      <c r="BG18" s="4">
        <f>LOOKUP($Q18,Other!$C$2:$K$2,Other!$C$4:$K$4)+LOOKUP($R18,Other!$C$2:$K$2,Other!$C$4:$K$4)+_xlfn.IFNA(LOOKUP($S18,Other!$C$2:$K$2,Other!$C$4:$K$4),0)+_xlfn.IFNA(LOOKUP($T18,Other!$C$2:$K$2,Other!$C$4:$K$4),0)</f>
        <v>0</v>
      </c>
      <c r="BH18" s="4">
        <f>LOOKUP($O18,Other!$C$2:$K$2,Other!$C$4:$K$4)+LOOKUP($P18,Other!$C$2:$K$2,Other!$C$4:$K$4)</f>
        <v>0</v>
      </c>
      <c r="BI18" s="4">
        <f>_xlfn.XLOOKUP($AA18,Other!$C$5:$R$5,Other!$C$7:$R$7)</f>
        <v>696.46033429411773</v>
      </c>
      <c r="BJ18" s="4">
        <f>_xlfn.XLOOKUP($AB18,Other!$C$5:$R$5,Other!$C$11:$R$11)</f>
        <v>1297.0588235294117</v>
      </c>
      <c r="BK18" s="18">
        <f>LOOKUP(_xlfn.CEILING.MATH($O18,1),Other!$C$21:$G$21,Other!$C$23:$G$23)+LOOKUP(_xlfn.CEILING.MATH($P18),Other!$C$21:$G$21,Other!$C$23:$G$23)+LOOKUP(_xlfn.CEILING.MATH($Q18),Other!$C$21:$G$21,Other!$C$23:$G$23)+LOOKUP(_xlfn.CEILING.MATH($R18),Other!$C$21:$G$21,Other!$C$23:$G$23)+_xlfn.IFNA(LOOKUP(_xlfn.CEILING.MATH($S18),Other!$C$21:$G$21,Other!$C$23:$G$23),0)+_xlfn.IFNA(LOOKUP(_xlfn.CEILING.MATH($T18),Other!$C$21:$G$21,Other!$C$23:$G$23),0)</f>
        <v>1831.8935320087501</v>
      </c>
    </row>
    <row r="19" spans="8:63" x14ac:dyDescent="0.25">
      <c r="H19" s="4" t="str">
        <f t="shared" si="1"/>
        <v>Mod-H1-AK</v>
      </c>
      <c r="I19" s="4" t="s">
        <v>3</v>
      </c>
      <c r="J19" s="4" t="s">
        <v>38</v>
      </c>
      <c r="K19" s="4" t="s">
        <v>43</v>
      </c>
      <c r="L19" s="4" t="str">
        <f t="shared" si="2"/>
        <v>Mod-H1</v>
      </c>
      <c r="M19" s="4">
        <f>K9</f>
        <v>6.7</v>
      </c>
      <c r="N19" s="4">
        <v>5</v>
      </c>
      <c r="O19" s="4">
        <v>2.5</v>
      </c>
      <c r="P19" s="4">
        <v>2</v>
      </c>
      <c r="Q19" s="4">
        <v>1</v>
      </c>
      <c r="R19" s="4">
        <v>1</v>
      </c>
      <c r="S19" s="4">
        <v>1</v>
      </c>
      <c r="T19" s="4">
        <v>1</v>
      </c>
      <c r="U19" s="4">
        <f t="shared" si="3"/>
        <v>8.5</v>
      </c>
      <c r="V19" s="4"/>
      <c r="W19" s="4">
        <f t="shared" si="4"/>
        <v>8.5</v>
      </c>
      <c r="X19" s="4">
        <f t="shared" si="5"/>
        <v>6.5</v>
      </c>
      <c r="Y19" s="4">
        <f t="shared" si="6"/>
        <v>4</v>
      </c>
      <c r="Z19" s="4">
        <f t="shared" si="7"/>
        <v>4.5</v>
      </c>
      <c r="AA19" s="4">
        <f>_xlfn.XLOOKUP(H19,Key!$F$8:$F$15,Key!$B$8:$B$15)</f>
        <v>4.5</v>
      </c>
      <c r="AB19" s="4">
        <f>_xlfn.XLOOKUP(H19,Key!$F$16:$F$23,Key!$E$16:$E$23)</f>
        <v>2</v>
      </c>
      <c r="AC19" s="17">
        <f>LOOKUP($O19,Manufacture!$C$2:$K$2,Manufacture!$C$4:$K$4)+LOOKUP($P19,Manufacture!$C$2:$K$2,Manufacture!$C$4:$K$4)+LOOKUP($Q19,Manufacture!$C$2:$K$2,Manufacture!$C$4:$K$4)+LOOKUP($R19,Manufacture!$C$2:$K$2,Manufacture!$C$4:$K$4)+_xlfn.IFNA(LOOKUP($S19,Manufacture!$C$2:$K$2,Manufacture!$C$4:$K$4),0)+_xlfn.IFNA(LOOKUP($T19,Manufacture!$C$2:$K$2,Manufacture!$C$4:$K$4),0)</f>
        <v>905.12943515609447</v>
      </c>
      <c r="AD19" s="4">
        <f t="shared" si="8"/>
        <v>1637.2770301588232</v>
      </c>
      <c r="AE19" s="4">
        <f>LOOKUP($Q19,Manufacture!$C$2:$K$2,Manufacture!$C$4:$K$4)+LOOKUP($R19,Manufacture!$C$2:$K$2,Manufacture!$C$4:$K$4)+_xlfn.IFNA(LOOKUP($S19,Manufacture!$C$2:$K$2,Manufacture!$C$4:$K$4),0)+_xlfn.IFNA(LOOKUP($T19,Manufacture!$C$2:$K$2,Manufacture!$C$4:$K$4),0)</f>
        <v>478.01077307880126</v>
      </c>
      <c r="AF19" s="4">
        <f>LOOKUP($O19,Manufacture!$C$2:$K$2,Manufacture!$C$4:$K$4)+LOOKUP($P19,Manufacture!$C$2:$K$2,Manufacture!$C$4:$K$4)</f>
        <v>427.11866207729321</v>
      </c>
      <c r="AG19" s="4">
        <f>_xlfn.XLOOKUP($AA19,Manufacture!$C$5:$R$5,Manufacture!$C$7:$R$7)</f>
        <v>793.81820662941152</v>
      </c>
      <c r="AH19" s="4">
        <f>_xlfn.XLOOKUP($AB19,Manufacture!$C$5:$R$5,Manufacture!$C$11:$R$11)</f>
        <v>843.45882352941169</v>
      </c>
      <c r="AI19" s="18">
        <f>LOOKUP(_xlfn.CEILING.MATH($O19,1),Manufacture!$C$21:$G$21,Manufacture!$C$23:$G$23)+LOOKUP(_xlfn.CEILING.MATH($P19),Manufacture!$C$21:$G$21,Manufacture!$C$23:$G$23)+LOOKUP(_xlfn.CEILING.MATH($Q19),Manufacture!$C$21:$G$21,Manufacture!$C$23:$G$23)+LOOKUP(_xlfn.CEILING.MATH($R19),Manufacture!$C$21:$G$21,Manufacture!$C$23:$G$23)+_xlfn.IFNA(LOOKUP(_xlfn.CEILING.MATH($S19),Manufacture!$C$21:$G$21,Manufacture!$C$23:$G$23),0)+_xlfn.IFNA(LOOKUP(_xlfn.CEILING.MATH($T19),Manufacture!$C$21:$G$21,Manufacture!$C$23:$G$23),0)</f>
        <v>1515.8288082030419</v>
      </c>
      <c r="AJ19" s="17">
        <f>LOOKUP($O19,Distribution!$C$2:$K$2,Distribution!$C$4:$K$4)+LOOKUP($P19,Distribution!$C$2:$K$2,Distribution!$C$4:$K$4)+LOOKUP($Q19,Distribution!$C$2:$K$2,Distribution!$C$4:$K$4)+LOOKUP($R19,Distribution!$C$2:$K$2,Distribution!$C$4:$K$4)+_xlfn.IFNA(LOOKUP($S19,Distribution!$C$2:$K$2,Distribution!$C$4:$K$4),0)+_xlfn.IFNA(LOOKUP($T19,Distribution!$C$2:$K$2,Distribution!$C$4:$K$4),0)</f>
        <v>41.126060024576468</v>
      </c>
      <c r="AK19" s="4">
        <f t="shared" si="9"/>
        <v>38.205238593685706</v>
      </c>
      <c r="AL19" s="4">
        <f>LOOKUP($Q19,Distribution!$C$2:$K$2,Distribution!$C$4:$K$4)+LOOKUP($R19,Distribution!$C$2:$K$2,Distribution!$C$4:$K$4)+_xlfn.IFNA(LOOKUP($S19,Distribution!$C$2:$K$2,Distribution!$C$4:$K$4),0)+_xlfn.IFNA(LOOKUP($T19,Distribution!$C$2:$K$2,Distribution!$C$4:$K$4),0)</f>
        <v>20.925909588705881</v>
      </c>
      <c r="AM19" s="4">
        <f>LOOKUP($O19,Distribution!$C$2:$K$2,Distribution!$C$4:$K$4)+LOOKUP($P19,Distribution!$C$2:$K$2,Distribution!$C$4:$K$4)</f>
        <v>20.20015043587059</v>
      </c>
      <c r="AN19" s="4">
        <f>_xlfn.XLOOKUP($AA19,Distribution!$C$5:$R$5,Distribution!$C$7:$R$7)</f>
        <v>16.691702123097468</v>
      </c>
      <c r="AO19" s="4">
        <f>_xlfn.XLOOKUP($AB19,Distribution!$C$5:$R$5,Distribution!$C$11:$R$11)</f>
        <v>21.513536470588235</v>
      </c>
      <c r="AP19" s="18">
        <f>LOOKUP(_xlfn.CEILING.MATH($O19,1),Distribution!$C$21:$G$21,Distribution!$C$23:$G$23)+LOOKUP(_xlfn.CEILING.MATH($P19),Distribution!$C$21:$G$21,Distribution!$C$23:$G$23)+LOOKUP(_xlfn.CEILING.MATH($Q19),Distribution!$C$21:$G$21,Distribution!$C$23:$G$23)+LOOKUP(_xlfn.CEILING.MATH($R19),Distribution!$C$21:$G$21,Distribution!$C$23:$G$23)+_xlfn.IFNA(LOOKUP(_xlfn.CEILING.MATH($S19),Distribution!$C$21:$G$21,Distribution!$C$23:$G$23),0)+_xlfn.IFNA(LOOKUP(_xlfn.CEILING.MATH($T19),Distribution!$C$21:$G$21,Distribution!$C$23:$G$23),0)</f>
        <v>38.096958518693633</v>
      </c>
      <c r="AQ19" s="17">
        <f>LOOKUP($O19,Installation!$C$2:$K$2,Installation!$C$4:$K$4)+LOOKUP($P19,Installation!$C$2:$K$2,Installation!$C$4:$K$4)+LOOKUP($Q19,Installation!$C$2:$K$2,Installation!$C$4:$K$4)+LOOKUP($R19,Installation!$C$2:$K$2,Installation!$C$4:$K$4)+_xlfn.IFNA(LOOKUP($S19,Installation!$C$2:$K$2,Installation!$C$4:$K$4),0)+_xlfn.IFNA(LOOKUP($T19,Installation!$C$2:$K$2,Installation!$C$4:$K$4),0)</f>
        <v>4.9649423158276393</v>
      </c>
      <c r="AR19" s="4">
        <f t="shared" si="10"/>
        <v>107.93553843882353</v>
      </c>
      <c r="AS19" s="4">
        <f>LOOKUP($Q19,Installation!$C$2:$K$2,Installation!$C$4:$K$4)+LOOKUP($R19,Installation!$C$2:$K$2,Installation!$C$4:$K$4)+_xlfn.IFNA(LOOKUP($S19,Installation!$C$2:$K$2,Installation!$C$4:$K$4),0)+_xlfn.IFNA(LOOKUP($T19,Installation!$C$2:$K$2,Installation!$C$4:$K$4),0)</f>
        <v>2.7351567091876587</v>
      </c>
      <c r="AT19" s="4">
        <f>LOOKUP($O19,Installation!$C$2:$K$2,Installation!$C$4:$K$4)+LOOKUP($P19,Installation!$C$2:$K$2,Installation!$C$4:$K$4)</f>
        <v>2.2297856066399797</v>
      </c>
      <c r="AU19" s="4">
        <f>_xlfn.XLOOKUP($AA19,Installation!$C$5:$R$5,Installation!$C$7:$R$7)</f>
        <v>44.564950203529413</v>
      </c>
      <c r="AV19" s="4">
        <f>_xlfn.XLOOKUP($AB19,Installation!$C$5:$R$5,Installation!$C$11:$R$11)</f>
        <v>63.370588235294115</v>
      </c>
      <c r="AW19" s="18">
        <f>LOOKUP(_xlfn.CEILING.MATH($O19,1),Installation!$C$21:$G$21,Installation!$C$23:$G$23)+LOOKUP(_xlfn.CEILING.MATH($P19),Installation!$C$21:$G$21,Installation!$C$23:$G$23)+LOOKUP(_xlfn.CEILING.MATH($Q19),Installation!$C$21:$G$21,Installation!$C$23:$G$23)+LOOKUP(_xlfn.CEILING.MATH($R19),Installation!$C$21:$G$21,Installation!$C$23:$G$23)+_xlfn.IFNA(LOOKUP(_xlfn.CEILING.MATH($S19),Installation!$C$21:$G$21,Installation!$C$23:$G$23),0)+_xlfn.IFNA(LOOKUP(_xlfn.CEILING.MATH($T19),Installation!$C$21:$G$21,Installation!$C$23:$G$23),0)</f>
        <v>7.2642725859375048</v>
      </c>
      <c r="AX19" s="17">
        <f>LOOKUP($O19,EOL!$C$2:$K$2,EOL!$C$4:$K$4)+LOOKUP($P19,EOL!$C$2:$K$2,EOL!$C$4:$K$4)+LOOKUP($Q19,EOL!$C$2:$K$2,EOL!$C$4:$K$4)+LOOKUP($R19,EOL!$C$2:$K$2,EOL!$C$4:$K$4)+_xlfn.IFNA(LOOKUP($S19,EOL!$C$2:$K$2,EOL!$C$4:$K$4),0)+_xlfn.IFNA(LOOKUP($T19,EOL!$C$2:$K$2,EOL!$C$4:$K$4),0)</f>
        <v>48.778402585003839</v>
      </c>
      <c r="AY19" s="4">
        <f t="shared" si="11"/>
        <v>335.21034629411764</v>
      </c>
      <c r="AZ19" s="4">
        <f>LOOKUP($Q19,EOL!$C$2:$K$2,EOL!$C$4:$K$4)+LOOKUP($R19,EOL!$C$2:$K$2,EOL!$C$4:$K$4)+_xlfn.IFNA(LOOKUP($S19,EOL!$C$2:$K$2,EOL!$C$4:$K$4),0)+_xlfn.IFNA(LOOKUP($T19,EOL!$C$2:$K$2,EOL!$C$4:$K$4),0)</f>
        <v>24.847301229479747</v>
      </c>
      <c r="BA19" s="4">
        <f>LOOKUP($O19,EOL!$C$2:$K$2,EOL!$C$4:$K$4)+LOOKUP($P19,EOL!$C$2:$K$2,EOL!$C$4:$K$4)</f>
        <v>23.931101355524099</v>
      </c>
      <c r="BB19" s="4">
        <f>_xlfn.XLOOKUP($AA19,EOL!$C$5:$R$5,EOL!$C$6:$R$6)</f>
        <v>147.32211100000001</v>
      </c>
      <c r="BC19" s="4">
        <f>_xlfn.XLOOKUP($AB19,EOL!$C$5:$R$5,EOL!$C$11:$R$11)</f>
        <v>187.88823529411764</v>
      </c>
      <c r="BD19" s="18">
        <f>LOOKUP(_xlfn.CEILING.MATH($O19,1),EOL!$C$21:$G$21,EOL!$C$23:$G$23)+LOOKUP(_xlfn.CEILING.MATH($P19),EOL!$C$21:$G$21,EOL!$C$23:$G$23)+LOOKUP(_xlfn.CEILING.MATH($Q19),EOL!$C$21:$G$21,EOL!$C$23:$G$23)+LOOKUP(_xlfn.CEILING.MATH($R19),EOL!$C$21:$G$21,EOL!$C$23:$G$23)+_xlfn.IFNA(LOOKUP(_xlfn.CEILING.MATH($S19),EOL!$C$21:$G$21,EOL!$C$23:$G$23),0)+_xlfn.IFNA(LOOKUP(_xlfn.CEILING.MATH($T19),EOL!$C$21:$G$21,EOL!$C$23:$G$23),0)</f>
        <v>241.48781594437497</v>
      </c>
      <c r="BE19" s="17">
        <f>LOOKUP($O19,Other!$C$2:$K$2,Other!$C$4:$K$4)+LOOKUP($P19,Other!$C$2:$K$2,Other!$C$4:$K$4)+LOOKUP($Q19,Other!$C$2:$K$2,Other!$C$4:$K$4)+LOOKUP($R19,Other!$C$2:$K$2,Other!$C$4:$K$4)+_xlfn.IFNA(LOOKUP($S19,Other!$C$2:$K$2,Other!$C$4:$K$4),0)+_xlfn.IFNA(LOOKUP($T19,Other!$C$2:$K$2,Other!$C$4:$K$4),0)</f>
        <v>0</v>
      </c>
      <c r="BF19" s="4">
        <f t="shared" si="12"/>
        <v>1912.7034968999999</v>
      </c>
      <c r="BG19" s="4">
        <f>LOOKUP($Q19,Other!$C$2:$K$2,Other!$C$4:$K$4)+LOOKUP($R19,Other!$C$2:$K$2,Other!$C$4:$K$4)+_xlfn.IFNA(LOOKUP($S19,Other!$C$2:$K$2,Other!$C$4:$K$4),0)+_xlfn.IFNA(LOOKUP($T19,Other!$C$2:$K$2,Other!$C$4:$K$4),0)</f>
        <v>0</v>
      </c>
      <c r="BH19" s="4">
        <f>LOOKUP($O19,Other!$C$2:$K$2,Other!$C$4:$K$4)+LOOKUP($P19,Other!$C$2:$K$2,Other!$C$4:$K$4)</f>
        <v>0</v>
      </c>
      <c r="BI19" s="4">
        <f>_xlfn.XLOOKUP($AA19,Other!$C$5:$R$5,Other!$C$7:$R$7)</f>
        <v>615.64467337058818</v>
      </c>
      <c r="BJ19" s="4">
        <f>_xlfn.XLOOKUP($AB19,Other!$C$5:$R$5,Other!$C$11:$R$11)</f>
        <v>1297.0588235294117</v>
      </c>
      <c r="BK19" s="18">
        <f>LOOKUP(_xlfn.CEILING.MATH($O19,1),Other!$C$21:$G$21,Other!$C$23:$G$23)+LOOKUP(_xlfn.CEILING.MATH($P19),Other!$C$21:$G$21,Other!$C$23:$G$23)+LOOKUP(_xlfn.CEILING.MATH($Q19),Other!$C$21:$G$21,Other!$C$23:$G$23)+LOOKUP(_xlfn.CEILING.MATH($R19),Other!$C$21:$G$21,Other!$C$23:$G$23)+_xlfn.IFNA(LOOKUP(_xlfn.CEILING.MATH($S19),Other!$C$21:$G$21,Other!$C$23:$G$23),0)+_xlfn.IFNA(LOOKUP(_xlfn.CEILING.MATH($T19),Other!$C$21:$G$21,Other!$C$23:$G$23),0)</f>
        <v>1559.7499883568751</v>
      </c>
    </row>
    <row r="20" spans="8:63" x14ac:dyDescent="0.25">
      <c r="H20" s="4" t="str">
        <f t="shared" si="1"/>
        <v>Mod-Nom-CH</v>
      </c>
      <c r="I20" s="4" t="s">
        <v>11</v>
      </c>
      <c r="J20" s="4" t="s">
        <v>38</v>
      </c>
      <c r="K20" s="4" t="s">
        <v>42</v>
      </c>
      <c r="L20" s="4" t="str">
        <f t="shared" si="2"/>
        <v>Mod-Nom</v>
      </c>
      <c r="M20" s="4">
        <f>K10</f>
        <v>15.5</v>
      </c>
      <c r="N20" s="4">
        <v>9</v>
      </c>
      <c r="O20" s="4">
        <v>4.5</v>
      </c>
      <c r="P20" s="4">
        <v>4.5</v>
      </c>
      <c r="Q20" s="4">
        <v>2</v>
      </c>
      <c r="R20" s="4">
        <v>1.5</v>
      </c>
      <c r="S20" s="4">
        <v>1.5</v>
      </c>
      <c r="T20" s="4">
        <v>1.5</v>
      </c>
      <c r="U20" s="4">
        <f t="shared" si="3"/>
        <v>15.5</v>
      </c>
      <c r="V20" s="4"/>
      <c r="W20" s="4">
        <f t="shared" si="4"/>
        <v>15.5</v>
      </c>
      <c r="X20" s="4">
        <f t="shared" si="5"/>
        <v>16</v>
      </c>
      <c r="Y20" s="4">
        <f t="shared" si="6"/>
        <v>6.5</v>
      </c>
      <c r="Z20" s="4">
        <f t="shared" si="7"/>
        <v>9</v>
      </c>
      <c r="AA20" s="4">
        <f>_xlfn.XLOOKUP(H20,Key!$F$8:$F$15,Key!$B$8:$B$15)</f>
        <v>9.5</v>
      </c>
      <c r="AB20" s="4">
        <f>_xlfn.XLOOKUP(H20,Key!$F$16:$F$23,Key!$E$16:$E$23)</f>
        <v>6.5</v>
      </c>
      <c r="AC20" s="17">
        <f>LOOKUP($O20,Manufacture!$C$2:$K$2,Manufacture!$C$4:$K$4)+LOOKUP($P20,Manufacture!$C$2:$K$2,Manufacture!$C$4:$K$4)+LOOKUP($Q20,Manufacture!$C$2:$K$2,Manufacture!$C$4:$K$4)+LOOKUP($R20,Manufacture!$C$2:$K$2,Manufacture!$C$4:$K$4)+_xlfn.IFNA(LOOKUP($S20,Manufacture!$C$2:$K$2,Manufacture!$C$4:$K$4),0)+_xlfn.IFNA(LOOKUP($T20,Manufacture!$C$2:$K$2,Manufacture!$C$4:$K$4),0)</f>
        <v>1446.5990676803744</v>
      </c>
      <c r="AD20" s="4">
        <f t="shared" si="8"/>
        <v>2416.2688715117647</v>
      </c>
      <c r="AE20" s="4">
        <f>LOOKUP($Q20,Manufacture!$C$2:$K$2,Manufacture!$C$4:$K$4)+LOOKUP($R20,Manufacture!$C$2:$K$2,Manufacture!$C$4:$K$4)+_xlfn.IFNA(LOOKUP($S20,Manufacture!$C$2:$K$2,Manufacture!$C$4:$K$4),0)+_xlfn.IFNA(LOOKUP($T20,Manufacture!$C$2:$K$2,Manufacture!$C$4:$K$4),0)</f>
        <v>592.36174352578837</v>
      </c>
      <c r="AF20" s="4">
        <f>LOOKUP($O20,Manufacture!$C$2:$K$2,Manufacture!$C$4:$K$4)+LOOKUP($P20,Manufacture!$C$2:$K$2,Manufacture!$C$4:$K$4)</f>
        <v>854.23732415458642</v>
      </c>
      <c r="AG20" s="4">
        <f>_xlfn.XLOOKUP($AA20,Manufacture!$C$5:$R$5,Manufacture!$C$7:$R$7)</f>
        <v>1125.6335773941175</v>
      </c>
      <c r="AH20" s="4">
        <f>_xlfn.XLOOKUP($AB20,Manufacture!$C$5:$R$5,Manufacture!$C$11:$R$11)</f>
        <v>1290.6352941176469</v>
      </c>
      <c r="AI20" s="18">
        <f>LOOKUP(_xlfn.CEILING.MATH($O20,1),Manufacture!$C$21:$G$21,Manufacture!$C$23:$G$23)+LOOKUP(_xlfn.CEILING.MATH($P20),Manufacture!$C$21:$G$21,Manufacture!$C$23:$G$23)+LOOKUP(_xlfn.CEILING.MATH($Q20),Manufacture!$C$21:$G$21,Manufacture!$C$23:$G$23)+LOOKUP(_xlfn.CEILING.MATH($R20),Manufacture!$C$21:$G$21,Manufacture!$C$23:$G$23)+_xlfn.IFNA(LOOKUP(_xlfn.CEILING.MATH($S20),Manufacture!$C$21:$G$21,Manufacture!$C$23:$G$23),0)+_xlfn.IFNA(LOOKUP(_xlfn.CEILING.MATH($T20),Manufacture!$C$21:$G$21,Manufacture!$C$23:$G$23),0)</f>
        <v>2181.5727013911546</v>
      </c>
      <c r="AJ20" s="17">
        <f>LOOKUP($O20,Distribution!$C$2:$K$2,Distribution!$C$4:$K$4)+LOOKUP($P20,Distribution!$C$2:$K$2,Distribution!$C$4:$K$4)+LOOKUP($Q20,Distribution!$C$2:$K$2,Distribution!$C$4:$K$4)+LOOKUP($R20,Distribution!$C$2:$K$2,Distribution!$C$4:$K$4)+_xlfn.IFNA(LOOKUP($S20,Distribution!$C$2:$K$2,Distribution!$C$4:$K$4),0)+_xlfn.IFNA(LOOKUP($T20,Distribution!$C$2:$K$2,Distribution!$C$4:$K$4),0)</f>
        <v>68.835740867682361</v>
      </c>
      <c r="AK20" s="4">
        <f t="shared" si="9"/>
        <v>60.377585760448525</v>
      </c>
      <c r="AL20" s="4">
        <f>LOOKUP($Q20,Distribution!$C$2:$K$2,Distribution!$C$4:$K$4)+LOOKUP($R20,Distribution!$C$2:$K$2,Distribution!$C$4:$K$4)+_xlfn.IFNA(LOOKUP($S20,Distribution!$C$2:$K$2,Distribution!$C$4:$K$4),0)+_xlfn.IFNA(LOOKUP($T20,Distribution!$C$2:$K$2,Distribution!$C$4:$K$4),0)</f>
        <v>28.435439995941177</v>
      </c>
      <c r="AM20" s="4">
        <f>LOOKUP($O20,Distribution!$C$2:$K$2,Distribution!$C$4:$K$4)+LOOKUP($P20,Distribution!$C$2:$K$2,Distribution!$C$4:$K$4)</f>
        <v>40.40030087174118</v>
      </c>
      <c r="AN20" s="4">
        <f>_xlfn.XLOOKUP($AA20,Distribution!$C$5:$R$5,Distribution!$C$7:$R$7)</f>
        <v>25.033918701624987</v>
      </c>
      <c r="AO20" s="4">
        <f>_xlfn.XLOOKUP($AB20,Distribution!$C$5:$R$5,Distribution!$C$11:$R$11)</f>
        <v>35.343667058823534</v>
      </c>
      <c r="AP20" s="18">
        <f>LOOKUP(_xlfn.CEILING.MATH($O20,1),Distribution!$C$21:$G$21,Distribution!$C$23:$G$23)+LOOKUP(_xlfn.CEILING.MATH($P20),Distribution!$C$21:$G$21,Distribution!$C$23:$G$23)+LOOKUP(_xlfn.CEILING.MATH($Q20),Distribution!$C$21:$G$21,Distribution!$C$23:$G$23)+LOOKUP(_xlfn.CEILING.MATH($R20),Distribution!$C$21:$G$21,Distribution!$C$23:$G$23)+_xlfn.IFNA(LOOKUP(_xlfn.CEILING.MATH($S20),Distribution!$C$21:$G$21,Distribution!$C$23:$G$23),0)+_xlfn.IFNA(LOOKUP(_xlfn.CEILING.MATH($T20),Distribution!$C$21:$G$21,Distribution!$C$23:$G$23),0)</f>
        <v>54.82673006485436</v>
      </c>
      <c r="AQ20" s="17">
        <f>LOOKUP($O20,Installation!$C$2:$K$2,Installation!$C$4:$K$4)+LOOKUP($P20,Installation!$C$2:$K$2,Installation!$C$4:$K$4)+LOOKUP($Q20,Installation!$C$2:$K$2,Installation!$C$4:$K$4)+LOOKUP($R20,Installation!$C$2:$K$2,Installation!$C$4:$K$4)+_xlfn.IFNA(LOOKUP($S20,Installation!$C$2:$K$2,Installation!$C$4:$K$4),0)+_xlfn.IFNA(LOOKUP($T20,Installation!$C$2:$K$2,Installation!$C$4:$K$4),0)</f>
        <v>7.4920913803830116</v>
      </c>
      <c r="AR20" s="4">
        <f t="shared" si="10"/>
        <v>139.00695024176468</v>
      </c>
      <c r="AS20" s="4">
        <f>LOOKUP($Q20,Installation!$C$2:$K$2,Installation!$C$4:$K$4)+LOOKUP($R20,Installation!$C$2:$K$2,Installation!$C$4:$K$4)+_xlfn.IFNA(LOOKUP($S20,Installation!$C$2:$K$2,Installation!$C$4:$K$4),0)+_xlfn.IFNA(LOOKUP($T20,Installation!$C$2:$K$2,Installation!$C$4:$K$4),0)</f>
        <v>3.0325201671030508</v>
      </c>
      <c r="AT20" s="4">
        <f>LOOKUP($O20,Installation!$C$2:$K$2,Installation!$C$4:$K$4)+LOOKUP($P20,Installation!$C$2:$K$2,Installation!$C$4:$K$4)</f>
        <v>4.4595712132799594</v>
      </c>
      <c r="AU20" s="4">
        <f>_xlfn.XLOOKUP($AA20,Installation!$C$5:$R$5,Installation!$C$7:$R$7)</f>
        <v>92.559891418235281</v>
      </c>
      <c r="AV20" s="4">
        <f>_xlfn.XLOOKUP($AB20,Installation!$C$5:$R$5,Installation!$C$11:$R$11)</f>
        <v>46.44705882352941</v>
      </c>
      <c r="AW20" s="18">
        <f>LOOKUP(_xlfn.CEILING.MATH($O20,1),Installation!$C$21:$G$21,Installation!$C$23:$G$23)+LOOKUP(_xlfn.CEILING.MATH($P20),Installation!$C$21:$G$21,Installation!$C$23:$G$23)+LOOKUP(_xlfn.CEILING.MATH($Q20),Installation!$C$21:$G$21,Installation!$C$23:$G$23)+LOOKUP(_xlfn.CEILING.MATH($R20),Installation!$C$21:$G$21,Installation!$C$23:$G$23)+_xlfn.IFNA(LOOKUP(_xlfn.CEILING.MATH($S20),Installation!$C$21:$G$21,Installation!$C$23:$G$23),0)+_xlfn.IFNA(LOOKUP(_xlfn.CEILING.MATH($T20),Installation!$C$21:$G$21,Installation!$C$23:$G$23),0)</f>
        <v>16.663495904999998</v>
      </c>
      <c r="AX20" s="17">
        <f>LOOKUP($O20,EOL!$C$2:$K$2,EOL!$C$4:$K$4)+LOOKUP($P20,EOL!$C$2:$K$2,EOL!$C$4:$K$4)+LOOKUP($Q20,EOL!$C$2:$K$2,EOL!$C$4:$K$4)+LOOKUP($R20,EOL!$C$2:$K$2,EOL!$C$4:$K$4)+_xlfn.IFNA(LOOKUP($S20,EOL!$C$2:$K$2,EOL!$C$4:$K$4),0)+_xlfn.IFNA(LOOKUP($T20,EOL!$C$2:$K$2,EOL!$C$4:$K$4),0)</f>
        <v>81.53554632955175</v>
      </c>
      <c r="AY20" s="4">
        <f t="shared" si="11"/>
        <v>470.33892924705879</v>
      </c>
      <c r="AZ20" s="4">
        <f>LOOKUP($Q20,EOL!$C$2:$K$2,EOL!$C$4:$K$4)+LOOKUP($R20,EOL!$C$2:$K$2,EOL!$C$4:$K$4)+_xlfn.IFNA(LOOKUP($S20,EOL!$C$2:$K$2,EOL!$C$4:$K$4),0)+_xlfn.IFNA(LOOKUP($T20,EOL!$C$2:$K$2,EOL!$C$4:$K$4),0)</f>
        <v>33.673343618503566</v>
      </c>
      <c r="BA20" s="4">
        <f>LOOKUP($O20,EOL!$C$2:$K$2,EOL!$C$4:$K$4)+LOOKUP($P20,EOL!$C$2:$K$2,EOL!$C$4:$K$4)</f>
        <v>47.862202711048191</v>
      </c>
      <c r="BB20" s="4">
        <f>_xlfn.XLOOKUP($AA20,EOL!$C$5:$R$5,EOL!$C$6:$R$6)</f>
        <v>198.94481160000001</v>
      </c>
      <c r="BC20" s="4">
        <f>_xlfn.XLOOKUP($AB20,EOL!$C$5:$R$5,EOL!$C$11:$R$11)</f>
        <v>271.39411764705881</v>
      </c>
      <c r="BD20" s="18">
        <f>LOOKUP(_xlfn.CEILING.MATH($O20,1),EOL!$C$21:$G$21,EOL!$C$23:$G$23)+LOOKUP(_xlfn.CEILING.MATH($P20),EOL!$C$21:$G$21,EOL!$C$23:$G$23)+LOOKUP(_xlfn.CEILING.MATH($Q20),EOL!$C$21:$G$21,EOL!$C$23:$G$23)+LOOKUP(_xlfn.CEILING.MATH($R20),EOL!$C$21:$G$21,EOL!$C$23:$G$23)+_xlfn.IFNA(LOOKUP(_xlfn.CEILING.MATH($S20),EOL!$C$21:$G$21,EOL!$C$23:$G$23),0)+_xlfn.IFNA(LOOKUP(_xlfn.CEILING.MATH($T20),EOL!$C$21:$G$21,EOL!$C$23:$G$23),0)</f>
        <v>347.5339715925</v>
      </c>
      <c r="BE20" s="17">
        <f>LOOKUP($O20,Other!$C$2:$K$2,Other!$C$4:$K$4)+LOOKUP($P20,Other!$C$2:$K$2,Other!$C$4:$K$4)+LOOKUP($Q20,Other!$C$2:$K$2,Other!$C$4:$K$4)+LOOKUP($R20,Other!$C$2:$K$2,Other!$C$4:$K$4)+_xlfn.IFNA(LOOKUP($S20,Other!$C$2:$K$2,Other!$C$4:$K$4),0)+_xlfn.IFNA(LOOKUP($T20,Other!$C$2:$K$2,Other!$C$4:$K$4),0)</f>
        <v>0</v>
      </c>
      <c r="BF20" s="4">
        <f t="shared" si="12"/>
        <v>1732.9191469058824</v>
      </c>
      <c r="BG20" s="4">
        <f>LOOKUP($Q20,Other!$C$2:$K$2,Other!$C$4:$K$4)+LOOKUP($R20,Other!$C$2:$K$2,Other!$C$4:$K$4)+_xlfn.IFNA(LOOKUP($S20,Other!$C$2:$K$2,Other!$C$4:$K$4),0)+_xlfn.IFNA(LOOKUP($T20,Other!$C$2:$K$2,Other!$C$4:$K$4),0)</f>
        <v>0</v>
      </c>
      <c r="BH20" s="4">
        <f>LOOKUP($O20,Other!$C$2:$K$2,Other!$C$4:$K$4)+LOOKUP($P20,Other!$C$2:$K$2,Other!$C$4:$K$4)</f>
        <v>0</v>
      </c>
      <c r="BI20" s="4">
        <f>_xlfn.XLOOKUP($AA20,Other!$C$5:$R$5,Other!$C$7:$R$7)</f>
        <v>731.09561749411762</v>
      </c>
      <c r="BJ20" s="4">
        <f>_xlfn.XLOOKUP($AB20,Other!$C$5:$R$5,Other!$C$11:$R$11)</f>
        <v>1001.8235294117648</v>
      </c>
      <c r="BK20" s="18">
        <f>LOOKUP(_xlfn.CEILING.MATH($O20,1),Other!$C$21:$G$21,Other!$C$23:$G$23)+LOOKUP(_xlfn.CEILING.MATH($P20),Other!$C$21:$G$21,Other!$C$23:$G$23)+LOOKUP(_xlfn.CEILING.MATH($Q20),Other!$C$21:$G$21,Other!$C$23:$G$23)+LOOKUP(_xlfn.CEILING.MATH($R20),Other!$C$21:$G$21,Other!$C$23:$G$23)+_xlfn.IFNA(LOOKUP(_xlfn.CEILING.MATH($S20),Other!$C$21:$G$21,Other!$C$23:$G$23),0)+_xlfn.IFNA(LOOKUP(_xlfn.CEILING.MATH($T20),Other!$C$21:$G$21,Other!$C$23:$G$23),0)</f>
        <v>2376.1806193125003</v>
      </c>
    </row>
    <row r="21" spans="8:63" x14ac:dyDescent="0.25">
      <c r="H21" s="4" t="str">
        <f t="shared" si="1"/>
        <v>Mod-H1-CH</v>
      </c>
      <c r="I21" s="4" t="s">
        <v>11</v>
      </c>
      <c r="J21" s="4" t="s">
        <v>38</v>
      </c>
      <c r="K21" s="4" t="s">
        <v>43</v>
      </c>
      <c r="L21" s="4" t="str">
        <f t="shared" si="2"/>
        <v>Mod-H1</v>
      </c>
      <c r="M21" s="4">
        <f>K11</f>
        <v>12.399999999999999</v>
      </c>
      <c r="N21" s="4">
        <v>8</v>
      </c>
      <c r="O21" s="4">
        <v>3</v>
      </c>
      <c r="P21" s="4">
        <v>5</v>
      </c>
      <c r="Q21" s="4">
        <v>1.5</v>
      </c>
      <c r="R21" s="4">
        <v>1</v>
      </c>
      <c r="S21" s="4">
        <v>1</v>
      </c>
      <c r="T21" s="4">
        <v>1</v>
      </c>
      <c r="U21" s="4">
        <f t="shared" si="3"/>
        <v>12.5</v>
      </c>
      <c r="V21" s="4"/>
      <c r="W21" s="4">
        <f t="shared" si="4"/>
        <v>12.5</v>
      </c>
      <c r="X21" s="4">
        <f t="shared" si="5"/>
        <v>12.5</v>
      </c>
      <c r="Y21" s="4">
        <f t="shared" si="6"/>
        <v>4.5</v>
      </c>
      <c r="Z21" s="4">
        <f t="shared" si="7"/>
        <v>8</v>
      </c>
      <c r="AA21" s="4">
        <f>_xlfn.XLOOKUP(H21,Key!$F$8:$F$15,Key!$B$8:$B$15)</f>
        <v>7.5</v>
      </c>
      <c r="AB21" s="4">
        <f>_xlfn.XLOOKUP(H21,Key!$F$16:$F$23,Key!$E$16:$E$23)</f>
        <v>5</v>
      </c>
      <c r="AC21" s="17">
        <f>LOOKUP($O21,Manufacture!$C$2:$K$2,Manufacture!$C$4:$K$4)+LOOKUP($P21,Manufacture!$C$2:$K$2,Manufacture!$C$4:$K$4)+LOOKUP($Q21,Manufacture!$C$2:$K$2,Manufacture!$C$4:$K$4)+LOOKUP($R21,Manufacture!$C$2:$K$2,Manufacture!$C$4:$K$4)+_xlfn.IFNA(LOOKUP($S21,Manufacture!$C$2:$K$2,Manufacture!$C$4:$K$4),0)+_xlfn.IFNA(LOOKUP($T21,Manufacture!$C$2:$K$2,Manufacture!$C$4:$K$4),0)</f>
        <v>1309.3779031439901</v>
      </c>
      <c r="AD21" s="19">
        <f t="shared" si="8"/>
        <v>1836.3662526176472</v>
      </c>
      <c r="AE21" s="4">
        <f>LOOKUP($Q21,Manufacture!$C$2:$K$2,Manufacture!$C$4:$K$4)+LOOKUP($R21,Manufacture!$C$2:$K$2,Manufacture!$C$4:$K$4)+_xlfn.IFNA(LOOKUP($S21,Manufacture!$C$2:$K$2,Manufacture!$C$4:$K$4),0)+_xlfn.IFNA(LOOKUP($T21,Manufacture!$C$2:$K$2,Manufacture!$C$4:$K$4),0)</f>
        <v>500.88096716819871</v>
      </c>
      <c r="AF21" s="4">
        <f>LOOKUP($O21,Manufacture!$C$2:$K$2,Manufacture!$C$4:$K$4)+LOOKUP($P21,Manufacture!$C$2:$K$2,Manufacture!$C$4:$K$4)</f>
        <v>808.49693597579153</v>
      </c>
      <c r="AG21" s="4">
        <f>_xlfn.XLOOKUP($AA21,Manufacture!$C$5:$R$5,Manufacture!$C$7:$R$7)</f>
        <v>992.9074290882354</v>
      </c>
      <c r="AH21" s="4">
        <f>_xlfn.XLOOKUP($AB21,Manufacture!$C$5:$R$5,Manufacture!$C$11:$R$11)</f>
        <v>843.45882352941169</v>
      </c>
      <c r="AI21" s="18">
        <f>LOOKUP(_xlfn.CEILING.MATH($O21,1),Manufacture!$C$21:$G$21,Manufacture!$C$23:$G$23)+LOOKUP(_xlfn.CEILING.MATH($P21),Manufacture!$C$21:$G$21,Manufacture!$C$23:$G$23)+LOOKUP(_xlfn.CEILING.MATH($Q21),Manufacture!$C$21:$G$21,Manufacture!$C$23:$G$23)+LOOKUP(_xlfn.CEILING.MATH($R21),Manufacture!$C$21:$G$21,Manufacture!$C$23:$G$23)+_xlfn.IFNA(LOOKUP(_xlfn.CEILING.MATH($S21),Manufacture!$C$21:$G$21,Manufacture!$C$23:$G$23),0)+_xlfn.IFNA(LOOKUP(_xlfn.CEILING.MATH($T21),Manufacture!$C$21:$G$21,Manufacture!$C$23:$G$23),0)</f>
        <v>1811.7031098449818</v>
      </c>
      <c r="AJ21" s="17">
        <f>LOOKUP($O21,Distribution!$C$2:$K$2,Distribution!$C$4:$K$4)+LOOKUP($P21,Distribution!$C$2:$K$2,Distribution!$C$4:$K$4)+LOOKUP($Q21,Distribution!$C$2:$K$2,Distribution!$C$4:$K$4)+LOOKUP($R21,Distribution!$C$2:$K$2,Distribution!$C$4:$K$4)+_xlfn.IFNA(LOOKUP($S21,Distribution!$C$2:$K$2,Distribution!$C$4:$K$4),0)+_xlfn.IFNA(LOOKUP($T21,Distribution!$C$2:$K$2,Distribution!$C$4:$K$4),0)</f>
        <v>59.824304378999997</v>
      </c>
      <c r="AK21" s="19">
        <f t="shared" si="9"/>
        <v>43.21056854141689</v>
      </c>
      <c r="AL21" s="4">
        <f>LOOKUP($Q21,Distribution!$C$2:$K$2,Distribution!$C$4:$K$4)+LOOKUP($R21,Distribution!$C$2:$K$2,Distribution!$C$4:$K$4)+_xlfn.IFNA(LOOKUP($S21,Distribution!$C$2:$K$2,Distribution!$C$4:$K$4),0)+_xlfn.IFNA(LOOKUP($T21,Distribution!$C$2:$K$2,Distribution!$C$4:$K$4),0)</f>
        <v>22.427815670152938</v>
      </c>
      <c r="AM21" s="4">
        <f>LOOKUP($O21,Distribution!$C$2:$K$2,Distribution!$C$4:$K$4)+LOOKUP($P21,Distribution!$C$2:$K$2,Distribution!$C$4:$K$4)</f>
        <v>37.396488708847059</v>
      </c>
      <c r="AN21" s="4">
        <f>_xlfn.XLOOKUP($AA21,Distribution!$C$5:$R$5,Distribution!$C$7:$R$7)</f>
        <v>21.697032070828651</v>
      </c>
      <c r="AO21" s="4">
        <f>_xlfn.XLOOKUP($AB21,Distribution!$C$5:$R$5,Distribution!$C$11:$R$11)</f>
        <v>21.513536470588235</v>
      </c>
      <c r="AP21" s="18">
        <f>LOOKUP(_xlfn.CEILING.MATH($O21,1),Distribution!$C$21:$G$21,Distribution!$C$23:$G$23)+LOOKUP(_xlfn.CEILING.MATH($P21),Distribution!$C$21:$G$21,Distribution!$C$23:$G$23)+LOOKUP(_xlfn.CEILING.MATH($Q21),Distribution!$C$21:$G$21,Distribution!$C$23:$G$23)+LOOKUP(_xlfn.CEILING.MATH($R21),Distribution!$C$21:$G$21,Distribution!$C$23:$G$23)+_xlfn.IFNA(LOOKUP(_xlfn.CEILING.MATH($S21),Distribution!$C$21:$G$21,Distribution!$C$23:$G$23),0)+_xlfn.IFNA(LOOKUP(_xlfn.CEILING.MATH($T21),Distribution!$C$21:$G$21,Distribution!$C$23:$G$23),0)</f>
        <v>45.532412539209524</v>
      </c>
      <c r="AQ21" s="17">
        <f>LOOKUP($O21,Installation!$C$2:$K$2,Installation!$C$4:$K$4)+LOOKUP($P21,Installation!$C$2:$K$2,Installation!$C$4:$K$4)+LOOKUP($Q21,Installation!$C$2:$K$2,Installation!$C$4:$K$4)+LOOKUP($R21,Installation!$C$2:$K$2,Installation!$C$4:$K$4)+_xlfn.IFNA(LOOKUP($S21,Installation!$C$2:$K$2,Installation!$C$4:$K$4),0)+_xlfn.IFNA(LOOKUP($T21,Installation!$C$2:$K$2,Installation!$C$4:$K$4),0)</f>
        <v>7.1352552308845398</v>
      </c>
      <c r="AR21" s="19">
        <f t="shared" si="10"/>
        <v>136.73250316764705</v>
      </c>
      <c r="AS21" s="4">
        <f>LOOKUP($Q21,Installation!$C$2:$K$2,Installation!$C$4:$K$4)+LOOKUP($R21,Installation!$C$2:$K$2,Installation!$C$4:$K$4)+_xlfn.IFNA(LOOKUP($S21,Installation!$C$2:$K$2,Installation!$C$4:$K$4),0)+_xlfn.IFNA(LOOKUP($T21,Installation!$C$2:$K$2,Installation!$C$4:$K$4),0)</f>
        <v>2.7946294007707371</v>
      </c>
      <c r="AT21" s="4">
        <f>LOOKUP($O21,Installation!$C$2:$K$2,Installation!$C$4:$K$4)+LOOKUP($P21,Installation!$C$2:$K$2,Installation!$C$4:$K$4)</f>
        <v>4.3406258301138019</v>
      </c>
      <c r="AU21" s="4">
        <f>_xlfn.XLOOKUP($AA21,Installation!$C$5:$R$5,Installation!$C$7:$R$7)</f>
        <v>73.361914932352946</v>
      </c>
      <c r="AV21" s="4">
        <f>_xlfn.XLOOKUP($AB21,Installation!$C$5:$R$5,Installation!$C$11:$R$11)</f>
        <v>63.370588235294115</v>
      </c>
      <c r="AW21" s="18">
        <f>LOOKUP(_xlfn.CEILING.MATH($O21,1),Installation!$C$21:$G$21,Installation!$C$23:$G$23)+LOOKUP(_xlfn.CEILING.MATH($P21),Installation!$C$21:$G$21,Installation!$C$23:$G$23)+LOOKUP(_xlfn.CEILING.MATH($Q21),Installation!$C$21:$G$21,Installation!$C$23:$G$23)+LOOKUP(_xlfn.CEILING.MATH($R21),Installation!$C$21:$G$21,Installation!$C$23:$G$23)+_xlfn.IFNA(LOOKUP(_xlfn.CEILING.MATH($S21),Installation!$C$21:$G$21,Installation!$C$23:$G$23),0)+_xlfn.IFNA(LOOKUP(_xlfn.CEILING.MATH($T21),Installation!$C$21:$G$21,Installation!$C$23:$G$23),0)</f>
        <v>11.441705172187504</v>
      </c>
      <c r="AX21" s="17">
        <f>LOOKUP($O21,EOL!$C$2:$K$2,EOL!$C$4:$K$4)+LOOKUP($P21,EOL!$C$2:$K$2,EOL!$C$4:$K$4)+LOOKUP($Q21,EOL!$C$2:$K$2,EOL!$C$4:$K$4)+LOOKUP($R21,EOL!$C$2:$K$2,EOL!$C$4:$K$4)+_xlfn.IFNA(LOOKUP($S21,EOL!$C$2:$K$2,EOL!$C$4:$K$4),0)+_xlfn.IFNA(LOOKUP($T21,EOL!$C$2:$K$2,EOL!$C$4:$K$4),0)</f>
        <v>70.944295462723204</v>
      </c>
      <c r="AY21" s="19">
        <f t="shared" si="11"/>
        <v>366.18396669411766</v>
      </c>
      <c r="AZ21" s="4">
        <f>LOOKUP($Q21,EOL!$C$2:$K$2,EOL!$C$4:$K$4)+LOOKUP($R21,EOL!$C$2:$K$2,EOL!$C$4:$K$4)+_xlfn.IFNA(LOOKUP($S21,EOL!$C$2:$K$2,EOL!$C$4:$K$4),0)+_xlfn.IFNA(LOOKUP($T21,EOL!$C$2:$K$2,EOL!$C$4:$K$4),0)</f>
        <v>26.612509707284509</v>
      </c>
      <c r="BA21" s="4">
        <f>LOOKUP($O21,EOL!$C$2:$K$2,EOL!$C$4:$K$4)+LOOKUP($P21,EOL!$C$2:$K$2,EOL!$C$4:$K$4)</f>
        <v>44.331785755438688</v>
      </c>
      <c r="BB21" s="4">
        <f>_xlfn.XLOOKUP($AA21,EOL!$C$5:$R$5,EOL!$C$6:$R$6)</f>
        <v>178.29573139999999</v>
      </c>
      <c r="BC21" s="4">
        <f>_xlfn.XLOOKUP($AB21,EOL!$C$5:$R$5,EOL!$C$11:$R$11)</f>
        <v>187.88823529411764</v>
      </c>
      <c r="BD21" s="18">
        <f>LOOKUP(_xlfn.CEILING.MATH($O21,1),EOL!$C$21:$G$21,EOL!$C$23:$G$23)+LOOKUP(_xlfn.CEILING.MATH($P21),EOL!$C$21:$G$21,EOL!$C$23:$G$23)+LOOKUP(_xlfn.CEILING.MATH($Q21),EOL!$C$21:$G$21,EOL!$C$23:$G$23)+LOOKUP(_xlfn.CEILING.MATH($R21),EOL!$C$21:$G$21,EOL!$C$23:$G$23)+_xlfn.IFNA(LOOKUP(_xlfn.CEILING.MATH($S21),EOL!$C$21:$G$21,EOL!$C$23:$G$23),0)+_xlfn.IFNA(LOOKUP(_xlfn.CEILING.MATH($T21),EOL!$C$21:$G$21,EOL!$C$23:$G$23),0)</f>
        <v>288.61944067687494</v>
      </c>
      <c r="BE21" s="17">
        <f>LOOKUP($O21,Other!$C$2:$K$2,Other!$C$4:$K$4)+LOOKUP($P21,Other!$C$2:$K$2,Other!$C$4:$K$4)+LOOKUP($Q21,Other!$C$2:$K$2,Other!$C$4:$K$4)+LOOKUP($R21,Other!$C$2:$K$2,Other!$C$4:$K$4)+_xlfn.IFNA(LOOKUP($S21,Other!$C$2:$K$2,Other!$C$4:$K$4),0)+_xlfn.IFNA(LOOKUP($T21,Other!$C$2:$K$2,Other!$C$4:$K$4),0)</f>
        <v>0</v>
      </c>
      <c r="BF21" s="19">
        <f t="shared" si="12"/>
        <v>1981.9740634235295</v>
      </c>
      <c r="BG21" s="4">
        <f>LOOKUP($Q21,Other!$C$2:$K$2,Other!$C$4:$K$4)+LOOKUP($R21,Other!$C$2:$K$2,Other!$C$4:$K$4)+_xlfn.IFNA(LOOKUP($S21,Other!$C$2:$K$2,Other!$C$4:$K$4),0)+_xlfn.IFNA(LOOKUP($T21,Other!$C$2:$K$2,Other!$C$4:$K$4),0)</f>
        <v>0</v>
      </c>
      <c r="BH21" s="4">
        <f>LOOKUP($O21,Other!$C$2:$K$2,Other!$C$4:$K$4)+LOOKUP($P21,Other!$C$2:$K$2,Other!$C$4:$K$4)</f>
        <v>0</v>
      </c>
      <c r="BI21" s="4">
        <f>_xlfn.XLOOKUP($AA21,Other!$C$5:$R$5,Other!$C$7:$R$7)</f>
        <v>684.9152398941178</v>
      </c>
      <c r="BJ21" s="4">
        <f>_xlfn.XLOOKUP($AB21,Other!$C$5:$R$5,Other!$C$11:$R$11)</f>
        <v>1297.0588235294117</v>
      </c>
      <c r="BK21" s="18">
        <f>LOOKUP(_xlfn.CEILING.MATH($O21,1),Other!$C$21:$G$21,Other!$C$23:$G$23)+LOOKUP(_xlfn.CEILING.MATH($P21),Other!$C$21:$G$21,Other!$C$23:$G$23)+LOOKUP(_xlfn.CEILING.MATH($Q21),Other!$C$21:$G$21,Other!$C$23:$G$23)+LOOKUP(_xlfn.CEILING.MATH($R21),Other!$C$21:$G$21,Other!$C$23:$G$23)+_xlfn.IFNA(LOOKUP(_xlfn.CEILING.MATH($S21),Other!$C$21:$G$21,Other!$C$23:$G$23),0)+_xlfn.IFNA(LOOKUP(_xlfn.CEILING.MATH($T21),Other!$C$21:$G$21,Other!$C$23:$G$23),0)</f>
        <v>1922.608046559375</v>
      </c>
    </row>
  </sheetData>
  <pageMargins left="0.7" right="0.7" top="0.75" bottom="0.75" header="0.3" footer="0.3"/>
  <headerFooter>
    <oddFooter>&amp;C_x000D_&amp;1#&amp;"Calibri"&amp;7&amp;K000000 In-Confidence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44D5-742F-4CE7-A45E-23CF9947D0DC}">
  <dimension ref="A1:BK21"/>
  <sheetViews>
    <sheetView topLeftCell="AM7" workbookViewId="0">
      <selection activeCell="BG16" sqref="BG16"/>
    </sheetView>
  </sheetViews>
  <sheetFormatPr defaultRowHeight="15" x14ac:dyDescent="0.25"/>
  <cols>
    <col min="1" max="1" width="12.28515625" bestFit="1" customWidth="1"/>
    <col min="2" max="2" width="5.7109375" bestFit="1" customWidth="1"/>
    <col min="3" max="3" width="10" bestFit="1" customWidth="1"/>
    <col min="4" max="4" width="15" bestFit="1" customWidth="1"/>
    <col min="8" max="8" width="14.42578125" bestFit="1" customWidth="1"/>
    <col min="9" max="10" width="11.7109375" bestFit="1" customWidth="1"/>
    <col min="11" max="11" width="10" bestFit="1" customWidth="1"/>
    <col min="12" max="12" width="15" bestFit="1" customWidth="1"/>
    <col min="13" max="13" width="15" customWidth="1"/>
    <col min="14" max="14" width="36.28515625" bestFit="1" customWidth="1"/>
    <col min="35" max="35" width="12" bestFit="1" customWidth="1"/>
  </cols>
  <sheetData>
    <row r="1" spans="1:63" x14ac:dyDescent="0.25">
      <c r="A1" s="2" t="s">
        <v>39</v>
      </c>
      <c r="B1" s="2" t="s">
        <v>40</v>
      </c>
      <c r="C1" s="2" t="s">
        <v>41</v>
      </c>
      <c r="D1" s="2" t="s">
        <v>44</v>
      </c>
      <c r="E1" t="s">
        <v>18</v>
      </c>
      <c r="F1" t="s">
        <v>19</v>
      </c>
      <c r="G1" t="s">
        <v>20</v>
      </c>
      <c r="H1" t="s">
        <v>21</v>
      </c>
    </row>
    <row r="2" spans="1:63" x14ac:dyDescent="0.25">
      <c r="A2" t="s">
        <v>3</v>
      </c>
      <c r="B2" t="s">
        <v>37</v>
      </c>
      <c r="C2" t="s">
        <v>42</v>
      </c>
      <c r="D2" t="str">
        <f>CONCATENATE(B2, "-", C2)</f>
        <v>Mass-Nom</v>
      </c>
      <c r="E2" s="3">
        <v>7</v>
      </c>
      <c r="F2" s="3">
        <v>1.9</v>
      </c>
      <c r="G2" s="3">
        <v>2.1</v>
      </c>
      <c r="H2" s="3">
        <v>11</v>
      </c>
    </row>
    <row r="3" spans="1:63" x14ac:dyDescent="0.25">
      <c r="A3" t="s">
        <v>3</v>
      </c>
      <c r="B3" t="s">
        <v>37</v>
      </c>
      <c r="C3" t="s">
        <v>43</v>
      </c>
      <c r="D3" t="str">
        <f t="shared" ref="D3:D11" si="0">CONCATENATE(B3, "-", C3)</f>
        <v>Mass-H1</v>
      </c>
      <c r="E3" s="3">
        <v>4.5999999999999996</v>
      </c>
      <c r="F3" s="3">
        <v>0.7</v>
      </c>
      <c r="G3" s="3">
        <v>0.9</v>
      </c>
      <c r="H3" s="3">
        <v>6.2</v>
      </c>
    </row>
    <row r="4" spans="1:63" x14ac:dyDescent="0.25">
      <c r="A4" t="s">
        <v>11</v>
      </c>
      <c r="B4" t="s">
        <v>37</v>
      </c>
      <c r="C4" t="s">
        <v>42</v>
      </c>
      <c r="D4" t="str">
        <f t="shared" si="0"/>
        <v>Mass-Nom</v>
      </c>
      <c r="E4" s="3">
        <v>8.4</v>
      </c>
      <c r="F4" s="3">
        <v>3.3</v>
      </c>
      <c r="G4" s="3">
        <v>3.5</v>
      </c>
      <c r="H4" s="3">
        <v>15.2</v>
      </c>
    </row>
    <row r="5" spans="1:63" x14ac:dyDescent="0.25">
      <c r="A5" t="s">
        <v>11</v>
      </c>
      <c r="B5" t="s">
        <v>37</v>
      </c>
      <c r="C5" t="s">
        <v>43</v>
      </c>
      <c r="D5" t="str">
        <f t="shared" si="0"/>
        <v>Mass-H1</v>
      </c>
      <c r="E5" s="3">
        <v>5.0999999999999996</v>
      </c>
      <c r="F5" s="3">
        <v>1.4</v>
      </c>
      <c r="G5" s="3">
        <v>1.7</v>
      </c>
      <c r="H5" s="3">
        <v>8.1999999999999993</v>
      </c>
    </row>
    <row r="7" spans="1:63" x14ac:dyDescent="0.25">
      <c r="E7" t="s">
        <v>22</v>
      </c>
      <c r="F7" t="s">
        <v>23</v>
      </c>
      <c r="G7" t="s">
        <v>19</v>
      </c>
      <c r="H7" t="s">
        <v>20</v>
      </c>
      <c r="I7" t="s">
        <v>24</v>
      </c>
      <c r="J7" t="s">
        <v>25</v>
      </c>
      <c r="K7" t="s">
        <v>21</v>
      </c>
    </row>
    <row r="8" spans="1:63" x14ac:dyDescent="0.25">
      <c r="A8" t="s">
        <v>3</v>
      </c>
      <c r="B8" t="s">
        <v>38</v>
      </c>
      <c r="C8" t="s">
        <v>42</v>
      </c>
      <c r="D8" t="str">
        <f t="shared" si="0"/>
        <v>Mod-Nom</v>
      </c>
      <c r="E8" s="3">
        <v>2.9</v>
      </c>
      <c r="F8" s="3">
        <v>5</v>
      </c>
      <c r="G8" s="3">
        <v>0.8</v>
      </c>
      <c r="H8" s="3">
        <v>0.8</v>
      </c>
      <c r="I8" s="3">
        <v>0.8</v>
      </c>
      <c r="J8" s="3">
        <v>0.7</v>
      </c>
      <c r="K8" s="3">
        <v>11.000000000000002</v>
      </c>
    </row>
    <row r="9" spans="1:63" x14ac:dyDescent="0.25">
      <c r="A9" t="s">
        <v>3</v>
      </c>
      <c r="B9" t="s">
        <v>38</v>
      </c>
      <c r="C9" t="s">
        <v>43</v>
      </c>
      <c r="D9" t="str">
        <f t="shared" si="0"/>
        <v>Mod-H1</v>
      </c>
      <c r="E9" s="3">
        <v>2.6</v>
      </c>
      <c r="F9" s="3">
        <v>2.1</v>
      </c>
      <c r="G9" s="3">
        <v>0.5</v>
      </c>
      <c r="H9" s="3">
        <v>0.5</v>
      </c>
      <c r="I9" s="3">
        <v>0.5</v>
      </c>
      <c r="J9" s="3">
        <v>0.5</v>
      </c>
      <c r="K9" s="3">
        <v>6.7</v>
      </c>
    </row>
    <row r="10" spans="1:63" x14ac:dyDescent="0.25">
      <c r="A10" t="s">
        <v>11</v>
      </c>
      <c r="B10" t="s">
        <v>38</v>
      </c>
      <c r="C10" t="s">
        <v>42</v>
      </c>
      <c r="D10" t="str">
        <f t="shared" si="0"/>
        <v>Mod-Nom</v>
      </c>
      <c r="E10" s="3">
        <v>3.4</v>
      </c>
      <c r="F10" s="3">
        <v>5.9</v>
      </c>
      <c r="G10" s="3">
        <v>1.7</v>
      </c>
      <c r="H10" s="3">
        <v>1.6</v>
      </c>
      <c r="I10" s="3">
        <v>1.6</v>
      </c>
      <c r="J10" s="3">
        <v>1.5</v>
      </c>
      <c r="K10" s="1">
        <v>15.5</v>
      </c>
    </row>
    <row r="11" spans="1:63" x14ac:dyDescent="0.25">
      <c r="A11" t="s">
        <v>11</v>
      </c>
      <c r="B11" t="s">
        <v>38</v>
      </c>
      <c r="C11" t="s">
        <v>43</v>
      </c>
      <c r="D11" t="str">
        <f t="shared" si="0"/>
        <v>Mod-H1</v>
      </c>
      <c r="E11" s="3">
        <v>2.7</v>
      </c>
      <c r="F11" s="3">
        <v>4.8</v>
      </c>
      <c r="G11" s="3">
        <v>1.3</v>
      </c>
      <c r="H11" s="3">
        <v>1.2</v>
      </c>
      <c r="I11" s="3">
        <v>1.2</v>
      </c>
      <c r="J11" s="3">
        <v>1.2</v>
      </c>
      <c r="K11" s="3">
        <v>12.399999999999999</v>
      </c>
      <c r="AC11" s="12" t="s">
        <v>93</v>
      </c>
      <c r="AD11" s="13"/>
      <c r="AE11" s="13"/>
      <c r="AF11" s="13"/>
      <c r="AG11" s="13"/>
      <c r="AH11" s="13"/>
      <c r="AI11" s="14"/>
      <c r="AJ11" s="12" t="s">
        <v>94</v>
      </c>
      <c r="AK11" s="13"/>
      <c r="AL11" s="13"/>
      <c r="AM11" s="13"/>
      <c r="AN11" s="13"/>
      <c r="AO11" s="13"/>
      <c r="AP11" s="14"/>
      <c r="AQ11" s="12" t="s">
        <v>95</v>
      </c>
      <c r="AR11" s="13"/>
      <c r="AS11" s="13"/>
      <c r="AT11" s="13"/>
      <c r="AU11" s="13"/>
      <c r="AV11" s="13"/>
      <c r="AW11" s="14"/>
      <c r="AX11" s="12" t="s">
        <v>103</v>
      </c>
      <c r="AY11" s="13"/>
      <c r="AZ11" s="13"/>
      <c r="BA11" s="13"/>
      <c r="BB11" s="13"/>
      <c r="BC11" s="13"/>
      <c r="BD11" s="14"/>
      <c r="BE11" s="12" t="s">
        <v>106</v>
      </c>
      <c r="BF11" s="13"/>
      <c r="BG11" s="13"/>
      <c r="BH11" s="13"/>
      <c r="BI11" s="13"/>
      <c r="BJ11" s="13"/>
      <c r="BK11" s="14"/>
    </row>
    <row r="12" spans="1:63" x14ac:dyDescent="0.25">
      <c r="W12" t="s">
        <v>51</v>
      </c>
      <c r="AC12" s="15" t="s">
        <v>50</v>
      </c>
      <c r="AI12" s="16" t="s">
        <v>58</v>
      </c>
      <c r="AJ12" s="15" t="s">
        <v>50</v>
      </c>
      <c r="AP12" s="16" t="s">
        <v>58</v>
      </c>
      <c r="AQ12" s="15" t="s">
        <v>50</v>
      </c>
      <c r="AW12" s="16" t="s">
        <v>58</v>
      </c>
      <c r="AX12" s="15" t="s">
        <v>50</v>
      </c>
      <c r="BD12" s="16" t="s">
        <v>58</v>
      </c>
      <c r="BE12" s="15" t="s">
        <v>50</v>
      </c>
      <c r="BK12" s="16" t="s">
        <v>58</v>
      </c>
    </row>
    <row r="13" spans="1:63" x14ac:dyDescent="0.25">
      <c r="H13" s="2" t="s">
        <v>92</v>
      </c>
      <c r="I13" s="2" t="s">
        <v>39</v>
      </c>
      <c r="J13" s="2" t="s">
        <v>40</v>
      </c>
      <c r="K13" s="2" t="s">
        <v>41</v>
      </c>
      <c r="L13" s="2" t="s">
        <v>44</v>
      </c>
      <c r="M13" s="2" t="s">
        <v>48</v>
      </c>
      <c r="N13" t="s">
        <v>18</v>
      </c>
      <c r="O13" t="s">
        <v>22</v>
      </c>
      <c r="P13" t="s">
        <v>23</v>
      </c>
      <c r="Q13" t="s">
        <v>19</v>
      </c>
      <c r="R13" t="s">
        <v>20</v>
      </c>
      <c r="S13" t="s">
        <v>24</v>
      </c>
      <c r="T13" t="s">
        <v>25</v>
      </c>
      <c r="U13" t="s">
        <v>49</v>
      </c>
      <c r="W13" t="s">
        <v>35</v>
      </c>
      <c r="X13" t="s">
        <v>36</v>
      </c>
      <c r="Y13" t="s">
        <v>45</v>
      </c>
      <c r="Z13" t="s">
        <v>46</v>
      </c>
      <c r="AA13" t="s">
        <v>47</v>
      </c>
      <c r="AB13" t="s">
        <v>71</v>
      </c>
      <c r="AC13" s="15" t="s">
        <v>35</v>
      </c>
      <c r="AD13" t="s">
        <v>36</v>
      </c>
      <c r="AE13" t="s">
        <v>45</v>
      </c>
      <c r="AF13" t="s">
        <v>46</v>
      </c>
      <c r="AG13" t="s">
        <v>47</v>
      </c>
      <c r="AH13" t="s">
        <v>71</v>
      </c>
      <c r="AI13" s="16" t="s">
        <v>59</v>
      </c>
      <c r="AJ13" s="15" t="s">
        <v>35</v>
      </c>
      <c r="AK13" t="s">
        <v>36</v>
      </c>
      <c r="AL13" t="s">
        <v>45</v>
      </c>
      <c r="AM13" t="s">
        <v>46</v>
      </c>
      <c r="AN13" t="s">
        <v>47</v>
      </c>
      <c r="AO13" t="s">
        <v>71</v>
      </c>
      <c r="AP13" s="16" t="s">
        <v>59</v>
      </c>
      <c r="AQ13" s="15" t="s">
        <v>35</v>
      </c>
      <c r="AR13" t="s">
        <v>36</v>
      </c>
      <c r="AS13" t="s">
        <v>45</v>
      </c>
      <c r="AT13" t="s">
        <v>46</v>
      </c>
      <c r="AU13" t="s">
        <v>47</v>
      </c>
      <c r="AV13" t="s">
        <v>71</v>
      </c>
      <c r="AW13" s="16" t="s">
        <v>59</v>
      </c>
      <c r="AX13" s="15" t="s">
        <v>35</v>
      </c>
      <c r="AY13" t="s">
        <v>36</v>
      </c>
      <c r="AZ13" t="s">
        <v>45</v>
      </c>
      <c r="BA13" t="s">
        <v>46</v>
      </c>
      <c r="BB13" t="s">
        <v>47</v>
      </c>
      <c r="BC13" t="s">
        <v>71</v>
      </c>
      <c r="BD13" s="16" t="s">
        <v>59</v>
      </c>
      <c r="BE13" s="15" t="s">
        <v>35</v>
      </c>
      <c r="BF13" t="s">
        <v>36</v>
      </c>
      <c r="BG13" t="s">
        <v>45</v>
      </c>
      <c r="BH13" t="s">
        <v>46</v>
      </c>
      <c r="BI13" t="s">
        <v>47</v>
      </c>
      <c r="BJ13" t="s">
        <v>71</v>
      </c>
      <c r="BK13" s="16" t="s">
        <v>59</v>
      </c>
    </row>
    <row r="14" spans="1:63" x14ac:dyDescent="0.25">
      <c r="H14" s="4" t="str">
        <f>_xlfn.TEXTJOIN("-", TRUE, L14, I14)</f>
        <v>Mass-Nom-AK</v>
      </c>
      <c r="I14" s="4" t="s">
        <v>3</v>
      </c>
      <c r="J14" s="4" t="s">
        <v>37</v>
      </c>
      <c r="K14" s="4" t="s">
        <v>42</v>
      </c>
      <c r="L14" s="4" t="str">
        <f>CONCATENATE(J14, "-", K14)</f>
        <v>Mass-Nom</v>
      </c>
      <c r="M14" s="4">
        <f>H2</f>
        <v>11</v>
      </c>
      <c r="N14" s="4">
        <v>7</v>
      </c>
      <c r="O14" s="4">
        <f>IF(MOD(N14,1)=0.5,INT(N14/2),N14/2)</f>
        <v>3.5</v>
      </c>
      <c r="P14" s="4">
        <f>N14-O14</f>
        <v>3.5</v>
      </c>
      <c r="Q14" s="4">
        <v>2</v>
      </c>
      <c r="R14" s="4">
        <v>2</v>
      </c>
      <c r="S14" s="4"/>
      <c r="T14" s="4"/>
      <c r="U14" s="4">
        <f>SUM(O14:T14)</f>
        <v>11</v>
      </c>
      <c r="V14" s="4"/>
      <c r="W14" s="4">
        <f>U14</f>
        <v>11</v>
      </c>
      <c r="X14" s="4">
        <f>AA14+AB14</f>
        <v>11</v>
      </c>
      <c r="Y14" s="4">
        <f>SUM(Q14:T14)</f>
        <v>4</v>
      </c>
      <c r="Z14" s="4">
        <f>O14+P14</f>
        <v>7</v>
      </c>
      <c r="AA14" s="4">
        <f>_xlfn.XLOOKUP(H14,Key!$F$8:$F$15,Key!$B$8:$B$15)</f>
        <v>7</v>
      </c>
      <c r="AB14" s="4">
        <f>_xlfn.XLOOKUP(H14,Key!$F$16:$F$23,Key!$E$16:$E$23)</f>
        <v>4</v>
      </c>
      <c r="AC14" s="17">
        <f>LOOKUP($O14,Manufacture!$C$2:$K$2,Manufacture!$C$4:$K$4)+LOOKUP($P14,Manufacture!$C$2:$K$2,Manufacture!$C$4:$K$4)+LOOKUP($Q14,Manufacture!$C$2:$K$2,Manufacture!$C$4:$K$4)+LOOKUP($R14,Manufacture!$C$2:$K$2,Manufacture!$C$4:$K$4)+_xlfn.IFNA(LOOKUP($S14,Manufacture!$C$2:$K$2,Manufacture!$C$4:$K$4),0)+_xlfn.IFNA(LOOKUP($T14,Manufacture!$C$2:$K$2,Manufacture!$C$4:$K$4),0)</f>
        <v>945.71810051217631</v>
      </c>
      <c r="AD14" s="4">
        <f>AG14+AH14</f>
        <v>1534.5082449529411</v>
      </c>
      <c r="AE14" s="4">
        <f>LOOKUP($Q14,Manufacture!$C$2:$K$2,Manufacture!$C$4:$K$4)+LOOKUP($R14,Manufacture!$C$2:$K$2,Manufacture!$C$4:$K$4)+_xlfn.IFNA(LOOKUP($S14,Manufacture!$C$2:$K$2,Manufacture!$C$4:$K$4),0)+_xlfn.IFNA(LOOKUP($T14,Manufacture!$C$2:$K$2,Manufacture!$C$4:$K$4),0)</f>
        <v>330.48616289699044</v>
      </c>
      <c r="AF14" s="4">
        <f>LOOKUP($O14,Manufacture!$C$2:$K$2,Manufacture!$C$4:$K$4)+LOOKUP($P14,Manufacture!$C$2:$K$2,Manufacture!$C$4:$K$4)</f>
        <v>615.23193761518587</v>
      </c>
      <c r="AG14" s="4">
        <f>_xlfn.XLOOKUP($AA14,Manufacture!$C$5:$R$5,Manufacture!$C$7:$R$7)</f>
        <v>959.72589201176459</v>
      </c>
      <c r="AH14" s="4">
        <f>_xlfn.XLOOKUP($AB14,Manufacture!$C$5:$R$5,Manufacture!$C$9:$R$9)</f>
        <v>574.78235294117655</v>
      </c>
      <c r="AI14" s="18">
        <f>LOOKUP(_xlfn.CEILING.MATH($O14,1),Manufacture!$C$21:$G$21,Manufacture!$C$23:$G$23)+LOOKUP(_xlfn.CEILING.MATH($P14),Manufacture!$C$21:$G$21,Manufacture!$C$23:$G$23)+LOOKUP(_xlfn.CEILING.MATH($Q14),Manufacture!$C$21:$G$21,Manufacture!$C$23:$G$23)+LOOKUP(_xlfn.CEILING.MATH($R14),Manufacture!$C$21:$G$21,Manufacture!$C$23:$G$23)+_xlfn.IFNA(LOOKUP(_xlfn.CEILING.MATH($S14),Manufacture!$C$21:$G$21,Manufacture!$C$23:$G$23),0)+_xlfn.IFNA(LOOKUP(_xlfn.CEILING.MATH($T14),Manufacture!$C$21:$G$21,Manufacture!$C$23:$G$23),0)</f>
        <v>1454.3818009274348</v>
      </c>
      <c r="AJ14" s="17">
        <f>LOOKUP($O14,Distribution!$C$2:$K$2,Distribution!$C$4:$K$4)+LOOKUP($P14,Distribution!$C$2:$K$2,Distribution!$C$4:$K$4)+LOOKUP($Q14,Distribution!$C$2:$K$2,Distribution!$C$4:$K$4)+LOOKUP($R14,Distribution!$C$2:$K$2,Distribution!$C$4:$K$4)+_xlfn.IFNA(LOOKUP($S14,Distribution!$C$2:$K$2,Distribution!$C$4:$K$4),0)+_xlfn.IFNA(LOOKUP($T14,Distribution!$C$2:$K$2,Distribution!$C$4:$K$4),0)</f>
        <v>46.407925197529416</v>
      </c>
      <c r="AK14" s="4">
        <f>AN14+AO14</f>
        <v>36.844294649192022</v>
      </c>
      <c r="AL14" s="4">
        <f>LOOKUP($Q14,Distribution!$C$2:$K$2,Distribution!$C$4:$K$4)+LOOKUP($R14,Distribution!$C$2:$K$2,Distribution!$C$4:$K$4)+_xlfn.IFNA(LOOKUP($S14,Distribution!$C$2:$K$2,Distribution!$C$4:$K$4),0)+_xlfn.IFNA(LOOKUP($T14,Distribution!$C$2:$K$2,Distribution!$C$4:$K$4),0)</f>
        <v>16.470579120141178</v>
      </c>
      <c r="AM14" s="4">
        <f>LOOKUP($O14,Distribution!$C$2:$K$2,Distribution!$C$4:$K$4)+LOOKUP($P14,Distribution!$C$2:$K$2,Distribution!$C$4:$K$4)</f>
        <v>29.937346077388234</v>
      </c>
      <c r="AN14" s="4">
        <f>_xlfn.XLOOKUP($AA14,Distribution!$C$5:$R$5,Distribution!$C$7:$R$7)</f>
        <v>20.862810413897904</v>
      </c>
      <c r="AO14" s="4">
        <f>_xlfn.XLOOKUP($AB14,Distribution!$C$5:$R$5,Distribution!$C$9:$R$9)</f>
        <v>15.981484235294117</v>
      </c>
      <c r="AP14" s="18">
        <f>LOOKUP(_xlfn.CEILING.MATH($O14,1),Distribution!$C$21:$G$21,Distribution!$C$23:$G$23)+LOOKUP(_xlfn.CEILING.MATH($P14),Distribution!$C$21:$G$21,Distribution!$C$23:$G$23)+LOOKUP(_xlfn.CEILING.MATH($Q14),Distribution!$C$21:$G$21,Distribution!$C$23:$G$23)+LOOKUP(_xlfn.CEILING.MATH($R14),Distribution!$C$21:$G$21,Distribution!$C$23:$G$23)+_xlfn.IFNA(LOOKUP(_xlfn.CEILING.MATH($S14),Distribution!$C$21:$G$21,Distribution!$C$23:$G$23),0)+_xlfn.IFNA(LOOKUP(_xlfn.CEILING.MATH($T14),Distribution!$C$21:$G$21,Distribution!$C$23:$G$23),0)</f>
        <v>36.551153376569602</v>
      </c>
      <c r="AQ14" s="17">
        <f>LOOKUP($O14,Installation!$C$2:$K$2,Installation!$C$4:$K$4)+LOOKUP($P14,Installation!$C$2:$K$2,Installation!$C$4:$K$4)+LOOKUP($Q14,Installation!$C$2:$K$2,Installation!$C$4:$K$4)+LOOKUP($R14,Installation!$C$2:$K$2,Installation!$C$4:$K$4)+_xlfn.IFNA(LOOKUP($S14,Installation!$C$2:$K$2,Installation!$C$4:$K$4),0)+_xlfn.IFNA(LOOKUP($T14,Installation!$C$2:$K$2,Installation!$C$4:$K$4),0)</f>
        <v>4.6974619796122736</v>
      </c>
      <c r="AR14" s="4">
        <f>AU14+AV14</f>
        <v>92.156538464117645</v>
      </c>
      <c r="AS14" s="4">
        <f>LOOKUP($Q14,Installation!$C$2:$K$2,Installation!$C$4:$K$4)+LOOKUP($R14,Installation!$C$2:$K$2,Installation!$C$4:$K$4)+_xlfn.IFNA(LOOKUP($S14,Installation!$C$2:$K$2,Installation!$C$4:$K$4),0)+_xlfn.IFNA(LOOKUP($T14,Installation!$C$2:$K$2,Installation!$C$4:$K$4),0)</f>
        <v>1.6054691209261442</v>
      </c>
      <c r="AT14" s="4">
        <f>LOOKUP($O14,Installation!$C$2:$K$2,Installation!$C$4:$K$4)+LOOKUP($P14,Installation!$C$2:$K$2,Installation!$C$4:$K$4)</f>
        <v>3.0919928586861296</v>
      </c>
      <c r="AU14" s="4">
        <f>_xlfn.XLOOKUP($AA14,Installation!$C$5:$R$5,Installation!$C$7:$R$7)</f>
        <v>68.562420817058822</v>
      </c>
      <c r="AV14" s="4">
        <f>_xlfn.XLOOKUP($AB14,Installation!$C$5:$R$5,Installation!$C$9:$R$9)</f>
        <v>23.594117647058823</v>
      </c>
      <c r="AW14" s="18">
        <f>LOOKUP(_xlfn.CEILING.MATH($O14,1),Installation!$C$21:$G$21,Installation!$C$23:$G$23)+LOOKUP(_xlfn.CEILING.MATH($P14),Installation!$C$21:$G$21,Installation!$C$23:$G$23)+LOOKUP(_xlfn.CEILING.MATH($Q14),Installation!$C$21:$G$21,Installation!$C$23:$G$23)+LOOKUP(_xlfn.CEILING.MATH($R14),Installation!$C$21:$G$21,Installation!$C$23:$G$23)+_xlfn.IFNA(LOOKUP(_xlfn.CEILING.MATH($S14),Installation!$C$21:$G$21,Installation!$C$23:$G$23),0)+_xlfn.IFNA(LOOKUP(_xlfn.CEILING.MATH($T14),Installation!$C$21:$G$21,Installation!$C$23:$G$23),0)</f>
        <v>11.108997269999998</v>
      </c>
      <c r="AX14" s="17">
        <f>LOOKUP($O14,EOL_R!$C$2:$K$2,EOL_R!$C$4:$K$4)+LOOKUP($P14,EOL_R!$C$2:$K$2,EOL_R!$C$4:$K$4)+LOOKUP($Q14,EOL_R!$C$2:$K$2,EOL_R!$C$4:$K$4)+LOOKUP($R14,EOL_R!$C$2:$K$2,EOL_R!$C$4:$K$4)+_xlfn.IFNA(LOOKUP($S14,EOL_R!$C$2:$K$2,EOL_R!$C$4:$K$4),0)+_xlfn.IFNA(LOOKUP($T14,EOL_R!$C$2:$K$2,EOL_R!$C$4:$K$4),0)</f>
        <v>54.92303662226724</v>
      </c>
      <c r="AY14" s="4">
        <f>BB14+BC14</f>
        <v>107.6106738558843</v>
      </c>
      <c r="AZ14" s="4">
        <f>LOOKUP($Q14,EOL_R!$C$2:$K$2,EOL_R!$C$4:$K$4)+LOOKUP($R14,EOL_R!$C$2:$K$2,EOL_R!$C$4:$K$4)+_xlfn.IFNA(LOOKUP($S14,EOL_R!$C$2:$K$2,EOL_R!$C$4:$K$4),0)+_xlfn.IFNA(LOOKUP($T14,EOL_R!$C$2:$K$2,EOL_R!$C$4:$K$4),0)</f>
        <v>19.484484525958916</v>
      </c>
      <c r="BA14" s="4">
        <f>LOOKUP($O14,EOL_R!$C$2:$K$2,EOL_R!$C$4:$K$4)+LOOKUP($P14,EOL_R!$C$2:$K$2,EOL_R!$C$4:$K$4)</f>
        <v>35.438552096308321</v>
      </c>
      <c r="BB14" s="4">
        <f>_xlfn.XLOOKUP($AA14,EOL_R!$C$5:$R$5,EOL_R!$C$6:$R$6)</f>
        <v>70.42832091470784</v>
      </c>
      <c r="BC14" s="4">
        <f>_xlfn.XLOOKUP($AB14,EOL_R!$C$5:$R$5,EOL_R!$C$9:$R$9)</f>
        <v>37.182352941176468</v>
      </c>
      <c r="BD14" s="18">
        <f>LOOKUP(_xlfn.CEILING.MATH($O14,1),EOL_R!$C$21:$G$21,EOL_R!$C$23:$G$23)+LOOKUP(_xlfn.CEILING.MATH($P14),EOL_R!$C$21:$G$21,EOL_R!$C$23:$G$23)+LOOKUP(_xlfn.CEILING.MATH($Q14),EOL_R!$C$21:$G$21,EOL_R!$C$23:$G$23)+LOOKUP(_xlfn.CEILING.MATH($R14),EOL_R!$C$21:$G$21,EOL_R!$C$23:$G$23)+_xlfn.IFNA(LOOKUP(_xlfn.CEILING.MATH($S14),EOL_R!$C$21:$G$21,EOL_R!$C$23:$G$23),0)+_xlfn.IFNA(LOOKUP(_xlfn.CEILING.MATH($T14),EOL_R!$C$21:$G$21,EOL_R!$C$23:$G$23),0)</f>
        <v>231.689314395</v>
      </c>
      <c r="BE14" s="17">
        <f>LOOKUP($O14,Other_R!$C$2:$K$2,Other_R!$C$4:$K$4)+LOOKUP($P14,Other_R!$C$2:$K$2,Other_R!$C$4:$K$4)+LOOKUP($Q14,Other_R!$C$2:$K$2,Other_R!$C$4:$K$4)+LOOKUP($R14,Other_R!$C$2:$K$2,Other_R!$C$4:$K$4)+_xlfn.IFNA(LOOKUP($S14,Other_R!$C$2:$K$2,Other_R!$C$4:$K$4),0)+_xlfn.IFNA(LOOKUP($T14,Other_R!$C$2:$K$2,Other_R!$C$4:$K$4),0)</f>
        <v>0</v>
      </c>
      <c r="BF14" s="4">
        <f>BI14+BJ14</f>
        <v>460.84467891584814</v>
      </c>
      <c r="BG14" s="4">
        <f>LOOKUP($Q14,Other_R!$C$2:$K$2,Other_R!$C$4:$K$4)+LOOKUP($R14,Other_R!$C$2:$K$2,Other_R!$C$4:$K$4)+_xlfn.IFNA(LOOKUP($S14,Other_R!$C$2:$K$2,Other_R!$C$4:$K$4),0)+_xlfn.IFNA(LOOKUP($T14,Other_R!$C$2:$K$2,Other_R!$C$4:$K$4),0)</f>
        <v>0</v>
      </c>
      <c r="BH14" s="4">
        <f>LOOKUP($O14,Other_R!$C$2:$K$2,Other_R!$C$4:$K$4)+LOOKUP($P14,Other_R!$C$2:$K$2,Other_R!$C$4:$K$4)</f>
        <v>0</v>
      </c>
      <c r="BI14" s="4">
        <f>_xlfn.XLOOKUP($AA14,Other_R!$C$5:$R$5,Other_R!$C$7:$R$7)</f>
        <v>264.43291420996576</v>
      </c>
      <c r="BJ14" s="4">
        <f>_xlfn.XLOOKUP($AB14,Other_R!$C$5:$R$5,Other_R!$C$9:$R$9)</f>
        <v>196.41176470588235</v>
      </c>
      <c r="BK14" s="18">
        <f>LOOKUP(_xlfn.CEILING.MATH($O14,1),Other_R!$C$21:$G$21,Other_R!$C$23:$G$23)+LOOKUP(_xlfn.CEILING.MATH($P14),Other_R!$C$21:$G$21,Other_R!$C$23:$G$23)+LOOKUP(_xlfn.CEILING.MATH($Q14),Other_R!$C$21:$G$21,Other_R!$C$23:$G$23)+LOOKUP(_xlfn.CEILING.MATH($R14),Other_R!$C$21:$G$21,Other_R!$C$23:$G$23)+_xlfn.IFNA(LOOKUP(_xlfn.CEILING.MATH($S14),Other_R!$C$21:$G$21,Other_R!$C$23:$G$23),0)+_xlfn.IFNA(LOOKUP(_xlfn.CEILING.MATH($T14),Other_R!$C$21:$G$21,Other_R!$C$23:$G$23),0)</f>
        <v>1584.1204128749998</v>
      </c>
    </row>
    <row r="15" spans="1:63" x14ac:dyDescent="0.25">
      <c r="H15" s="4" t="str">
        <f t="shared" ref="H15:H21" si="1">_xlfn.TEXTJOIN("-", TRUE, L15, I15)</f>
        <v>Mass-H1-AK</v>
      </c>
      <c r="I15" s="4" t="s">
        <v>3</v>
      </c>
      <c r="J15" s="4" t="s">
        <v>37</v>
      </c>
      <c r="K15" s="4" t="s">
        <v>43</v>
      </c>
      <c r="L15" s="4" t="str">
        <f t="shared" ref="L15:L21" si="2">CONCATENATE(J15, "-", K15)</f>
        <v>Mass-H1</v>
      </c>
      <c r="M15" s="4">
        <f>H3</f>
        <v>6.2</v>
      </c>
      <c r="N15" s="4">
        <v>5</v>
      </c>
      <c r="O15" s="4">
        <f>IF(MOD(N15,1)=0.5,INT(N15/2),N15/2)</f>
        <v>2.5</v>
      </c>
      <c r="P15" s="4">
        <f>N15-O15</f>
        <v>2.5</v>
      </c>
      <c r="Q15" s="4">
        <v>1</v>
      </c>
      <c r="R15" s="4">
        <v>1</v>
      </c>
      <c r="S15" s="4"/>
      <c r="T15" s="4"/>
      <c r="U15" s="4">
        <f t="shared" ref="U15:U21" si="3">SUM(O15:T15)</f>
        <v>7</v>
      </c>
      <c r="V15" s="4"/>
      <c r="W15" s="4">
        <f t="shared" ref="W15:W21" si="4">U15</f>
        <v>7</v>
      </c>
      <c r="X15" s="4">
        <f t="shared" ref="X15:X21" si="5">AA15+AB15</f>
        <v>6.5</v>
      </c>
      <c r="Y15" s="4">
        <f t="shared" ref="Y15:Y21" si="6">SUM(Q15:T15)</f>
        <v>2</v>
      </c>
      <c r="Z15" s="4">
        <f t="shared" ref="Z15:Z21" si="7">O15+P15</f>
        <v>5</v>
      </c>
      <c r="AA15" s="4">
        <f>_xlfn.XLOOKUP(H15,Key!$F$8:$F$15,Key!$B$8:$B$15)</f>
        <v>4.5</v>
      </c>
      <c r="AB15" s="4">
        <f>_xlfn.XLOOKUP(H15,Key!$F$16:$F$23,Key!$E$16:$E$23)</f>
        <v>2</v>
      </c>
      <c r="AC15" s="17">
        <f>LOOKUP($O15,Manufacture!$C$2:$K$2,Manufacture!$C$4:$K$4)+LOOKUP($P15,Manufacture!$C$2:$K$2,Manufacture!$C$4:$K$4)+LOOKUP($Q15,Manufacture!$C$2:$K$2,Manufacture!$C$4:$K$4)+LOOKUP($R15,Manufacture!$C$2:$K$2,Manufacture!$C$4:$K$4)+_xlfn.IFNA(LOOKUP($S15,Manufacture!$C$2:$K$2,Manufacture!$C$4:$K$4),0)+_xlfn.IFNA(LOOKUP($T15,Manufacture!$C$2:$K$2,Manufacture!$C$4:$K$4),0)</f>
        <v>762.75654779699664</v>
      </c>
      <c r="AD15" s="4">
        <f t="shared" ref="AD15:AD21" si="8">AG15+AH15</f>
        <v>1215.5476183941173</v>
      </c>
      <c r="AE15" s="4">
        <f>LOOKUP($Q15,Manufacture!$C$2:$K$2,Manufacture!$C$4:$K$4)+LOOKUP($R15,Manufacture!$C$2:$K$2,Manufacture!$C$4:$K$4)+_xlfn.IFNA(LOOKUP($S15,Manufacture!$C$2:$K$2,Manufacture!$C$4:$K$4),0)+_xlfn.IFNA(LOOKUP($T15,Manufacture!$C$2:$K$2,Manufacture!$C$4:$K$4),0)</f>
        <v>239.00538653940063</v>
      </c>
      <c r="AF15" s="4">
        <f>LOOKUP($O15,Manufacture!$C$2:$K$2,Manufacture!$C$4:$K$4)+LOOKUP($P15,Manufacture!$C$2:$K$2,Manufacture!$C$4:$K$4)</f>
        <v>523.75116125759598</v>
      </c>
      <c r="AG15" s="4">
        <f>_xlfn.XLOOKUP($AA15,Manufacture!$C$5:$R$5,Manufacture!$C$7:$R$7)</f>
        <v>793.81820662941152</v>
      </c>
      <c r="AH15" s="4">
        <f>_xlfn.XLOOKUP($AB15,Manufacture!$C$5:$R$5,Manufacture!$C$9:$R$9)</f>
        <v>421.72941176470584</v>
      </c>
      <c r="AI15" s="18">
        <f>LOOKUP(_xlfn.CEILING.MATH($O15,1),Manufacture!$C$21:$G$21,Manufacture!$C$23:$G$23)+LOOKUP(_xlfn.CEILING.MATH($P15),Manufacture!$C$21:$G$21,Manufacture!$C$23:$G$23)+LOOKUP(_xlfn.CEILING.MATH($Q15),Manufacture!$C$21:$G$21,Manufacture!$C$23:$G$23)+LOOKUP(_xlfn.CEILING.MATH($R15),Manufacture!$C$21:$G$21,Manufacture!$C$23:$G$23)+_xlfn.IFNA(LOOKUP(_xlfn.CEILING.MATH($S15),Manufacture!$C$21:$G$21,Manufacture!$C$23:$G$23),0)+_xlfn.IFNA(LOOKUP(_xlfn.CEILING.MATH($T15),Manufacture!$C$21:$G$21,Manufacture!$C$23:$G$23),0)</f>
        <v>1158.4922338604972</v>
      </c>
      <c r="AJ15" s="17">
        <f>LOOKUP($O15,Distribution!$C$2:$K$2,Distribution!$C$4:$K$4)+LOOKUP($P15,Distribution!$C$2:$K$2,Distribution!$C$4:$K$4)+LOOKUP($Q15,Distribution!$C$2:$K$2,Distribution!$C$4:$K$4)+LOOKUP($R15,Distribution!$C$2:$K$2,Distribution!$C$4:$K$4)+_xlfn.IFNA(LOOKUP($S15,Distribution!$C$2:$K$2,Distribution!$C$4:$K$4),0)+_xlfn.IFNA(LOOKUP($T15,Distribution!$C$2:$K$2,Distribution!$C$4:$K$4),0)</f>
        <v>34.392676545952938</v>
      </c>
      <c r="AK15" s="4">
        <f t="shared" ref="AK15:AK21" si="9">AN15+AO15</f>
        <v>27.448470358391585</v>
      </c>
      <c r="AL15" s="4">
        <f>LOOKUP($Q15,Distribution!$C$2:$K$2,Distribution!$C$4:$K$4)+LOOKUP($R15,Distribution!$C$2:$K$2,Distribution!$C$4:$K$4)+_xlfn.IFNA(LOOKUP($S15,Distribution!$C$2:$K$2,Distribution!$C$4:$K$4),0)+_xlfn.IFNA(LOOKUP($T15,Distribution!$C$2:$K$2,Distribution!$C$4:$K$4),0)</f>
        <v>10.462954794352941</v>
      </c>
      <c r="AM15" s="4">
        <f>LOOKUP($O15,Distribution!$C$2:$K$2,Distribution!$C$4:$K$4)+LOOKUP($P15,Distribution!$C$2:$K$2,Distribution!$C$4:$K$4)</f>
        <v>23.929721751599999</v>
      </c>
      <c r="AN15" s="4">
        <f>_xlfn.XLOOKUP($AA15,Distribution!$C$5:$R$5,Distribution!$C$7:$R$7)</f>
        <v>16.691702123097468</v>
      </c>
      <c r="AO15" s="4">
        <f>_xlfn.XLOOKUP($AB15,Distribution!$C$5:$R$5,Distribution!$C$9:$R$9)</f>
        <v>10.756768235294118</v>
      </c>
      <c r="AP15" s="18">
        <f>LOOKUP(_xlfn.CEILING.MATH($O15,1),Distribution!$C$21:$G$21,Distribution!$C$23:$G$23)+LOOKUP(_xlfn.CEILING.MATH($P15),Distribution!$C$21:$G$21,Distribution!$C$23:$G$23)+LOOKUP(_xlfn.CEILING.MATH($Q15),Distribution!$C$21:$G$21,Distribution!$C$23:$G$23)+LOOKUP(_xlfn.CEILING.MATH($R15),Distribution!$C$21:$G$21,Distribution!$C$23:$G$23)+_xlfn.IFNA(LOOKUP(_xlfn.CEILING.MATH($S15),Distribution!$C$21:$G$21,Distribution!$C$23:$G$23),0)+_xlfn.IFNA(LOOKUP(_xlfn.CEILING.MATH($T15),Distribution!$C$21:$G$21,Distribution!$C$23:$G$23),0)</f>
        <v>29.115699356053732</v>
      </c>
      <c r="AQ15" s="17">
        <f>LOOKUP($O15,Installation!$C$2:$K$2,Installation!$C$4:$K$4)+LOOKUP($P15,Installation!$C$2:$K$2,Installation!$C$4:$K$4)+LOOKUP($Q15,Installation!$C$2:$K$2,Installation!$C$4:$K$4)+LOOKUP($R15,Installation!$C$2:$K$2,Installation!$C$4:$K$4)+_xlfn.IFNA(LOOKUP($S15,Installation!$C$2:$K$2,Installation!$C$4:$K$4),0)+_xlfn.IFNA(LOOKUP($T15,Installation!$C$2:$K$2,Installation!$C$4:$K$4),0)</f>
        <v>4.2216804469476452</v>
      </c>
      <c r="AR15" s="4">
        <f t="shared" ref="AR15:AR21" si="10">AU15+AV15</f>
        <v>76.312009027058821</v>
      </c>
      <c r="AS15" s="4">
        <f>LOOKUP($Q15,Installation!$C$2:$K$2,Installation!$C$4:$K$4)+LOOKUP($R15,Installation!$C$2:$K$2,Installation!$C$4:$K$4)+_xlfn.IFNA(LOOKUP($S15,Installation!$C$2:$K$2,Installation!$C$4:$K$4),0)+_xlfn.IFNA(LOOKUP($T15,Installation!$C$2:$K$2,Installation!$C$4:$K$4),0)</f>
        <v>1.3675783545938294</v>
      </c>
      <c r="AT15" s="4">
        <f>LOOKUP($O15,Installation!$C$2:$K$2,Installation!$C$4:$K$4)+LOOKUP($P15,Installation!$C$2:$K$2,Installation!$C$4:$K$4)</f>
        <v>2.8541020923538154</v>
      </c>
      <c r="AU15" s="4">
        <f>_xlfn.XLOOKUP($AA15,Installation!$C$5:$R$5,Installation!$C$7:$R$7)</f>
        <v>44.564950203529413</v>
      </c>
      <c r="AV15" s="4">
        <f>_xlfn.XLOOKUP($AB15,Installation!$C$5:$R$5,Installation!$C$9:$R$9)</f>
        <v>31.747058823529407</v>
      </c>
      <c r="AW15" s="18">
        <f>LOOKUP(_xlfn.CEILING.MATH($O15,1),Installation!$C$21:$G$21,Installation!$C$23:$G$23)+LOOKUP(_xlfn.CEILING.MATH($P15),Installation!$C$21:$G$21,Installation!$C$23:$G$23)+LOOKUP(_xlfn.CEILING.MATH($Q15),Installation!$C$21:$G$21,Installation!$C$23:$G$23)+LOOKUP(_xlfn.CEILING.MATH($R15),Installation!$C$21:$G$21,Installation!$C$23:$G$23)+_xlfn.IFNA(LOOKUP(_xlfn.CEILING.MATH($S15),Installation!$C$21:$G$21,Installation!$C$23:$G$23),0)+_xlfn.IFNA(LOOKUP(_xlfn.CEILING.MATH($T15),Installation!$C$21:$G$21,Installation!$C$23:$G$23),0)</f>
        <v>6.9315646837500031</v>
      </c>
      <c r="AX15" s="17">
        <f>LOOKUP($O15,EOL_R!$C$2:$K$2,EOL_R!$C$4:$K$4)+LOOKUP($P15,EOL_R!$C$2:$K$2,EOL_R!$C$4:$K$4)+LOOKUP($Q15,EOL_R!$C$2:$K$2,EOL_R!$C$4:$K$4)+LOOKUP($R15,EOL_R!$C$2:$K$2,EOL_R!$C$4:$K$4)+_xlfn.IFNA(LOOKUP($S15,EOL_R!$C$2:$K$2,EOL_R!$C$4:$K$4),0)+_xlfn.IFNA(LOOKUP($T15,EOL_R!$C$2:$K$2,EOL_R!$C$4:$K$4),0)</f>
        <v>40.801368799829156</v>
      </c>
      <c r="AY15" s="4">
        <f t="shared" ref="AY15:AY21" si="11">BB15+BC15</f>
        <v>85.718207813127265</v>
      </c>
      <c r="AZ15" s="4">
        <f>LOOKUP($Q15,EOL_R!$C$2:$K$2,EOL_R!$C$4:$K$4)+LOOKUP($R15,EOL_R!$C$2:$K$2,EOL_R!$C$4:$K$4)+_xlfn.IFNA(LOOKUP($S15,EOL_R!$C$2:$K$2,EOL_R!$C$4:$K$4),0)+_xlfn.IFNA(LOOKUP($T15,EOL_R!$C$2:$K$2,EOL_R!$C$4:$K$4),0)</f>
        <v>12.423650614739874</v>
      </c>
      <c r="BA15" s="4">
        <f>LOOKUP($O15,EOL_R!$C$2:$K$2,EOL_R!$C$4:$K$4)+LOOKUP($P15,EOL_R!$C$2:$K$2,EOL_R!$C$4:$K$4)</f>
        <v>28.377718185089282</v>
      </c>
      <c r="BB15" s="4">
        <f>_xlfn.XLOOKUP($AA15,EOL_R!$C$5:$R$5,EOL_R!$C$6:$R$6)</f>
        <v>65.829972519009615</v>
      </c>
      <c r="BC15" s="4">
        <f>_xlfn.XLOOKUP($AB15,EOL_R!$C$5:$R$5,EOL_R!$C$9:$R$9)</f>
        <v>19.888235294117642</v>
      </c>
      <c r="BD15" s="18">
        <f>LOOKUP(_xlfn.CEILING.MATH($O15,1),EOL_R!$C$21:$G$21,EOL_R!$C$23:$G$23)+LOOKUP(_xlfn.CEILING.MATH($P15),EOL_R!$C$21:$G$21,EOL_R!$C$23:$G$23)+LOOKUP(_xlfn.CEILING.MATH($Q15),EOL_R!$C$21:$G$21,EOL_R!$C$23:$G$23)+LOOKUP(_xlfn.CEILING.MATH($R15),EOL_R!$C$21:$G$21,EOL_R!$C$23:$G$23)+_xlfn.IFNA(LOOKUP(_xlfn.CEILING.MATH($S15),EOL_R!$C$21:$G$21,EOL_R!$C$23:$G$23),0)+_xlfn.IFNA(LOOKUP(_xlfn.CEILING.MATH($T15),EOL_R!$C$21:$G$21,EOL_R!$C$23:$G$23),0)</f>
        <v>184.55768966249997</v>
      </c>
      <c r="BE15" s="17">
        <f>LOOKUP($O15,Other_R!$C$2:$K$2,Other_R!$C$4:$K$4)+LOOKUP($P15,Other_R!$C$2:$K$2,Other_R!$C$4:$K$4)+LOOKUP($Q15,Other_R!$C$2:$K$2,Other_R!$C$4:$K$4)+LOOKUP($R15,Other_R!$C$2:$K$2,Other_R!$C$4:$K$4)+_xlfn.IFNA(LOOKUP($S15,Other_R!$C$2:$K$2,Other_R!$C$4:$K$4),0)+_xlfn.IFNA(LOOKUP($T15,Other_R!$C$2:$K$2,Other_R!$C$4:$K$4),0)</f>
        <v>0</v>
      </c>
      <c r="BF15" s="4">
        <f t="shared" ref="BF15:BF21" si="12">BI15+BJ15</f>
        <v>480.35241137292394</v>
      </c>
      <c r="BG15" s="4">
        <f>LOOKUP($Q15,Other_R!$C$2:$K$2,Other_R!$C$4:$K$4)+LOOKUP($R15,Other_R!$C$2:$K$2,Other_R!$C$4:$K$4)+_xlfn.IFNA(LOOKUP($S15,Other_R!$C$2:$K$2,Other_R!$C$4:$K$4),0)+_xlfn.IFNA(LOOKUP($T15,Other_R!$C$2:$K$2,Other_R!$C$4:$K$4),0)</f>
        <v>0</v>
      </c>
      <c r="BH15" s="4">
        <f>LOOKUP($O15,Other_R!$C$2:$K$2,Other_R!$C$4:$K$4)+LOOKUP($P15,Other_R!$C$2:$K$2,Other_R!$C$4:$K$4)</f>
        <v>0</v>
      </c>
      <c r="BI15" s="4">
        <f>_xlfn.XLOOKUP($AA15,Other_R!$C$5:$R$5,Other_R!$C$7:$R$7)</f>
        <v>283.94064666704156</v>
      </c>
      <c r="BJ15" s="4">
        <f>_xlfn.XLOOKUP($AB15,Other_R!$C$5:$R$5,Other_R!$C$9:$R$9)</f>
        <v>196.41176470588235</v>
      </c>
      <c r="BK15" s="18">
        <f>LOOKUP(_xlfn.CEILING.MATH($O15,1),Other_R!$C$21:$G$21,Other_R!$C$23:$G$23)+LOOKUP(_xlfn.CEILING.MATH($P15),Other_R!$C$21:$G$21,Other_R!$C$23:$G$23)+LOOKUP(_xlfn.CEILING.MATH($Q15),Other_R!$C$21:$G$21,Other_R!$C$23:$G$23)+LOOKUP(_xlfn.CEILING.MATH($R15),Other_R!$C$21:$G$21,Other_R!$C$23:$G$23)+_xlfn.IFNA(LOOKUP(_xlfn.CEILING.MATH($S15),Other_R!$C$21:$G$21,Other_R!$C$23:$G$23),0)+_xlfn.IFNA(LOOKUP(_xlfn.CEILING.MATH($T15),Other_R!$C$21:$G$21,Other_R!$C$23:$G$23),0)</f>
        <v>1221.2623546724999</v>
      </c>
    </row>
    <row r="16" spans="1:63" x14ac:dyDescent="0.25">
      <c r="H16" s="4" t="str">
        <f t="shared" si="1"/>
        <v>Mass-Nom-CH</v>
      </c>
      <c r="I16" s="4" t="s">
        <v>11</v>
      </c>
      <c r="J16" s="4" t="s">
        <v>37</v>
      </c>
      <c r="K16" s="4" t="s">
        <v>42</v>
      </c>
      <c r="L16" s="4" t="str">
        <f t="shared" si="2"/>
        <v>Mass-Nom</v>
      </c>
      <c r="M16" s="4">
        <f>H4</f>
        <v>15.2</v>
      </c>
      <c r="N16" s="4">
        <v>8.5</v>
      </c>
      <c r="O16" s="4">
        <f>IF(MOD(N16,1)=0.5,INT(N16/2),N16/2)</f>
        <v>4</v>
      </c>
      <c r="P16" s="4">
        <f>N16-O16</f>
        <v>4.5</v>
      </c>
      <c r="Q16" s="4">
        <v>3.5</v>
      </c>
      <c r="R16" s="4">
        <v>3.5</v>
      </c>
      <c r="S16" s="4"/>
      <c r="T16" s="4"/>
      <c r="U16" s="4">
        <f t="shared" si="3"/>
        <v>15.5</v>
      </c>
      <c r="V16" s="4"/>
      <c r="W16" s="4">
        <f t="shared" si="4"/>
        <v>15.5</v>
      </c>
      <c r="X16" s="4">
        <f t="shared" si="5"/>
        <v>15.5</v>
      </c>
      <c r="Y16" s="4">
        <f t="shared" si="6"/>
        <v>7</v>
      </c>
      <c r="Z16" s="4">
        <f t="shared" si="7"/>
        <v>8.5</v>
      </c>
      <c r="AA16" s="4">
        <f>_xlfn.XLOOKUP(H16,Key!$F$8:$F$15,Key!$B$8:$B$15)</f>
        <v>8.5</v>
      </c>
      <c r="AB16" s="4">
        <f>_xlfn.XLOOKUP(H16,Key!$F$16:$F$23,Key!$E$16:$E$23)</f>
        <v>7</v>
      </c>
      <c r="AC16" s="17">
        <f>LOOKUP($O16,Manufacture!$C$2:$K$2,Manufacture!$C$4:$K$4)+LOOKUP($P16,Manufacture!$C$2:$K$2,Manufacture!$C$4:$K$4)+LOOKUP($Q16,Manufacture!$C$2:$K$2,Manufacture!$C$4:$K$4)+LOOKUP($R16,Manufacture!$C$2:$K$2,Manufacture!$C$4:$K$4)+_xlfn.IFNA(LOOKUP($S16,Manufacture!$C$2:$K$2,Manufacture!$C$4:$K$4),0)+_xlfn.IFNA(LOOKUP($T16,Manufacture!$C$2:$K$2,Manufacture!$C$4:$K$4),0)</f>
        <v>1372.8367625894696</v>
      </c>
      <c r="AD16" s="4">
        <f t="shared" si="8"/>
        <v>2011.6822679470588</v>
      </c>
      <c r="AE16" s="4">
        <f>LOOKUP($Q16,Manufacture!$C$2:$K$2,Manufacture!$C$4:$K$4)+LOOKUP($R16,Manufacture!$C$2:$K$2,Manufacture!$C$4:$K$4)+_xlfn.IFNA(LOOKUP($S16,Manufacture!$C$2:$K$2,Manufacture!$C$4:$K$4),0)+_xlfn.IFNA(LOOKUP($T16,Manufacture!$C$2:$K$2,Manufacture!$C$4:$K$4),0)</f>
        <v>615.23193761518587</v>
      </c>
      <c r="AF16" s="4">
        <f>LOOKUP($O16,Manufacture!$C$2:$K$2,Manufacture!$C$4:$K$4)+LOOKUP($P16,Manufacture!$C$2:$K$2,Manufacture!$C$4:$K$4)</f>
        <v>757.6048249742837</v>
      </c>
      <c r="AG16" s="4">
        <f>_xlfn.XLOOKUP($AA16,Manufacture!$C$5:$R$5,Manufacture!$C$7:$R$7)</f>
        <v>1059.2705032411764</v>
      </c>
      <c r="AH16" s="4">
        <f>_xlfn.XLOOKUP($AB16,Manufacture!$C$5:$R$5,Manufacture!$C$9:$R$9)</f>
        <v>952.41176470588232</v>
      </c>
      <c r="AI16" s="18">
        <f>LOOKUP(_xlfn.CEILING.MATH($O16,1),Manufacture!$C$21:$G$21,Manufacture!$C$23:$G$23)+LOOKUP(_xlfn.CEILING.MATH($P16),Manufacture!$C$21:$G$21,Manufacture!$C$23:$G$23)+LOOKUP(_xlfn.CEILING.MATH($Q16),Manufacture!$C$21:$G$21,Manufacture!$C$23:$G$23)+LOOKUP(_xlfn.CEILING.MATH($R16),Manufacture!$C$21:$G$21,Manufacture!$C$23:$G$23)+_xlfn.IFNA(LOOKUP(_xlfn.CEILING.MATH($S16),Manufacture!$C$21:$G$21,Manufacture!$C$23:$G$23),0)+_xlfn.IFNA(LOOKUP(_xlfn.CEILING.MATH($T16),Manufacture!$C$21:$G$21,Manufacture!$C$23:$G$23),0)</f>
        <v>1824.2055961986114</v>
      </c>
      <c r="AJ16" s="17">
        <f>LOOKUP($O16,Distribution!$C$2:$K$2,Distribution!$C$4:$K$4)+LOOKUP($P16,Distribution!$C$2:$K$2,Distribution!$C$4:$K$4)+LOOKUP($Q16,Distribution!$C$2:$K$2,Distribution!$C$4:$K$4)+LOOKUP($R16,Distribution!$C$2:$K$2,Distribution!$C$4:$K$4)+_xlfn.IFNA(LOOKUP($S16,Distribution!$C$2:$K$2,Distribution!$C$4:$K$4),0)+_xlfn.IFNA(LOOKUP($T16,Distribution!$C$2:$K$2,Distribution!$C$4:$K$4),0)</f>
        <v>66.608075633400006</v>
      </c>
      <c r="AK16" s="4">
        <f t="shared" si="9"/>
        <v>51.02573656116072</v>
      </c>
      <c r="AL16" s="4">
        <f>LOOKUP($Q16,Distribution!$C$2:$K$2,Distribution!$C$4:$K$4)+LOOKUP($R16,Distribution!$C$2:$K$2,Distribution!$C$4:$K$4)+_xlfn.IFNA(LOOKUP($S16,Distribution!$C$2:$K$2,Distribution!$C$4:$K$4),0)+_xlfn.IFNA(LOOKUP($T16,Distribution!$C$2:$K$2,Distribution!$C$4:$K$4),0)</f>
        <v>29.937346077388234</v>
      </c>
      <c r="AM16" s="4">
        <f>LOOKUP($O16,Distribution!$C$2:$K$2,Distribution!$C$4:$K$4)+LOOKUP($P16,Distribution!$C$2:$K$2,Distribution!$C$4:$K$4)</f>
        <v>36.670729556011764</v>
      </c>
      <c r="AN16" s="4">
        <f>_xlfn.XLOOKUP($AA16,Distribution!$C$5:$R$5,Distribution!$C$7:$R$7)</f>
        <v>23.365475384690136</v>
      </c>
      <c r="AO16" s="4">
        <f>_xlfn.XLOOKUP($AB16,Distribution!$C$5:$R$5,Distribution!$C$9:$R$9)</f>
        <v>27.660261176470584</v>
      </c>
      <c r="AP16" s="18">
        <f>LOOKUP(_xlfn.CEILING.MATH($O16,1),Distribution!$C$21:$G$21,Distribution!$C$23:$G$23)+LOOKUP(_xlfn.CEILING.MATH($P16),Distribution!$C$21:$G$21,Distribution!$C$23:$G$23)+LOOKUP(_xlfn.CEILING.MATH($Q16),Distribution!$C$21:$G$21,Distribution!$C$23:$G$23)+LOOKUP(_xlfn.CEILING.MATH($R16),Distribution!$C$21:$G$21,Distribution!$C$23:$G$23)+_xlfn.IFNA(LOOKUP(_xlfn.CEILING.MATH($S16),Distribution!$C$21:$G$21,Distribution!$C$23:$G$23),0)+_xlfn.IFNA(LOOKUP(_xlfn.CEILING.MATH($T16),Distribution!$C$21:$G$21,Distribution!$C$23:$G$23),0)</f>
        <v>45.845470902214494</v>
      </c>
      <c r="AQ16" s="17">
        <f>LOOKUP($O16,Installation!$C$2:$K$2,Installation!$C$4:$K$4)+LOOKUP($P16,Installation!$C$2:$K$2,Installation!$C$4:$K$4)+LOOKUP($Q16,Installation!$C$2:$K$2,Installation!$C$4:$K$4)+LOOKUP($R16,Installation!$C$2:$K$2,Installation!$C$4:$K$4)+_xlfn.IFNA(LOOKUP($S16,Installation!$C$2:$K$2,Installation!$C$4:$K$4),0)+_xlfn.IFNA(LOOKUP($T16,Installation!$C$2:$K$2,Installation!$C$4:$K$4),0)</f>
        <v>6.9272475862522533</v>
      </c>
      <c r="AR16" s="4">
        <f t="shared" si="10"/>
        <v>123.72560905764705</v>
      </c>
      <c r="AS16" s="4">
        <f>LOOKUP($Q16,Installation!$C$2:$K$2,Installation!$C$4:$K$4)+LOOKUP($R16,Installation!$C$2:$K$2,Installation!$C$4:$K$4)+_xlfn.IFNA(LOOKUP($S16,Installation!$C$2:$K$2,Installation!$C$4:$K$4),0)+_xlfn.IFNA(LOOKUP($T16,Installation!$C$2:$K$2,Installation!$C$4:$K$4),0)</f>
        <v>3.0919928586861296</v>
      </c>
      <c r="AT16" s="4">
        <f>LOOKUP($O16,Installation!$C$2:$K$2,Installation!$C$4:$K$4)+LOOKUP($P16,Installation!$C$2:$K$2,Installation!$C$4:$K$4)</f>
        <v>3.8352547275661237</v>
      </c>
      <c r="AU16" s="4">
        <f>_xlfn.XLOOKUP($AA16,Installation!$C$5:$R$5,Installation!$C$7:$R$7)</f>
        <v>82.960903175294106</v>
      </c>
      <c r="AV16" s="4">
        <f>_xlfn.XLOOKUP($AB16,Installation!$C$5:$R$5,Installation!$C$9:$R$9)</f>
        <v>40.764705882352942</v>
      </c>
      <c r="AW16" s="18">
        <f>LOOKUP(_xlfn.CEILING.MATH($O16,1),Installation!$C$21:$G$21,Installation!$C$23:$G$23)+LOOKUP(_xlfn.CEILING.MATH($P16),Installation!$C$21:$G$21,Installation!$C$23:$G$23)+LOOKUP(_xlfn.CEILING.MATH($Q16),Installation!$C$21:$G$21,Installation!$C$23:$G$23)+LOOKUP(_xlfn.CEILING.MATH($R16),Installation!$C$21:$G$21,Installation!$C$23:$G$23)+_xlfn.IFNA(LOOKUP(_xlfn.CEILING.MATH($S16),Installation!$C$21:$G$21,Installation!$C$23:$G$23),0)+_xlfn.IFNA(LOOKUP(_xlfn.CEILING.MATH($T16),Installation!$C$21:$G$21,Installation!$C$23:$G$23),0)</f>
        <v>16.330788002812497</v>
      </c>
      <c r="AX16" s="17">
        <f>LOOKUP($O16,EOL_R!$C$2:$K$2,EOL_R!$C$4:$K$4)+LOOKUP($P16,EOL_R!$C$2:$K$2,EOL_R!$C$4:$K$4)+LOOKUP($Q16,EOL_R!$C$2:$K$2,EOL_R!$C$4:$K$4)+LOOKUP($R16,EOL_R!$C$2:$K$2,EOL_R!$C$4:$K$4)+_xlfn.IFNA(LOOKUP($S16,EOL_R!$C$2:$K$2,EOL_R!$C$4:$K$4),0)+_xlfn.IFNA(LOOKUP($T16,EOL_R!$C$2:$K$2,EOL_R!$C$4:$K$4),0)</f>
        <v>78.854137977791325</v>
      </c>
      <c r="AY16" s="4">
        <f t="shared" si="11"/>
        <v>340.38571935000198</v>
      </c>
      <c r="AZ16" s="4">
        <f>LOOKUP($Q16,EOL_R!$C$2:$K$2,EOL_R!$C$4:$K$4)+LOOKUP($R16,EOL_R!$C$2:$K$2,EOL_R!$C$4:$K$4)+_xlfn.IFNA(LOOKUP($S16,EOL_R!$C$2:$K$2,EOL_R!$C$4:$K$4),0)+_xlfn.IFNA(LOOKUP($T16,EOL_R!$C$2:$K$2,EOL_R!$C$4:$K$4),0)</f>
        <v>35.438552096308321</v>
      </c>
      <c r="BA16" s="4">
        <f>LOOKUP($O16,EOL_R!$C$2:$K$2,EOL_R!$C$4:$K$4)+LOOKUP($P16,EOL_R!$C$2:$K$2,EOL_R!$C$4:$K$4)</f>
        <v>43.415585881483011</v>
      </c>
      <c r="BB16" s="4">
        <f>_xlfn.XLOOKUP($AA16,EOL_R!$C$5:$R$5,EOL_R!$C$6:$R$6)</f>
        <v>85.915131114707847</v>
      </c>
      <c r="BC16" s="4">
        <f>_xlfn.XLOOKUP($AB16,EOL_R!$C$5:$R$5,EOL_R!$C$9:$R$9)</f>
        <v>254.47058823529412</v>
      </c>
      <c r="BD16" s="18">
        <f>LOOKUP(_xlfn.CEILING.MATH($O16,1),EOL_R!$C$21:$G$21,EOL_R!$C$23:$G$23)+LOOKUP(_xlfn.CEILING.MATH($P16),EOL_R!$C$21:$G$21,EOL_R!$C$23:$G$23)+LOOKUP(_xlfn.CEILING.MATH($Q16),EOL_R!$C$21:$G$21,EOL_R!$C$23:$G$23)+LOOKUP(_xlfn.CEILING.MATH($R16),EOL_R!$C$21:$G$21,EOL_R!$C$23:$G$23)+_xlfn.IFNA(LOOKUP(_xlfn.CEILING.MATH($S16),EOL_R!$C$21:$G$21,EOL_R!$C$23:$G$23),0)+_xlfn.IFNA(LOOKUP(_xlfn.CEILING.MATH($T16),EOL_R!$C$21:$G$21,EOL_R!$C$23:$G$23),0)</f>
        <v>290.60384531062499</v>
      </c>
      <c r="BE16" s="17">
        <f>LOOKUP($O16,Other_R!$C$2:$K$2,Other_R!$C$4:$K$4)+LOOKUP($P16,Other_R!$C$2:$K$2,Other_R!$C$4:$K$4)+LOOKUP($Q16,Other_R!$C$2:$K$2,Other_R!$C$4:$K$4)+LOOKUP($R16,Other_R!$C$2:$K$2,Other_R!$C$4:$K$4)+_xlfn.IFNA(LOOKUP($S16,Other_R!$C$2:$K$2,Other_R!$C$4:$K$4),0)+_xlfn.IFNA(LOOKUP($T16,Other_R!$C$2:$K$2,Other_R!$C$4:$K$4),0)</f>
        <v>0</v>
      </c>
      <c r="BF16" s="4">
        <f t="shared" si="12"/>
        <v>591.24700424808236</v>
      </c>
      <c r="BG16" s="4">
        <f>LOOKUP($Q16,Other_R!$C$2:$K$2,Other_R!$C$4:$K$4)+LOOKUP($R16,Other_R!$C$2:$K$2,Other_R!$C$4:$K$4)+_xlfn.IFNA(LOOKUP($S16,Other_R!$C$2:$K$2,Other_R!$C$4:$K$4),0)+_xlfn.IFNA(LOOKUP($T16,Other_R!$C$2:$K$2,Other_R!$C$4:$K$4),0)</f>
        <v>0</v>
      </c>
      <c r="BH16" s="4">
        <f>LOOKUP($O16,Other_R!$C$2:$K$2,Other_R!$C$4:$K$4)+LOOKUP($P16,Other_R!$C$2:$K$2,Other_R!$C$4:$K$4)</f>
        <v>0</v>
      </c>
      <c r="BI16" s="4">
        <f>_xlfn.XLOOKUP($AA16,Other_R!$C$5:$R$5,Other_R!$C$7:$R$7)</f>
        <v>265.12935718925883</v>
      </c>
      <c r="BJ16" s="4">
        <f>_xlfn.XLOOKUP($AB16,Other_R!$C$5:$R$5,Other_R!$C$9:$R$9)</f>
        <v>326.11764705882354</v>
      </c>
      <c r="BK16" s="18">
        <f>LOOKUP(_xlfn.CEILING.MATH($O16,1),Other_R!$C$21:$G$21,Other_R!$C$23:$G$23)+LOOKUP(_xlfn.CEILING.MATH($P16),Other_R!$C$21:$G$21,Other_R!$C$23:$G$23)+LOOKUP(_xlfn.CEILING.MATH($Q16),Other_R!$C$21:$G$21,Other_R!$C$23:$G$23)+LOOKUP(_xlfn.CEILING.MATH($R16),Other_R!$C$21:$G$21,Other_R!$C$23:$G$23)+_xlfn.IFNA(LOOKUP(_xlfn.CEILING.MATH($S16),Other_R!$C$21:$G$21,Other_R!$C$23:$G$23),0)+_xlfn.IFNA(LOOKUP(_xlfn.CEILING.MATH($T16),Other_R!$C$21:$G$21,Other_R!$C$23:$G$23),0)</f>
        <v>2037.6929856281251</v>
      </c>
    </row>
    <row r="17" spans="8:63" x14ac:dyDescent="0.25">
      <c r="H17" s="4" t="str">
        <f t="shared" si="1"/>
        <v>Mass-H1-CH</v>
      </c>
      <c r="I17" s="4" t="s">
        <v>11</v>
      </c>
      <c r="J17" s="4" t="s">
        <v>37</v>
      </c>
      <c r="K17" s="4" t="s">
        <v>43</v>
      </c>
      <c r="L17" s="4" t="str">
        <f t="shared" si="2"/>
        <v>Mass-H1</v>
      </c>
      <c r="M17" s="4">
        <f>H5</f>
        <v>8.1999999999999993</v>
      </c>
      <c r="N17" s="4">
        <v>5</v>
      </c>
      <c r="O17" s="4">
        <f>IF(MOD(N17,1)=0.5,INT(N17/2),N17/2)</f>
        <v>2.5</v>
      </c>
      <c r="P17" s="4">
        <f>N17-O17</f>
        <v>2.5</v>
      </c>
      <c r="Q17" s="4">
        <v>1.5</v>
      </c>
      <c r="R17" s="4">
        <v>2</v>
      </c>
      <c r="S17" s="4"/>
      <c r="T17" s="4"/>
      <c r="U17" s="4">
        <f t="shared" si="3"/>
        <v>8.5</v>
      </c>
      <c r="V17" s="4"/>
      <c r="W17" s="4">
        <f t="shared" si="4"/>
        <v>8.5</v>
      </c>
      <c r="X17" s="4">
        <f t="shared" si="5"/>
        <v>8</v>
      </c>
      <c r="Y17" s="4">
        <f t="shared" si="6"/>
        <v>3.5</v>
      </c>
      <c r="Z17" s="4">
        <f t="shared" si="7"/>
        <v>5</v>
      </c>
      <c r="AA17" s="4">
        <f>_xlfn.XLOOKUP(H17,Key!$F$8:$F$15,Key!$B$8:$B$15)</f>
        <v>5</v>
      </c>
      <c r="AB17" s="4">
        <f>_xlfn.XLOOKUP(H17,Key!$F$16:$F$23,Key!$E$16:$E$23)</f>
        <v>3</v>
      </c>
      <c r="AC17" s="17">
        <f>LOOKUP($O17,Manufacture!$C$2:$K$2,Manufacture!$C$4:$K$4)+LOOKUP($P17,Manufacture!$C$2:$K$2,Manufacture!$C$4:$K$4)+LOOKUP($Q17,Manufacture!$C$2:$K$2,Manufacture!$C$4:$K$4)+LOOKUP($R17,Manufacture!$C$2:$K$2,Manufacture!$C$4:$K$4)+_xlfn.IFNA(LOOKUP($S17,Manufacture!$C$2:$K$2,Manufacture!$C$4:$K$4),0)+_xlfn.IFNA(LOOKUP($T17,Manufacture!$C$2:$K$2,Manufacture!$C$4:$K$4),0)</f>
        <v>831.36713006518892</v>
      </c>
      <c r="AD17" s="4">
        <f t="shared" si="8"/>
        <v>1248.729155470588</v>
      </c>
      <c r="AE17" s="4">
        <f>LOOKUP($Q17,Manufacture!$C$2:$K$2,Manufacture!$C$4:$K$4)+LOOKUP($R17,Manufacture!$C$2:$K$2,Manufacture!$C$4:$K$4)+_xlfn.IFNA(LOOKUP($S17,Manufacture!$C$2:$K$2,Manufacture!$C$4:$K$4),0)+_xlfn.IFNA(LOOKUP($T17,Manufacture!$C$2:$K$2,Manufacture!$C$4:$K$4),0)</f>
        <v>307.61596880759294</v>
      </c>
      <c r="AF17" s="4">
        <f>LOOKUP($O17,Manufacture!$C$2:$K$2,Manufacture!$C$4:$K$4)+LOOKUP($P17,Manufacture!$C$2:$K$2,Manufacture!$C$4:$K$4)</f>
        <v>523.75116125759598</v>
      </c>
      <c r="AG17" s="4">
        <f>_xlfn.XLOOKUP($AA17,Manufacture!$C$5:$R$5,Manufacture!$C$7:$R$7)</f>
        <v>826.99974370588211</v>
      </c>
      <c r="AH17" s="4">
        <f>_xlfn.XLOOKUP($AB17,Manufacture!$C$5:$R$5,Manufacture!$C$9:$R$9)</f>
        <v>421.72941176470584</v>
      </c>
      <c r="AI17" s="18">
        <f>LOOKUP(_xlfn.CEILING.MATH($O17,1),Manufacture!$C$21:$G$21,Manufacture!$C$23:$G$23)+LOOKUP(_xlfn.CEILING.MATH($P17),Manufacture!$C$21:$G$21,Manufacture!$C$23:$G$23)+LOOKUP(_xlfn.CEILING.MATH($Q17),Manufacture!$C$21:$G$21,Manufacture!$C$23:$G$23)+LOOKUP(_xlfn.CEILING.MATH($R17),Manufacture!$C$21:$G$21,Manufacture!$C$23:$G$23)+_xlfn.IFNA(LOOKUP(_xlfn.CEILING.MATH($S17),Manufacture!$C$21:$G$21,Manufacture!$C$23:$G$23),0)+_xlfn.IFNA(LOOKUP(_xlfn.CEILING.MATH($T17),Manufacture!$C$21:$G$21,Manufacture!$C$23:$G$23),0)</f>
        <v>1306.4522828189647</v>
      </c>
      <c r="AJ17" s="17">
        <f>LOOKUP($O17,Distribution!$C$2:$K$2,Distribution!$C$4:$K$4)+LOOKUP($P17,Distribution!$C$2:$K$2,Distribution!$C$4:$K$4)+LOOKUP($Q17,Distribution!$C$2:$K$2,Distribution!$C$4:$K$4)+LOOKUP($R17,Distribution!$C$2:$K$2,Distribution!$C$4:$K$4)+_xlfn.IFNA(LOOKUP($S17,Distribution!$C$2:$K$2,Distribution!$C$4:$K$4),0)+_xlfn.IFNA(LOOKUP($T17,Distribution!$C$2:$K$2,Distribution!$C$4:$K$4),0)</f>
        <v>38.89839479029412</v>
      </c>
      <c r="AK17" s="4">
        <f t="shared" si="9"/>
        <v>28.282692018395689</v>
      </c>
      <c r="AL17" s="4">
        <f>LOOKUP($Q17,Distribution!$C$2:$K$2,Distribution!$C$4:$K$4)+LOOKUP($R17,Distribution!$C$2:$K$2,Distribution!$C$4:$K$4)+_xlfn.IFNA(LOOKUP($S17,Distribution!$C$2:$K$2,Distribution!$C$4:$K$4),0)+_xlfn.IFNA(LOOKUP($T17,Distribution!$C$2:$K$2,Distribution!$C$4:$K$4),0)</f>
        <v>14.968673038694117</v>
      </c>
      <c r="AM17" s="4">
        <f>LOOKUP($O17,Distribution!$C$2:$K$2,Distribution!$C$4:$K$4)+LOOKUP($P17,Distribution!$C$2:$K$2,Distribution!$C$4:$K$4)</f>
        <v>23.929721751599999</v>
      </c>
      <c r="AN17" s="4">
        <f>_xlfn.XLOOKUP($AA17,Distribution!$C$5:$R$5,Distribution!$C$7:$R$7)</f>
        <v>17.525923783101572</v>
      </c>
      <c r="AO17" s="4">
        <f>_xlfn.XLOOKUP($AB17,Distribution!$C$5:$R$5,Distribution!$C$9:$R$9)</f>
        <v>10.756768235294118</v>
      </c>
      <c r="AP17" s="18">
        <f>LOOKUP(_xlfn.CEILING.MATH($O17,1),Distribution!$C$21:$G$21,Distribution!$C$23:$G$23)+LOOKUP(_xlfn.CEILING.MATH($P17),Distribution!$C$21:$G$21,Distribution!$C$23:$G$23)+LOOKUP(_xlfn.CEILING.MATH($Q17),Distribution!$C$21:$G$21,Distribution!$C$23:$G$23)+LOOKUP(_xlfn.CEILING.MATH($R17),Distribution!$C$21:$G$21,Distribution!$C$23:$G$23)+_xlfn.IFNA(LOOKUP(_xlfn.CEILING.MATH($S17),Distribution!$C$21:$G$21,Distribution!$C$23:$G$23),0)+_xlfn.IFNA(LOOKUP(_xlfn.CEILING.MATH($T17),Distribution!$C$21:$G$21,Distribution!$C$23:$G$23),0)</f>
        <v>32.833426366311663</v>
      </c>
      <c r="AQ17" s="17">
        <f>LOOKUP($O17,Installation!$C$2:$K$2,Installation!$C$4:$K$4)+LOOKUP($P17,Installation!$C$2:$K$2,Installation!$C$4:$K$4)+LOOKUP($Q17,Installation!$C$2:$K$2,Installation!$C$4:$K$4)+LOOKUP($R17,Installation!$C$2:$K$2,Installation!$C$4:$K$4)+_xlfn.IFNA(LOOKUP($S17,Installation!$C$2:$K$2,Installation!$C$4:$K$4),0)+_xlfn.IFNA(LOOKUP($T17,Installation!$C$2:$K$2,Installation!$C$4:$K$4),0)</f>
        <v>4.4000985216968802</v>
      </c>
      <c r="AR17" s="4">
        <f t="shared" si="10"/>
        <v>81.111503154705872</v>
      </c>
      <c r="AS17" s="4">
        <f>LOOKUP($Q17,Installation!$C$2:$K$2,Installation!$C$4:$K$4)+LOOKUP($R17,Installation!$C$2:$K$2,Installation!$C$4:$K$4)+_xlfn.IFNA(LOOKUP($S17,Installation!$C$2:$K$2,Installation!$C$4:$K$4),0)+_xlfn.IFNA(LOOKUP($T17,Installation!$C$2:$K$2,Installation!$C$4:$K$4),0)</f>
        <v>1.545996429343065</v>
      </c>
      <c r="AT17" s="4">
        <f>LOOKUP($O17,Installation!$C$2:$K$2,Installation!$C$4:$K$4)+LOOKUP($P17,Installation!$C$2:$K$2,Installation!$C$4:$K$4)</f>
        <v>2.8541020923538154</v>
      </c>
      <c r="AU17" s="4">
        <f>_xlfn.XLOOKUP($AA17,Installation!$C$5:$R$5,Installation!$C$7:$R$7)</f>
        <v>49.364444331176465</v>
      </c>
      <c r="AV17" s="4">
        <f>_xlfn.XLOOKUP($AB17,Installation!$C$5:$R$5,Installation!$C$9:$R$9)</f>
        <v>31.747058823529407</v>
      </c>
      <c r="AW17" s="18">
        <f>LOOKUP(_xlfn.CEILING.MATH($O17,1),Installation!$C$21:$G$21,Installation!$C$23:$G$23)+LOOKUP(_xlfn.CEILING.MATH($P17),Installation!$C$21:$G$21,Installation!$C$23:$G$23)+LOOKUP(_xlfn.CEILING.MATH($Q17),Installation!$C$21:$G$21,Installation!$C$23:$G$23)+LOOKUP(_xlfn.CEILING.MATH($R17),Installation!$C$21:$G$21,Installation!$C$23:$G$23)+_xlfn.IFNA(LOOKUP(_xlfn.CEILING.MATH($S17),Installation!$C$21:$G$21,Installation!$C$23:$G$23),0)+_xlfn.IFNA(LOOKUP(_xlfn.CEILING.MATH($T17),Installation!$C$21:$G$21,Installation!$C$23:$G$23),0)</f>
        <v>9.0202809768750001</v>
      </c>
      <c r="AX17" s="17">
        <f>LOOKUP($O17,EOL_R!$C$2:$K$2,EOL_R!$C$4:$K$4)+LOOKUP($P17,EOL_R!$C$2:$K$2,EOL_R!$C$4:$K$4)+LOOKUP($Q17,EOL_R!$C$2:$K$2,EOL_R!$C$4:$K$4)+LOOKUP($R17,EOL_R!$C$2:$K$2,EOL_R!$C$4:$K$4)+_xlfn.IFNA(LOOKUP($S17,EOL_R!$C$2:$K$2,EOL_R!$C$4:$K$4),0)+_xlfn.IFNA(LOOKUP($T17,EOL_R!$C$2:$K$2,EOL_R!$C$4:$K$4),0)</f>
        <v>46.096994233243443</v>
      </c>
      <c r="AY17" s="4">
        <f t="shared" si="11"/>
        <v>84.802527835086607</v>
      </c>
      <c r="AZ17" s="4">
        <f>LOOKUP($Q17,EOL_R!$C$2:$K$2,EOL_R!$C$4:$K$4)+LOOKUP($R17,EOL_R!$C$2:$K$2,EOL_R!$C$4:$K$4)+_xlfn.IFNA(LOOKUP($S17,EOL_R!$C$2:$K$2,EOL_R!$C$4:$K$4),0)+_xlfn.IFNA(LOOKUP($T17,EOL_R!$C$2:$K$2,EOL_R!$C$4:$K$4),0)</f>
        <v>17.71927604815416</v>
      </c>
      <c r="BA17" s="4">
        <f>LOOKUP($O17,EOL_R!$C$2:$K$2,EOL_R!$C$4:$K$4)+LOOKUP($P17,EOL_R!$C$2:$K$2,EOL_R!$C$4:$K$4)</f>
        <v>28.377718185089282</v>
      </c>
      <c r="BB17" s="4">
        <f>_xlfn.XLOOKUP($AA17,EOL_R!$C$5:$R$5,EOL_R!$C$6:$R$6)</f>
        <v>64.914292540968958</v>
      </c>
      <c r="BC17" s="4">
        <f>_xlfn.XLOOKUP($AB17,EOL_R!$C$5:$R$5,EOL_R!$C$9:$R$9)</f>
        <v>19.888235294117642</v>
      </c>
      <c r="BD17" s="18">
        <f>LOOKUP(_xlfn.CEILING.MATH($O17,1),EOL_R!$C$21:$G$21,EOL_R!$C$23:$G$23)+LOOKUP(_xlfn.CEILING.MATH($P17),EOL_R!$C$21:$G$21,EOL_R!$C$23:$G$23)+LOOKUP(_xlfn.CEILING.MATH($Q17),EOL_R!$C$21:$G$21,EOL_R!$C$23:$G$23)+LOOKUP(_xlfn.CEILING.MATH($R17),EOL_R!$C$21:$G$21,EOL_R!$C$23:$G$23)+_xlfn.IFNA(LOOKUP(_xlfn.CEILING.MATH($S17),EOL_R!$C$21:$G$21,EOL_R!$C$23:$G$23),0)+_xlfn.IFNA(LOOKUP(_xlfn.CEILING.MATH($T17),EOL_R!$C$21:$G$21,EOL_R!$C$23:$G$23),0)</f>
        <v>208.12350202875001</v>
      </c>
      <c r="BE17" s="17">
        <f>LOOKUP($O17,Other_R!$C$2:$K$2,Other_R!$C$4:$K$4)+LOOKUP($P17,Other_R!$C$2:$K$2,Other_R!$C$4:$K$4)+LOOKUP($Q17,Other_R!$C$2:$K$2,Other_R!$C$4:$K$4)+LOOKUP($R17,Other_R!$C$2:$K$2,Other_R!$C$4:$K$4)+_xlfn.IFNA(LOOKUP($S17,Other_R!$C$2:$K$2,Other_R!$C$4:$K$4),0)+_xlfn.IFNA(LOOKUP($T17,Other_R!$C$2:$K$2,Other_R!$C$4:$K$4),0)</f>
        <v>0</v>
      </c>
      <c r="BF17" s="4">
        <f t="shared" si="12"/>
        <v>473.4802875744856</v>
      </c>
      <c r="BG17" s="4">
        <f>LOOKUP($Q17,Other_R!$C$2:$K$2,Other_R!$C$4:$K$4)+LOOKUP($R17,Other_R!$C$2:$K$2,Other_R!$C$4:$K$4)+_xlfn.IFNA(LOOKUP($S17,Other_R!$C$2:$K$2,Other_R!$C$4:$K$4),0)+_xlfn.IFNA(LOOKUP($T17,Other_R!$C$2:$K$2,Other_R!$C$4:$K$4),0)</f>
        <v>0</v>
      </c>
      <c r="BH17" s="4">
        <f>LOOKUP($O17,Other_R!$C$2:$K$2,Other_R!$C$4:$K$4)+LOOKUP($P17,Other_R!$C$2:$K$2,Other_R!$C$4:$K$4)</f>
        <v>0</v>
      </c>
      <c r="BI17" s="4">
        <f>_xlfn.XLOOKUP($AA17,Other_R!$C$5:$R$5,Other_R!$C$7:$R$7)</f>
        <v>277.06852286860322</v>
      </c>
      <c r="BJ17" s="4">
        <f>_xlfn.XLOOKUP($AB17,Other_R!$C$5:$R$5,Other_R!$C$9:$R$9)</f>
        <v>196.41176470588235</v>
      </c>
      <c r="BK17" s="18">
        <f>LOOKUP(_xlfn.CEILING.MATH($O17,1),Other_R!$C$21:$G$21,Other_R!$C$23:$G$23)+LOOKUP(_xlfn.CEILING.MATH($P17),Other_R!$C$21:$G$21,Other_R!$C$23:$G$23)+LOOKUP(_xlfn.CEILING.MATH($Q17),Other_R!$C$21:$G$21,Other_R!$C$23:$G$23)+LOOKUP(_xlfn.CEILING.MATH($R17),Other_R!$C$21:$G$21,Other_R!$C$23:$G$23)+_xlfn.IFNA(LOOKUP(_xlfn.CEILING.MATH($S17),Other_R!$C$21:$G$21,Other_R!$C$23:$G$23),0)+_xlfn.IFNA(LOOKUP(_xlfn.CEILING.MATH($T17),Other_R!$C$21:$G$21,Other_R!$C$23:$G$23),0)</f>
        <v>1402.69138377375</v>
      </c>
    </row>
    <row r="18" spans="8:63" x14ac:dyDescent="0.25">
      <c r="H18" s="4" t="str">
        <f t="shared" si="1"/>
        <v>Mod-Nom-AK</v>
      </c>
      <c r="I18" s="4" t="s">
        <v>3</v>
      </c>
      <c r="J18" s="4" t="s">
        <v>38</v>
      </c>
      <c r="K18" s="4" t="s">
        <v>42</v>
      </c>
      <c r="L18" s="4" t="str">
        <f t="shared" si="2"/>
        <v>Mod-Nom</v>
      </c>
      <c r="M18" s="4">
        <f>K8</f>
        <v>11.000000000000002</v>
      </c>
      <c r="N18" s="4">
        <v>8</v>
      </c>
      <c r="O18" s="4">
        <v>3</v>
      </c>
      <c r="P18" s="4">
        <v>5</v>
      </c>
      <c r="Q18" s="4">
        <v>1</v>
      </c>
      <c r="R18" s="4">
        <v>1</v>
      </c>
      <c r="S18" s="4">
        <v>1</v>
      </c>
      <c r="T18" s="4">
        <v>1</v>
      </c>
      <c r="U18" s="4">
        <f t="shared" si="3"/>
        <v>12</v>
      </c>
      <c r="V18" s="4"/>
      <c r="W18" s="4">
        <f t="shared" si="4"/>
        <v>12</v>
      </c>
      <c r="X18" s="4">
        <f t="shared" si="5"/>
        <v>11</v>
      </c>
      <c r="Y18" s="4">
        <f t="shared" si="6"/>
        <v>4</v>
      </c>
      <c r="Z18" s="4">
        <f t="shared" si="7"/>
        <v>8</v>
      </c>
      <c r="AA18" s="4">
        <f>_xlfn.XLOOKUP(H18,Key!$F$8:$F$15,Key!$B$8:$B$15)</f>
        <v>8</v>
      </c>
      <c r="AB18" s="4">
        <f>_xlfn.XLOOKUP(H18,Key!$F$16:$F$23,Key!$E$16:$E$23)</f>
        <v>3</v>
      </c>
      <c r="AC18" s="17">
        <f>LOOKUP($O18,Manufacture!$C$2:$K$2,Manufacture!$C$4:$K$4)+LOOKUP($P18,Manufacture!$C$2:$K$2,Manufacture!$C$4:$K$4)+LOOKUP($Q18,Manufacture!$C$2:$K$2,Manufacture!$C$4:$K$4)+LOOKUP($R18,Manufacture!$C$2:$K$2,Manufacture!$C$4:$K$4)+_xlfn.IFNA(LOOKUP($S18,Manufacture!$C$2:$K$2,Manufacture!$C$4:$K$4),0)+_xlfn.IFNA(LOOKUP($T18,Manufacture!$C$2:$K$2,Manufacture!$C$4:$K$4),0)</f>
        <v>1286.5077090545929</v>
      </c>
      <c r="AD18" s="4">
        <f t="shared" si="8"/>
        <v>1869.5477896941175</v>
      </c>
      <c r="AE18" s="4">
        <f>LOOKUP($Q18,Manufacture!$C$2:$K$2,Manufacture!$C$4:$K$4)+LOOKUP($R18,Manufacture!$C$2:$K$2,Manufacture!$C$4:$K$4)+_xlfn.IFNA(LOOKUP($S18,Manufacture!$C$2:$K$2,Manufacture!$C$4:$K$4),0)+_xlfn.IFNA(LOOKUP($T18,Manufacture!$C$2:$K$2,Manufacture!$C$4:$K$4),0)</f>
        <v>478.01077307880126</v>
      </c>
      <c r="AF18" s="4">
        <f>LOOKUP($O18,Manufacture!$C$2:$K$2,Manufacture!$C$4:$K$4)+LOOKUP($P18,Manufacture!$C$2:$K$2,Manufacture!$C$4:$K$4)</f>
        <v>808.49693597579153</v>
      </c>
      <c r="AG18" s="4">
        <f>_xlfn.XLOOKUP($AA18,Manufacture!$C$5:$R$5,Manufacture!$C$7:$R$7)</f>
        <v>1026.0889661647059</v>
      </c>
      <c r="AH18" s="4">
        <f>_xlfn.XLOOKUP($AB18,Manufacture!$C$5:$R$5,Manufacture!$C$11:$R$11)</f>
        <v>843.45882352941169</v>
      </c>
      <c r="AI18" s="18">
        <f>LOOKUP(_xlfn.CEILING.MATH($O18,1),Manufacture!$C$21:$G$21,Manufacture!$C$23:$G$23)+LOOKUP(_xlfn.CEILING.MATH($P18),Manufacture!$C$21:$G$21,Manufacture!$C$23:$G$23)+LOOKUP(_xlfn.CEILING.MATH($Q18),Manufacture!$C$21:$G$21,Manufacture!$C$23:$G$23)+LOOKUP(_xlfn.CEILING.MATH($R18),Manufacture!$C$21:$G$21,Manufacture!$C$23:$G$23)+_xlfn.IFNA(LOOKUP(_xlfn.CEILING.MATH($S18),Manufacture!$C$21:$G$21,Manufacture!$C$23:$G$23),0)+_xlfn.IFNA(LOOKUP(_xlfn.CEILING.MATH($T18),Manufacture!$C$21:$G$21,Manufacture!$C$23:$G$23),0)</f>
        <v>1737.7230853657481</v>
      </c>
      <c r="AJ18" s="17">
        <f>LOOKUP($O18,Distribution!$C$2:$K$2,Distribution!$C$4:$K$4)+LOOKUP($P18,Distribution!$C$2:$K$2,Distribution!$C$4:$K$4)+LOOKUP($Q18,Distribution!$C$2:$K$2,Distribution!$C$4:$K$4)+LOOKUP($R18,Distribution!$C$2:$K$2,Distribution!$C$4:$K$4)+_xlfn.IFNA(LOOKUP($S18,Distribution!$C$2:$K$2,Distribution!$C$4:$K$4),0)+_xlfn.IFNA(LOOKUP($T18,Distribution!$C$2:$K$2,Distribution!$C$4:$K$4),0)</f>
        <v>58.322398297552937</v>
      </c>
      <c r="AK18" s="4">
        <f t="shared" si="9"/>
        <v>44.044790198347627</v>
      </c>
      <c r="AL18" s="4">
        <f>LOOKUP($Q18,Distribution!$C$2:$K$2,Distribution!$C$4:$K$4)+LOOKUP($R18,Distribution!$C$2:$K$2,Distribution!$C$4:$K$4)+_xlfn.IFNA(LOOKUP($S18,Distribution!$C$2:$K$2,Distribution!$C$4:$K$4),0)+_xlfn.IFNA(LOOKUP($T18,Distribution!$C$2:$K$2,Distribution!$C$4:$K$4),0)</f>
        <v>20.925909588705881</v>
      </c>
      <c r="AM18" s="4">
        <f>LOOKUP($O18,Distribution!$C$2:$K$2,Distribution!$C$4:$K$4)+LOOKUP($P18,Distribution!$C$2:$K$2,Distribution!$C$4:$K$4)</f>
        <v>37.396488708847059</v>
      </c>
      <c r="AN18" s="4">
        <f>_xlfn.XLOOKUP($AA18,Distribution!$C$5:$R$5,Distribution!$C$7:$R$7)</f>
        <v>22.531253727759392</v>
      </c>
      <c r="AO18" s="4">
        <f>_xlfn.XLOOKUP($AB18,Distribution!$C$5:$R$5,Distribution!$C$11:$R$11)</f>
        <v>21.513536470588235</v>
      </c>
      <c r="AP18" s="18">
        <f>LOOKUP(_xlfn.CEILING.MATH($O18,1),Distribution!$C$21:$G$21,Distribution!$C$23:$G$23)+LOOKUP(_xlfn.CEILING.MATH($P18),Distribution!$C$21:$G$21,Distribution!$C$23:$G$23)+LOOKUP(_xlfn.CEILING.MATH($Q18),Distribution!$C$21:$G$21,Distribution!$C$23:$G$23)+LOOKUP(_xlfn.CEILING.MATH($R18),Distribution!$C$21:$G$21,Distribution!$C$23:$G$23)+_xlfn.IFNA(LOOKUP(_xlfn.CEILING.MATH($S18),Distribution!$C$21:$G$21,Distribution!$C$23:$G$23),0)+_xlfn.IFNA(LOOKUP(_xlfn.CEILING.MATH($T18),Distribution!$C$21:$G$21,Distribution!$C$23:$G$23),0)</f>
        <v>43.673549034080558</v>
      </c>
      <c r="AQ18" s="17">
        <f>LOOKUP($O18,Installation!$C$2:$K$2,Installation!$C$4:$K$4)+LOOKUP($P18,Installation!$C$2:$K$2,Installation!$C$4:$K$4)+LOOKUP($Q18,Installation!$C$2:$K$2,Installation!$C$4:$K$4)+LOOKUP($R18,Installation!$C$2:$K$2,Installation!$C$4:$K$4)+_xlfn.IFNA(LOOKUP($S18,Installation!$C$2:$K$2,Installation!$C$4:$K$4),0)+_xlfn.IFNA(LOOKUP($T18,Installation!$C$2:$K$2,Installation!$C$4:$K$4),0)</f>
        <v>7.0757825393014615</v>
      </c>
      <c r="AR18" s="4">
        <f t="shared" si="10"/>
        <v>141.5319972952941</v>
      </c>
      <c r="AS18" s="4">
        <f>LOOKUP($Q18,Installation!$C$2:$K$2,Installation!$C$4:$K$4)+LOOKUP($R18,Installation!$C$2:$K$2,Installation!$C$4:$K$4)+_xlfn.IFNA(LOOKUP($S18,Installation!$C$2:$K$2,Installation!$C$4:$K$4),0)+_xlfn.IFNA(LOOKUP($T18,Installation!$C$2:$K$2,Installation!$C$4:$K$4),0)</f>
        <v>2.7351567091876587</v>
      </c>
      <c r="AT18" s="4">
        <f>LOOKUP($O18,Installation!$C$2:$K$2,Installation!$C$4:$K$4)+LOOKUP($P18,Installation!$C$2:$K$2,Installation!$C$4:$K$4)</f>
        <v>4.3406258301138019</v>
      </c>
      <c r="AU18" s="4">
        <f>_xlfn.XLOOKUP($AA18,Installation!$C$5:$R$5,Installation!$C$7:$R$7)</f>
        <v>78.161409059999983</v>
      </c>
      <c r="AV18" s="4">
        <f>_xlfn.XLOOKUP($AB18,Installation!$C$5:$R$5,Installation!$C$11:$R$11)</f>
        <v>63.370588235294115</v>
      </c>
      <c r="AW18" s="18">
        <f>LOOKUP(_xlfn.CEILING.MATH($O18,1),Installation!$C$21:$G$21,Installation!$C$23:$G$23)+LOOKUP(_xlfn.CEILING.MATH($P18),Installation!$C$21:$G$21,Installation!$C$23:$G$23)+LOOKUP(_xlfn.CEILING.MATH($Q18),Installation!$C$21:$G$21,Installation!$C$23:$G$23)+LOOKUP(_xlfn.CEILING.MATH($R18),Installation!$C$21:$G$21,Installation!$C$23:$G$23)+_xlfn.IFNA(LOOKUP(_xlfn.CEILING.MATH($S18),Installation!$C$21:$G$21,Installation!$C$23:$G$23),0)+_xlfn.IFNA(LOOKUP(_xlfn.CEILING.MATH($T18),Installation!$C$21:$G$21,Installation!$C$23:$G$23),0)</f>
        <v>10.397347025625006</v>
      </c>
      <c r="AX18" s="17">
        <f>LOOKUP($O18,EOL_R!$C$2:$K$2,EOL_R!$C$4:$K$4)+LOOKUP($P18,EOL_R!$C$2:$K$2,EOL_R!$C$4:$K$4)+LOOKUP($Q18,EOL_R!$C$2:$K$2,EOL_R!$C$4:$K$4)+LOOKUP($R18,EOL_R!$C$2:$K$2,EOL_R!$C$4:$K$4)+_xlfn.IFNA(LOOKUP($S18,EOL_R!$C$2:$K$2,EOL_R!$C$4:$K$4),0)+_xlfn.IFNA(LOOKUP($T18,EOL_R!$C$2:$K$2,EOL_R!$C$4:$K$4),0)</f>
        <v>69.179086984918428</v>
      </c>
      <c r="AY18" s="4">
        <f t="shared" si="11"/>
        <v>119.17050807353138</v>
      </c>
      <c r="AZ18" s="4">
        <f>LOOKUP($Q18,EOL_R!$C$2:$K$2,EOL_R!$C$4:$K$4)+LOOKUP($R18,EOL_R!$C$2:$K$2,EOL_R!$C$4:$K$4)+_xlfn.IFNA(LOOKUP($S18,EOL_R!$C$2:$K$2,EOL_R!$C$4:$K$4),0)+_xlfn.IFNA(LOOKUP($T18,EOL_R!$C$2:$K$2,EOL_R!$C$4:$K$4),0)</f>
        <v>24.847301229479747</v>
      </c>
      <c r="BA18" s="4">
        <f>LOOKUP($O18,EOL_R!$C$2:$K$2,EOL_R!$C$4:$K$4)+LOOKUP($P18,EOL_R!$C$2:$K$2,EOL_R!$C$4:$K$4)</f>
        <v>44.331785755438688</v>
      </c>
      <c r="BB18" s="4">
        <f>_xlfn.XLOOKUP($AA18,EOL_R!$C$5:$R$5,EOL_R!$C$6:$R$6)</f>
        <v>80.752861014707847</v>
      </c>
      <c r="BC18" s="4">
        <f>_xlfn.XLOOKUP($AB18,EOL_R!$C$5:$R$5,EOL_R!$C$11:$R$11)</f>
        <v>38.417647058823526</v>
      </c>
      <c r="BD18" s="18">
        <f>LOOKUP(_xlfn.CEILING.MATH($O18,1),EOL_R!$C$21:$G$21,EOL_R!$C$23:$G$23)+LOOKUP(_xlfn.CEILING.MATH($P18),EOL_R!$C$21:$G$21,EOL_R!$C$23:$G$23)+LOOKUP(_xlfn.CEILING.MATH($Q18),EOL_R!$C$21:$G$21,EOL_R!$C$23:$G$23)+LOOKUP(_xlfn.CEILING.MATH($R18),EOL_R!$C$21:$G$21,EOL_R!$C$23:$G$23)+_xlfn.IFNA(LOOKUP(_xlfn.CEILING.MATH($S18),EOL_R!$C$21:$G$21,EOL_R!$C$23:$G$23),0)+_xlfn.IFNA(LOOKUP(_xlfn.CEILING.MATH($T18),EOL_R!$C$21:$G$21,EOL_R!$C$23:$G$23),0)</f>
        <v>276.83653449374992</v>
      </c>
      <c r="BE18" s="17">
        <f>LOOKUP($O18,Other_R!$C$2:$K$2,Other_R!$C$4:$K$4)+LOOKUP($P18,Other_R!$C$2:$K$2,Other_R!$C$4:$K$4)+LOOKUP($Q18,Other_R!$C$2:$K$2,Other_R!$C$4:$K$4)+LOOKUP($R18,Other_R!$C$2:$K$2,Other_R!$C$4:$K$4)+_xlfn.IFNA(LOOKUP($S18,Other_R!$C$2:$K$2,Other_R!$C$4:$K$4),0)+_xlfn.IFNA(LOOKUP($T18,Other_R!$C$2:$K$2,Other_R!$C$4:$K$4),0)</f>
        <v>0</v>
      </c>
      <c r="BF18" s="4">
        <f t="shared" si="12"/>
        <v>657.00509128131785</v>
      </c>
      <c r="BG18" s="4">
        <f>LOOKUP($Q18,Other_R!$C$2:$K$2,Other_R!$C$4:$K$4)+LOOKUP($R18,Other_R!$C$2:$K$2,Other_R!$C$4:$K$4)+_xlfn.IFNA(LOOKUP($S18,Other_R!$C$2:$K$2,Other_R!$C$4:$K$4),0)+_xlfn.IFNA(LOOKUP($T18,Other_R!$C$2:$K$2,Other_R!$C$4:$K$4),0)</f>
        <v>0</v>
      </c>
      <c r="BH18" s="4">
        <f>LOOKUP($O18,Other_R!$C$2:$K$2,Other_R!$C$4:$K$4)+LOOKUP($P18,Other_R!$C$2:$K$2,Other_R!$C$4:$K$4)</f>
        <v>0</v>
      </c>
      <c r="BI18" s="4">
        <f>_xlfn.XLOOKUP($AA18,Other_R!$C$5:$R$5,Other_R!$C$7:$R$7)</f>
        <v>264.18156186955321</v>
      </c>
      <c r="BJ18" s="4">
        <f>_xlfn.XLOOKUP($AB18,Other_R!$C$5:$R$5,Other_R!$C$11:$R$11)</f>
        <v>392.8235294117647</v>
      </c>
      <c r="BK18" s="18">
        <f>LOOKUP(_xlfn.CEILING.MATH($O18,1),Other_R!$C$21:$G$21,Other_R!$C$23:$G$23)+LOOKUP(_xlfn.CEILING.MATH($P18),Other_R!$C$21:$G$21,Other_R!$C$23:$G$23)+LOOKUP(_xlfn.CEILING.MATH($Q18),Other_R!$C$21:$G$21,Other_R!$C$23:$G$23)+LOOKUP(_xlfn.CEILING.MATH($R18),Other_R!$C$21:$G$21,Other_R!$C$23:$G$23)+_xlfn.IFNA(LOOKUP(_xlfn.CEILING.MATH($S18),Other_R!$C$21:$G$21,Other_R!$C$23:$G$23),0)+_xlfn.IFNA(LOOKUP(_xlfn.CEILING.MATH($T18),Other_R!$C$21:$G$21,Other_R!$C$23:$G$23),0)</f>
        <v>1831.8935320087501</v>
      </c>
    </row>
    <row r="19" spans="8:63" x14ac:dyDescent="0.25">
      <c r="H19" s="4" t="str">
        <f t="shared" si="1"/>
        <v>Mod-H1-AK</v>
      </c>
      <c r="I19" s="4" t="s">
        <v>3</v>
      </c>
      <c r="J19" s="4" t="s">
        <v>38</v>
      </c>
      <c r="K19" s="4" t="s">
        <v>43</v>
      </c>
      <c r="L19" s="4" t="str">
        <f t="shared" si="2"/>
        <v>Mod-H1</v>
      </c>
      <c r="M19" s="4">
        <f>K9</f>
        <v>6.7</v>
      </c>
      <c r="N19" s="4">
        <v>5</v>
      </c>
      <c r="O19" s="4">
        <v>2.5</v>
      </c>
      <c r="P19" s="4">
        <v>2</v>
      </c>
      <c r="Q19" s="4">
        <v>1</v>
      </c>
      <c r="R19" s="4">
        <v>1</v>
      </c>
      <c r="S19" s="4">
        <v>1</v>
      </c>
      <c r="T19" s="4">
        <v>1</v>
      </c>
      <c r="U19" s="4">
        <f t="shared" si="3"/>
        <v>8.5</v>
      </c>
      <c r="V19" s="4"/>
      <c r="W19" s="4">
        <f t="shared" si="4"/>
        <v>8.5</v>
      </c>
      <c r="X19" s="4">
        <f t="shared" si="5"/>
        <v>6.5</v>
      </c>
      <c r="Y19" s="4">
        <f t="shared" si="6"/>
        <v>4</v>
      </c>
      <c r="Z19" s="4">
        <f t="shared" si="7"/>
        <v>4.5</v>
      </c>
      <c r="AA19" s="4">
        <f>_xlfn.XLOOKUP(H19,Key!$F$8:$F$15,Key!$B$8:$B$15)</f>
        <v>4.5</v>
      </c>
      <c r="AB19" s="4">
        <f>_xlfn.XLOOKUP(H19,Key!$F$16:$F$23,Key!$E$16:$E$23)</f>
        <v>2</v>
      </c>
      <c r="AC19" s="17">
        <f>LOOKUP($O19,Manufacture!$C$2:$K$2,Manufacture!$C$4:$K$4)+LOOKUP($P19,Manufacture!$C$2:$K$2,Manufacture!$C$4:$K$4)+LOOKUP($Q19,Manufacture!$C$2:$K$2,Manufacture!$C$4:$K$4)+LOOKUP($R19,Manufacture!$C$2:$K$2,Manufacture!$C$4:$K$4)+_xlfn.IFNA(LOOKUP($S19,Manufacture!$C$2:$K$2,Manufacture!$C$4:$K$4),0)+_xlfn.IFNA(LOOKUP($T19,Manufacture!$C$2:$K$2,Manufacture!$C$4:$K$4),0)</f>
        <v>905.12943515609447</v>
      </c>
      <c r="AD19" s="4">
        <f t="shared" si="8"/>
        <v>1637.2770301588232</v>
      </c>
      <c r="AE19" s="4">
        <f>LOOKUP($Q19,Manufacture!$C$2:$K$2,Manufacture!$C$4:$K$4)+LOOKUP($R19,Manufacture!$C$2:$K$2,Manufacture!$C$4:$K$4)+_xlfn.IFNA(LOOKUP($S19,Manufacture!$C$2:$K$2,Manufacture!$C$4:$K$4),0)+_xlfn.IFNA(LOOKUP($T19,Manufacture!$C$2:$K$2,Manufacture!$C$4:$K$4),0)</f>
        <v>478.01077307880126</v>
      </c>
      <c r="AF19" s="4">
        <f>LOOKUP($O19,Manufacture!$C$2:$K$2,Manufacture!$C$4:$K$4)+LOOKUP($P19,Manufacture!$C$2:$K$2,Manufacture!$C$4:$K$4)</f>
        <v>427.11866207729321</v>
      </c>
      <c r="AG19" s="4">
        <f>_xlfn.XLOOKUP($AA19,Manufacture!$C$5:$R$5,Manufacture!$C$7:$R$7)</f>
        <v>793.81820662941152</v>
      </c>
      <c r="AH19" s="4">
        <f>_xlfn.XLOOKUP($AB19,Manufacture!$C$5:$R$5,Manufacture!$C$11:$R$11)</f>
        <v>843.45882352941169</v>
      </c>
      <c r="AI19" s="18">
        <f>LOOKUP(_xlfn.CEILING.MATH($O19,1),Manufacture!$C$21:$G$21,Manufacture!$C$23:$G$23)+LOOKUP(_xlfn.CEILING.MATH($P19),Manufacture!$C$21:$G$21,Manufacture!$C$23:$G$23)+LOOKUP(_xlfn.CEILING.MATH($Q19),Manufacture!$C$21:$G$21,Manufacture!$C$23:$G$23)+LOOKUP(_xlfn.CEILING.MATH($R19),Manufacture!$C$21:$G$21,Manufacture!$C$23:$G$23)+_xlfn.IFNA(LOOKUP(_xlfn.CEILING.MATH($S19),Manufacture!$C$21:$G$21,Manufacture!$C$23:$G$23),0)+_xlfn.IFNA(LOOKUP(_xlfn.CEILING.MATH($T19),Manufacture!$C$21:$G$21,Manufacture!$C$23:$G$23),0)</f>
        <v>1515.8288082030419</v>
      </c>
      <c r="AJ19" s="17">
        <f>LOOKUP($O19,Distribution!$C$2:$K$2,Distribution!$C$4:$K$4)+LOOKUP($P19,Distribution!$C$2:$K$2,Distribution!$C$4:$K$4)+LOOKUP($Q19,Distribution!$C$2:$K$2,Distribution!$C$4:$K$4)+LOOKUP($R19,Distribution!$C$2:$K$2,Distribution!$C$4:$K$4)+_xlfn.IFNA(LOOKUP($S19,Distribution!$C$2:$K$2,Distribution!$C$4:$K$4),0)+_xlfn.IFNA(LOOKUP($T19,Distribution!$C$2:$K$2,Distribution!$C$4:$K$4),0)</f>
        <v>41.126060024576468</v>
      </c>
      <c r="AK19" s="4">
        <f t="shared" si="9"/>
        <v>38.205238593685706</v>
      </c>
      <c r="AL19" s="4">
        <f>LOOKUP($Q19,Distribution!$C$2:$K$2,Distribution!$C$4:$K$4)+LOOKUP($R19,Distribution!$C$2:$K$2,Distribution!$C$4:$K$4)+_xlfn.IFNA(LOOKUP($S19,Distribution!$C$2:$K$2,Distribution!$C$4:$K$4),0)+_xlfn.IFNA(LOOKUP($T19,Distribution!$C$2:$K$2,Distribution!$C$4:$K$4),0)</f>
        <v>20.925909588705881</v>
      </c>
      <c r="AM19" s="4">
        <f>LOOKUP($O19,Distribution!$C$2:$K$2,Distribution!$C$4:$K$4)+LOOKUP($P19,Distribution!$C$2:$K$2,Distribution!$C$4:$K$4)</f>
        <v>20.20015043587059</v>
      </c>
      <c r="AN19" s="4">
        <f>_xlfn.XLOOKUP($AA19,Distribution!$C$5:$R$5,Distribution!$C$7:$R$7)</f>
        <v>16.691702123097468</v>
      </c>
      <c r="AO19" s="4">
        <f>_xlfn.XLOOKUP($AB19,Distribution!$C$5:$R$5,Distribution!$C$11:$R$11)</f>
        <v>21.513536470588235</v>
      </c>
      <c r="AP19" s="18">
        <f>LOOKUP(_xlfn.CEILING.MATH($O19,1),Distribution!$C$21:$G$21,Distribution!$C$23:$G$23)+LOOKUP(_xlfn.CEILING.MATH($P19),Distribution!$C$21:$G$21,Distribution!$C$23:$G$23)+LOOKUP(_xlfn.CEILING.MATH($Q19),Distribution!$C$21:$G$21,Distribution!$C$23:$G$23)+LOOKUP(_xlfn.CEILING.MATH($R19),Distribution!$C$21:$G$21,Distribution!$C$23:$G$23)+_xlfn.IFNA(LOOKUP(_xlfn.CEILING.MATH($S19),Distribution!$C$21:$G$21,Distribution!$C$23:$G$23),0)+_xlfn.IFNA(LOOKUP(_xlfn.CEILING.MATH($T19),Distribution!$C$21:$G$21,Distribution!$C$23:$G$23),0)</f>
        <v>38.096958518693633</v>
      </c>
      <c r="AQ19" s="17">
        <f>LOOKUP($O19,Installation!$C$2:$K$2,Installation!$C$4:$K$4)+LOOKUP($P19,Installation!$C$2:$K$2,Installation!$C$4:$K$4)+LOOKUP($Q19,Installation!$C$2:$K$2,Installation!$C$4:$K$4)+LOOKUP($R19,Installation!$C$2:$K$2,Installation!$C$4:$K$4)+_xlfn.IFNA(LOOKUP($S19,Installation!$C$2:$K$2,Installation!$C$4:$K$4),0)+_xlfn.IFNA(LOOKUP($T19,Installation!$C$2:$K$2,Installation!$C$4:$K$4),0)</f>
        <v>4.9649423158276393</v>
      </c>
      <c r="AR19" s="4">
        <f t="shared" si="10"/>
        <v>107.93553843882353</v>
      </c>
      <c r="AS19" s="4">
        <f>LOOKUP($Q19,Installation!$C$2:$K$2,Installation!$C$4:$K$4)+LOOKUP($R19,Installation!$C$2:$K$2,Installation!$C$4:$K$4)+_xlfn.IFNA(LOOKUP($S19,Installation!$C$2:$K$2,Installation!$C$4:$K$4),0)+_xlfn.IFNA(LOOKUP($T19,Installation!$C$2:$K$2,Installation!$C$4:$K$4),0)</f>
        <v>2.7351567091876587</v>
      </c>
      <c r="AT19" s="4">
        <f>LOOKUP($O19,Installation!$C$2:$K$2,Installation!$C$4:$K$4)+LOOKUP($P19,Installation!$C$2:$K$2,Installation!$C$4:$K$4)</f>
        <v>2.2297856066399797</v>
      </c>
      <c r="AU19" s="4">
        <f>_xlfn.XLOOKUP($AA19,Installation!$C$5:$R$5,Installation!$C$7:$R$7)</f>
        <v>44.564950203529413</v>
      </c>
      <c r="AV19" s="4">
        <f>_xlfn.XLOOKUP($AB19,Installation!$C$5:$R$5,Installation!$C$11:$R$11)</f>
        <v>63.370588235294115</v>
      </c>
      <c r="AW19" s="18">
        <f>LOOKUP(_xlfn.CEILING.MATH($O19,1),Installation!$C$21:$G$21,Installation!$C$23:$G$23)+LOOKUP(_xlfn.CEILING.MATH($P19),Installation!$C$21:$G$21,Installation!$C$23:$G$23)+LOOKUP(_xlfn.CEILING.MATH($Q19),Installation!$C$21:$G$21,Installation!$C$23:$G$23)+LOOKUP(_xlfn.CEILING.MATH($R19),Installation!$C$21:$G$21,Installation!$C$23:$G$23)+_xlfn.IFNA(LOOKUP(_xlfn.CEILING.MATH($S19),Installation!$C$21:$G$21,Installation!$C$23:$G$23),0)+_xlfn.IFNA(LOOKUP(_xlfn.CEILING.MATH($T19),Installation!$C$21:$G$21,Installation!$C$23:$G$23),0)</f>
        <v>7.2642725859375048</v>
      </c>
      <c r="AX19" s="17">
        <f>LOOKUP($O19,EOL_R!$C$2:$K$2,EOL_R!$C$4:$K$4)+LOOKUP($P19,EOL_R!$C$2:$K$2,EOL_R!$C$4:$K$4)+LOOKUP($Q19,EOL_R!$C$2:$K$2,EOL_R!$C$4:$K$4)+LOOKUP($R19,EOL_R!$C$2:$K$2,EOL_R!$C$4:$K$4)+_xlfn.IFNA(LOOKUP($S19,EOL_R!$C$2:$K$2,EOL_R!$C$4:$K$4),0)+_xlfn.IFNA(LOOKUP($T19,EOL_R!$C$2:$K$2,EOL_R!$C$4:$K$4),0)</f>
        <v>48.778402585003839</v>
      </c>
      <c r="AY19" s="4">
        <f t="shared" si="11"/>
        <v>104.24761957783315</v>
      </c>
      <c r="AZ19" s="4">
        <f>LOOKUP($Q19,EOL_R!$C$2:$K$2,EOL_R!$C$4:$K$4)+LOOKUP($R19,EOL_R!$C$2:$K$2,EOL_R!$C$4:$K$4)+_xlfn.IFNA(LOOKUP($S19,EOL_R!$C$2:$K$2,EOL_R!$C$4:$K$4),0)+_xlfn.IFNA(LOOKUP($T19,EOL_R!$C$2:$K$2,EOL_R!$C$4:$K$4),0)</f>
        <v>24.847301229479747</v>
      </c>
      <c r="BA19" s="4">
        <f>LOOKUP($O19,EOL_R!$C$2:$K$2,EOL_R!$C$4:$K$4)+LOOKUP($P19,EOL_R!$C$2:$K$2,EOL_R!$C$4:$K$4)</f>
        <v>23.931101355524099</v>
      </c>
      <c r="BB19" s="4">
        <f>_xlfn.XLOOKUP($AA19,EOL_R!$C$5:$R$5,EOL_R!$C$6:$R$6)</f>
        <v>65.829972519009615</v>
      </c>
      <c r="BC19" s="4">
        <f>_xlfn.XLOOKUP($AB19,EOL_R!$C$5:$R$5,EOL_R!$C$11:$R$11)</f>
        <v>38.417647058823526</v>
      </c>
      <c r="BD19" s="18">
        <f>LOOKUP(_xlfn.CEILING.MATH($O19,1),EOL_R!$C$21:$G$21,EOL_R!$C$23:$G$23)+LOOKUP(_xlfn.CEILING.MATH($P19),EOL_R!$C$21:$G$21,EOL_R!$C$23:$G$23)+LOOKUP(_xlfn.CEILING.MATH($Q19),EOL_R!$C$21:$G$21,EOL_R!$C$23:$G$23)+LOOKUP(_xlfn.CEILING.MATH($R19),EOL_R!$C$21:$G$21,EOL_R!$C$23:$G$23)+_xlfn.IFNA(LOOKUP(_xlfn.CEILING.MATH($S19),EOL_R!$C$21:$G$21,EOL_R!$C$23:$G$23),0)+_xlfn.IFNA(LOOKUP(_xlfn.CEILING.MATH($T19),EOL_R!$C$21:$G$21,EOL_R!$C$23:$G$23),0)</f>
        <v>241.48781594437497</v>
      </c>
      <c r="BE19" s="17">
        <f>LOOKUP($O19,Other_R!$C$2:$K$2,Other_R!$C$4:$K$4)+LOOKUP($P19,Other_R!$C$2:$K$2,Other_R!$C$4:$K$4)+LOOKUP($Q19,Other_R!$C$2:$K$2,Other_R!$C$4:$K$4)+LOOKUP($R19,Other_R!$C$2:$K$2,Other_R!$C$4:$K$4)+_xlfn.IFNA(LOOKUP($S19,Other_R!$C$2:$K$2,Other_R!$C$4:$K$4),0)+_xlfn.IFNA(LOOKUP($T19,Other_R!$C$2:$K$2,Other_R!$C$4:$K$4),0)</f>
        <v>0</v>
      </c>
      <c r="BF19" s="4">
        <f t="shared" si="12"/>
        <v>676.76417607880626</v>
      </c>
      <c r="BG19" s="4">
        <f>LOOKUP($Q19,Other_R!$C$2:$K$2,Other_R!$C$4:$K$4)+LOOKUP($R19,Other_R!$C$2:$K$2,Other_R!$C$4:$K$4)+_xlfn.IFNA(LOOKUP($S19,Other_R!$C$2:$K$2,Other_R!$C$4:$K$4),0)+_xlfn.IFNA(LOOKUP($T19,Other_R!$C$2:$K$2,Other_R!$C$4:$K$4),0)</f>
        <v>0</v>
      </c>
      <c r="BH19" s="4">
        <f>LOOKUP($O19,Other_R!$C$2:$K$2,Other_R!$C$4:$K$4)+LOOKUP($P19,Other_R!$C$2:$K$2,Other_R!$C$4:$K$4)</f>
        <v>0</v>
      </c>
      <c r="BI19" s="4">
        <f>_xlfn.XLOOKUP($AA19,Other_R!$C$5:$R$5,Other_R!$C$7:$R$7)</f>
        <v>283.94064666704156</v>
      </c>
      <c r="BJ19" s="4">
        <f>_xlfn.XLOOKUP($AB19,Other_R!$C$5:$R$5,Other_R!$C$11:$R$11)</f>
        <v>392.8235294117647</v>
      </c>
      <c r="BK19" s="18">
        <f>LOOKUP(_xlfn.CEILING.MATH($O19,1),Other_R!$C$21:$G$21,Other_R!$C$23:$G$23)+LOOKUP(_xlfn.CEILING.MATH($P19),Other_R!$C$21:$G$21,Other_R!$C$23:$G$23)+LOOKUP(_xlfn.CEILING.MATH($Q19),Other_R!$C$21:$G$21,Other_R!$C$23:$G$23)+LOOKUP(_xlfn.CEILING.MATH($R19),Other_R!$C$21:$G$21,Other_R!$C$23:$G$23)+_xlfn.IFNA(LOOKUP(_xlfn.CEILING.MATH($S19),Other_R!$C$21:$G$21,Other_R!$C$23:$G$23),0)+_xlfn.IFNA(LOOKUP(_xlfn.CEILING.MATH($T19),Other_R!$C$21:$G$21,Other_R!$C$23:$G$23),0)</f>
        <v>1559.7499883568751</v>
      </c>
    </row>
    <row r="20" spans="8:63" x14ac:dyDescent="0.25">
      <c r="H20" s="4" t="str">
        <f t="shared" si="1"/>
        <v>Mod-Nom-CH</v>
      </c>
      <c r="I20" s="4" t="s">
        <v>11</v>
      </c>
      <c r="J20" s="4" t="s">
        <v>38</v>
      </c>
      <c r="K20" s="4" t="s">
        <v>42</v>
      </c>
      <c r="L20" s="4" t="str">
        <f t="shared" si="2"/>
        <v>Mod-Nom</v>
      </c>
      <c r="M20" s="4">
        <f>K10</f>
        <v>15.5</v>
      </c>
      <c r="N20" s="4">
        <v>9</v>
      </c>
      <c r="O20" s="4">
        <v>4.5</v>
      </c>
      <c r="P20" s="4">
        <v>4.5</v>
      </c>
      <c r="Q20" s="4">
        <v>2</v>
      </c>
      <c r="R20" s="4">
        <v>1.5</v>
      </c>
      <c r="S20" s="4">
        <v>1.5</v>
      </c>
      <c r="T20" s="4">
        <v>1.5</v>
      </c>
      <c r="U20" s="4">
        <f t="shared" si="3"/>
        <v>15.5</v>
      </c>
      <c r="V20" s="4"/>
      <c r="W20" s="4">
        <f t="shared" si="4"/>
        <v>15.5</v>
      </c>
      <c r="X20" s="4">
        <f t="shared" si="5"/>
        <v>16</v>
      </c>
      <c r="Y20" s="4">
        <f t="shared" si="6"/>
        <v>6.5</v>
      </c>
      <c r="Z20" s="4">
        <f t="shared" si="7"/>
        <v>9</v>
      </c>
      <c r="AA20" s="4">
        <f>_xlfn.XLOOKUP(H20,Key!$F$8:$F$15,Key!$B$8:$B$15)</f>
        <v>9.5</v>
      </c>
      <c r="AB20" s="4">
        <f>_xlfn.XLOOKUP(H20,Key!$F$16:$F$23,Key!$E$16:$E$23)</f>
        <v>6.5</v>
      </c>
      <c r="AC20" s="17">
        <f>LOOKUP($O20,Manufacture!$C$2:$K$2,Manufacture!$C$4:$K$4)+LOOKUP($P20,Manufacture!$C$2:$K$2,Manufacture!$C$4:$K$4)+LOOKUP($Q20,Manufacture!$C$2:$K$2,Manufacture!$C$4:$K$4)+LOOKUP($R20,Manufacture!$C$2:$K$2,Manufacture!$C$4:$K$4)+_xlfn.IFNA(LOOKUP($S20,Manufacture!$C$2:$K$2,Manufacture!$C$4:$K$4),0)+_xlfn.IFNA(LOOKUP($T20,Manufacture!$C$2:$K$2,Manufacture!$C$4:$K$4),0)</f>
        <v>1446.5990676803744</v>
      </c>
      <c r="AD20" s="4">
        <f t="shared" si="8"/>
        <v>2416.2688715117647</v>
      </c>
      <c r="AE20" s="4">
        <f>LOOKUP($Q20,Manufacture!$C$2:$K$2,Manufacture!$C$4:$K$4)+LOOKUP($R20,Manufacture!$C$2:$K$2,Manufacture!$C$4:$K$4)+_xlfn.IFNA(LOOKUP($S20,Manufacture!$C$2:$K$2,Manufacture!$C$4:$K$4),0)+_xlfn.IFNA(LOOKUP($T20,Manufacture!$C$2:$K$2,Manufacture!$C$4:$K$4),0)</f>
        <v>592.36174352578837</v>
      </c>
      <c r="AF20" s="4">
        <f>LOOKUP($O20,Manufacture!$C$2:$K$2,Manufacture!$C$4:$K$4)+LOOKUP($P20,Manufacture!$C$2:$K$2,Manufacture!$C$4:$K$4)</f>
        <v>854.23732415458642</v>
      </c>
      <c r="AG20" s="4">
        <f>_xlfn.XLOOKUP($AA20,Manufacture!$C$5:$R$5,Manufacture!$C$7:$R$7)</f>
        <v>1125.6335773941175</v>
      </c>
      <c r="AH20" s="4">
        <f>_xlfn.XLOOKUP($AB20,Manufacture!$C$5:$R$5,Manufacture!$C$11:$R$11)</f>
        <v>1290.6352941176469</v>
      </c>
      <c r="AI20" s="18">
        <f>LOOKUP(_xlfn.CEILING.MATH($O20,1),Manufacture!$C$21:$G$21,Manufacture!$C$23:$G$23)+LOOKUP(_xlfn.CEILING.MATH($P20),Manufacture!$C$21:$G$21,Manufacture!$C$23:$G$23)+LOOKUP(_xlfn.CEILING.MATH($Q20),Manufacture!$C$21:$G$21,Manufacture!$C$23:$G$23)+LOOKUP(_xlfn.CEILING.MATH($R20),Manufacture!$C$21:$G$21,Manufacture!$C$23:$G$23)+_xlfn.IFNA(LOOKUP(_xlfn.CEILING.MATH($S20),Manufacture!$C$21:$G$21,Manufacture!$C$23:$G$23),0)+_xlfn.IFNA(LOOKUP(_xlfn.CEILING.MATH($T20),Manufacture!$C$21:$G$21,Manufacture!$C$23:$G$23),0)</f>
        <v>2181.5727013911546</v>
      </c>
      <c r="AJ20" s="17">
        <f>LOOKUP($O20,Distribution!$C$2:$K$2,Distribution!$C$4:$K$4)+LOOKUP($P20,Distribution!$C$2:$K$2,Distribution!$C$4:$K$4)+LOOKUP($Q20,Distribution!$C$2:$K$2,Distribution!$C$4:$K$4)+LOOKUP($R20,Distribution!$C$2:$K$2,Distribution!$C$4:$K$4)+_xlfn.IFNA(LOOKUP($S20,Distribution!$C$2:$K$2,Distribution!$C$4:$K$4),0)+_xlfn.IFNA(LOOKUP($T20,Distribution!$C$2:$K$2,Distribution!$C$4:$K$4),0)</f>
        <v>68.835740867682361</v>
      </c>
      <c r="AK20" s="4">
        <f t="shared" si="9"/>
        <v>60.377585760448525</v>
      </c>
      <c r="AL20" s="4">
        <f>LOOKUP($Q20,Distribution!$C$2:$K$2,Distribution!$C$4:$K$4)+LOOKUP($R20,Distribution!$C$2:$K$2,Distribution!$C$4:$K$4)+_xlfn.IFNA(LOOKUP($S20,Distribution!$C$2:$K$2,Distribution!$C$4:$K$4),0)+_xlfn.IFNA(LOOKUP($T20,Distribution!$C$2:$K$2,Distribution!$C$4:$K$4),0)</f>
        <v>28.435439995941177</v>
      </c>
      <c r="AM20" s="4">
        <f>LOOKUP($O20,Distribution!$C$2:$K$2,Distribution!$C$4:$K$4)+LOOKUP($P20,Distribution!$C$2:$K$2,Distribution!$C$4:$K$4)</f>
        <v>40.40030087174118</v>
      </c>
      <c r="AN20" s="4">
        <f>_xlfn.XLOOKUP($AA20,Distribution!$C$5:$R$5,Distribution!$C$7:$R$7)</f>
        <v>25.033918701624987</v>
      </c>
      <c r="AO20" s="4">
        <f>_xlfn.XLOOKUP($AB20,Distribution!$C$5:$R$5,Distribution!$C$11:$R$11)</f>
        <v>35.343667058823534</v>
      </c>
      <c r="AP20" s="18">
        <f>LOOKUP(_xlfn.CEILING.MATH($O20,1),Distribution!$C$21:$G$21,Distribution!$C$23:$G$23)+LOOKUP(_xlfn.CEILING.MATH($P20),Distribution!$C$21:$G$21,Distribution!$C$23:$G$23)+LOOKUP(_xlfn.CEILING.MATH($Q20),Distribution!$C$21:$G$21,Distribution!$C$23:$G$23)+LOOKUP(_xlfn.CEILING.MATH($R20),Distribution!$C$21:$G$21,Distribution!$C$23:$G$23)+_xlfn.IFNA(LOOKUP(_xlfn.CEILING.MATH($S20),Distribution!$C$21:$G$21,Distribution!$C$23:$G$23),0)+_xlfn.IFNA(LOOKUP(_xlfn.CEILING.MATH($T20),Distribution!$C$21:$G$21,Distribution!$C$23:$G$23),0)</f>
        <v>54.82673006485436</v>
      </c>
      <c r="AQ20" s="17">
        <f>LOOKUP($O20,Installation!$C$2:$K$2,Installation!$C$4:$K$4)+LOOKUP($P20,Installation!$C$2:$K$2,Installation!$C$4:$K$4)+LOOKUP($Q20,Installation!$C$2:$K$2,Installation!$C$4:$K$4)+LOOKUP($R20,Installation!$C$2:$K$2,Installation!$C$4:$K$4)+_xlfn.IFNA(LOOKUP($S20,Installation!$C$2:$K$2,Installation!$C$4:$K$4),0)+_xlfn.IFNA(LOOKUP($T20,Installation!$C$2:$K$2,Installation!$C$4:$K$4),0)</f>
        <v>7.4920913803830116</v>
      </c>
      <c r="AR20" s="4">
        <f t="shared" si="10"/>
        <v>139.00695024176468</v>
      </c>
      <c r="AS20" s="4">
        <f>LOOKUP($Q20,Installation!$C$2:$K$2,Installation!$C$4:$K$4)+LOOKUP($R20,Installation!$C$2:$K$2,Installation!$C$4:$K$4)+_xlfn.IFNA(LOOKUP($S20,Installation!$C$2:$K$2,Installation!$C$4:$K$4),0)+_xlfn.IFNA(LOOKUP($T20,Installation!$C$2:$K$2,Installation!$C$4:$K$4),0)</f>
        <v>3.0325201671030508</v>
      </c>
      <c r="AT20" s="4">
        <f>LOOKUP($O20,Installation!$C$2:$K$2,Installation!$C$4:$K$4)+LOOKUP($P20,Installation!$C$2:$K$2,Installation!$C$4:$K$4)</f>
        <v>4.4595712132799594</v>
      </c>
      <c r="AU20" s="4">
        <f>_xlfn.XLOOKUP($AA20,Installation!$C$5:$R$5,Installation!$C$7:$R$7)</f>
        <v>92.559891418235281</v>
      </c>
      <c r="AV20" s="4">
        <f>_xlfn.XLOOKUP($AB20,Installation!$C$5:$R$5,Installation!$C$11:$R$11)</f>
        <v>46.44705882352941</v>
      </c>
      <c r="AW20" s="18">
        <f>LOOKUP(_xlfn.CEILING.MATH($O20,1),Installation!$C$21:$G$21,Installation!$C$23:$G$23)+LOOKUP(_xlfn.CEILING.MATH($P20),Installation!$C$21:$G$21,Installation!$C$23:$G$23)+LOOKUP(_xlfn.CEILING.MATH($Q20),Installation!$C$21:$G$21,Installation!$C$23:$G$23)+LOOKUP(_xlfn.CEILING.MATH($R20),Installation!$C$21:$G$21,Installation!$C$23:$G$23)+_xlfn.IFNA(LOOKUP(_xlfn.CEILING.MATH($S20),Installation!$C$21:$G$21,Installation!$C$23:$G$23),0)+_xlfn.IFNA(LOOKUP(_xlfn.CEILING.MATH($T20),Installation!$C$21:$G$21,Installation!$C$23:$G$23),0)</f>
        <v>16.663495904999998</v>
      </c>
      <c r="AX20" s="17">
        <f>LOOKUP($O20,EOL_R!$C$2:$K$2,EOL_R!$C$4:$K$4)+LOOKUP($P20,EOL_R!$C$2:$K$2,EOL_R!$C$4:$K$4)+LOOKUP($Q20,EOL_R!$C$2:$K$2,EOL_R!$C$4:$K$4)+LOOKUP($R20,EOL_R!$C$2:$K$2,EOL_R!$C$4:$K$4)+_xlfn.IFNA(LOOKUP($S20,EOL_R!$C$2:$K$2,EOL_R!$C$4:$K$4),0)+_xlfn.IFNA(LOOKUP($T20,EOL_R!$C$2:$K$2,EOL_R!$C$4:$K$4),0)</f>
        <v>81.53554632955175</v>
      </c>
      <c r="AY20" s="4">
        <f t="shared" si="11"/>
        <v>293.51614180294314</v>
      </c>
      <c r="AZ20" s="4">
        <f>LOOKUP($Q20,EOL_R!$C$2:$K$2,EOL_R!$C$4:$K$4)+LOOKUP($R20,EOL_R!$C$2:$K$2,EOL_R!$C$4:$K$4)+_xlfn.IFNA(LOOKUP($S20,EOL_R!$C$2:$K$2,EOL_R!$C$4:$K$4),0)+_xlfn.IFNA(LOOKUP($T20,EOL_R!$C$2:$K$2,EOL_R!$C$4:$K$4),0)</f>
        <v>33.673343618503566</v>
      </c>
      <c r="BA20" s="4">
        <f>LOOKUP($O20,EOL_R!$C$2:$K$2,EOL_R!$C$4:$K$4)+LOOKUP($P20,EOL_R!$C$2:$K$2,EOL_R!$C$4:$K$4)</f>
        <v>47.862202711048191</v>
      </c>
      <c r="BB20" s="4">
        <f>_xlfn.XLOOKUP($AA20,EOL_R!$C$5:$R$5,EOL_R!$C$6:$R$6)</f>
        <v>96.239671214707855</v>
      </c>
      <c r="BC20" s="4">
        <f>_xlfn.XLOOKUP($AB20,EOL_R!$C$5:$R$5,EOL_R!$C$11:$R$11)</f>
        <v>197.27647058823527</v>
      </c>
      <c r="BD20" s="18">
        <f>LOOKUP(_xlfn.CEILING.MATH($O20,1),EOL_R!$C$21:$G$21,EOL_R!$C$23:$G$23)+LOOKUP(_xlfn.CEILING.MATH($P20),EOL_R!$C$21:$G$21,EOL_R!$C$23:$G$23)+LOOKUP(_xlfn.CEILING.MATH($Q20),EOL_R!$C$21:$G$21,EOL_R!$C$23:$G$23)+LOOKUP(_xlfn.CEILING.MATH($R20),EOL_R!$C$21:$G$21,EOL_R!$C$23:$G$23)+_xlfn.IFNA(LOOKUP(_xlfn.CEILING.MATH($S20),EOL_R!$C$21:$G$21,EOL_R!$C$23:$G$23),0)+_xlfn.IFNA(LOOKUP(_xlfn.CEILING.MATH($T20),EOL_R!$C$21:$G$21,EOL_R!$C$23:$G$23),0)</f>
        <v>347.5339715925</v>
      </c>
      <c r="BE20" s="17">
        <f>LOOKUP($O20,Other_R!$C$2:$K$2,Other_R!$C$4:$K$4)+LOOKUP($P20,Other_R!$C$2:$K$2,Other_R!$C$4:$K$4)+LOOKUP($Q20,Other_R!$C$2:$K$2,Other_R!$C$4:$K$4)+LOOKUP($R20,Other_R!$C$2:$K$2,Other_R!$C$4:$K$4)+_xlfn.IFNA(LOOKUP($S20,Other_R!$C$2:$K$2,Other_R!$C$4:$K$4),0)+_xlfn.IFNA(LOOKUP($T20,Other_R!$C$2:$K$2,Other_R!$C$4:$K$4),0)</f>
        <v>0</v>
      </c>
      <c r="BF20" s="4">
        <f t="shared" si="12"/>
        <v>648.01238776093192</v>
      </c>
      <c r="BG20" s="4">
        <f>LOOKUP($Q20,Other_R!$C$2:$K$2,Other_R!$C$4:$K$4)+LOOKUP($R20,Other_R!$C$2:$K$2,Other_R!$C$4:$K$4)+_xlfn.IFNA(LOOKUP($S20,Other_R!$C$2:$K$2,Other_R!$C$4:$K$4),0)+_xlfn.IFNA(LOOKUP($T20,Other_R!$C$2:$K$2,Other_R!$C$4:$K$4),0)</f>
        <v>0</v>
      </c>
      <c r="BH20" s="4">
        <f>LOOKUP($O20,Other_R!$C$2:$K$2,Other_R!$C$4:$K$4)+LOOKUP($P20,Other_R!$C$2:$K$2,Other_R!$C$4:$K$4)</f>
        <v>0</v>
      </c>
      <c r="BI20" s="4">
        <f>_xlfn.XLOOKUP($AA20,Other_R!$C$5:$R$5,Other_R!$C$7:$R$7)</f>
        <v>268.77709364328484</v>
      </c>
      <c r="BJ20" s="4">
        <f>_xlfn.XLOOKUP($AB20,Other_R!$C$5:$R$5,Other_R!$C$11:$R$11)</f>
        <v>379.23529411764707</v>
      </c>
      <c r="BK20" s="18">
        <f>LOOKUP(_xlfn.CEILING.MATH($O20,1),Other_R!$C$21:$G$21,Other_R!$C$23:$G$23)+LOOKUP(_xlfn.CEILING.MATH($P20),Other_R!$C$21:$G$21,Other_R!$C$23:$G$23)+LOOKUP(_xlfn.CEILING.MATH($Q20),Other_R!$C$21:$G$21,Other_R!$C$23:$G$23)+LOOKUP(_xlfn.CEILING.MATH($R20),Other_R!$C$21:$G$21,Other_R!$C$23:$G$23)+_xlfn.IFNA(LOOKUP(_xlfn.CEILING.MATH($S20),Other_R!$C$21:$G$21,Other_R!$C$23:$G$23),0)+_xlfn.IFNA(LOOKUP(_xlfn.CEILING.MATH($T20),Other_R!$C$21:$G$21,Other_R!$C$23:$G$23),0)</f>
        <v>2376.1806193125003</v>
      </c>
    </row>
    <row r="21" spans="8:63" x14ac:dyDescent="0.25">
      <c r="H21" s="4" t="str">
        <f t="shared" si="1"/>
        <v>Mod-H1-CH</v>
      </c>
      <c r="I21" s="4" t="s">
        <v>11</v>
      </c>
      <c r="J21" s="4" t="s">
        <v>38</v>
      </c>
      <c r="K21" s="4" t="s">
        <v>43</v>
      </c>
      <c r="L21" s="4" t="str">
        <f t="shared" si="2"/>
        <v>Mod-H1</v>
      </c>
      <c r="M21" s="4">
        <f>K11</f>
        <v>12.399999999999999</v>
      </c>
      <c r="N21" s="4">
        <v>8</v>
      </c>
      <c r="O21" s="4">
        <v>3</v>
      </c>
      <c r="P21" s="4">
        <v>5</v>
      </c>
      <c r="Q21" s="4">
        <v>1.5</v>
      </c>
      <c r="R21" s="4">
        <v>1</v>
      </c>
      <c r="S21" s="4">
        <v>1</v>
      </c>
      <c r="T21" s="4">
        <v>1</v>
      </c>
      <c r="U21" s="4">
        <f t="shared" si="3"/>
        <v>12.5</v>
      </c>
      <c r="V21" s="4"/>
      <c r="W21" s="4">
        <f t="shared" si="4"/>
        <v>12.5</v>
      </c>
      <c r="X21" s="4">
        <f t="shared" si="5"/>
        <v>12.5</v>
      </c>
      <c r="Y21" s="4">
        <f t="shared" si="6"/>
        <v>4.5</v>
      </c>
      <c r="Z21" s="4">
        <f t="shared" si="7"/>
        <v>8</v>
      </c>
      <c r="AA21" s="4">
        <f>_xlfn.XLOOKUP(H21,Key!$F$8:$F$15,Key!$B$8:$B$15)</f>
        <v>7.5</v>
      </c>
      <c r="AB21" s="4">
        <f>_xlfn.XLOOKUP(H21,Key!$F$16:$F$23,Key!$E$16:$E$23)</f>
        <v>5</v>
      </c>
      <c r="AC21" s="17">
        <f>LOOKUP($O21,Manufacture!$C$2:$K$2,Manufacture!$C$4:$K$4)+LOOKUP($P21,Manufacture!$C$2:$K$2,Manufacture!$C$4:$K$4)+LOOKUP($Q21,Manufacture!$C$2:$K$2,Manufacture!$C$4:$K$4)+LOOKUP($R21,Manufacture!$C$2:$K$2,Manufacture!$C$4:$K$4)+_xlfn.IFNA(LOOKUP($S21,Manufacture!$C$2:$K$2,Manufacture!$C$4:$K$4),0)+_xlfn.IFNA(LOOKUP($T21,Manufacture!$C$2:$K$2,Manufacture!$C$4:$K$4),0)</f>
        <v>1309.3779031439901</v>
      </c>
      <c r="AD21" s="19">
        <f t="shared" si="8"/>
        <v>1836.3662526176472</v>
      </c>
      <c r="AE21" s="4">
        <f>LOOKUP($Q21,Manufacture!$C$2:$K$2,Manufacture!$C$4:$K$4)+LOOKUP($R21,Manufacture!$C$2:$K$2,Manufacture!$C$4:$K$4)+_xlfn.IFNA(LOOKUP($S21,Manufacture!$C$2:$K$2,Manufacture!$C$4:$K$4),0)+_xlfn.IFNA(LOOKUP($T21,Manufacture!$C$2:$K$2,Manufacture!$C$4:$K$4),0)</f>
        <v>500.88096716819871</v>
      </c>
      <c r="AF21" s="4">
        <f>LOOKUP($O21,Manufacture!$C$2:$K$2,Manufacture!$C$4:$K$4)+LOOKUP($P21,Manufacture!$C$2:$K$2,Manufacture!$C$4:$K$4)</f>
        <v>808.49693597579153</v>
      </c>
      <c r="AG21" s="4">
        <f>_xlfn.XLOOKUP($AA21,Manufacture!$C$5:$R$5,Manufacture!$C$7:$R$7)</f>
        <v>992.9074290882354</v>
      </c>
      <c r="AH21" s="4">
        <f>_xlfn.XLOOKUP($AB21,Manufacture!$C$5:$R$5,Manufacture!$C$11:$R$11)</f>
        <v>843.45882352941169</v>
      </c>
      <c r="AI21" s="18">
        <f>LOOKUP(_xlfn.CEILING.MATH($O21,1),Manufacture!$C$21:$G$21,Manufacture!$C$23:$G$23)+LOOKUP(_xlfn.CEILING.MATH($P21),Manufacture!$C$21:$G$21,Manufacture!$C$23:$G$23)+LOOKUP(_xlfn.CEILING.MATH($Q21),Manufacture!$C$21:$G$21,Manufacture!$C$23:$G$23)+LOOKUP(_xlfn.CEILING.MATH($R21),Manufacture!$C$21:$G$21,Manufacture!$C$23:$G$23)+_xlfn.IFNA(LOOKUP(_xlfn.CEILING.MATH($S21),Manufacture!$C$21:$G$21,Manufacture!$C$23:$G$23),0)+_xlfn.IFNA(LOOKUP(_xlfn.CEILING.MATH($T21),Manufacture!$C$21:$G$21,Manufacture!$C$23:$G$23),0)</f>
        <v>1811.7031098449818</v>
      </c>
      <c r="AJ21" s="17">
        <f>LOOKUP($O21,Distribution!$C$2:$K$2,Distribution!$C$4:$K$4)+LOOKUP($P21,Distribution!$C$2:$K$2,Distribution!$C$4:$K$4)+LOOKUP($Q21,Distribution!$C$2:$K$2,Distribution!$C$4:$K$4)+LOOKUP($R21,Distribution!$C$2:$K$2,Distribution!$C$4:$K$4)+_xlfn.IFNA(LOOKUP($S21,Distribution!$C$2:$K$2,Distribution!$C$4:$K$4),0)+_xlfn.IFNA(LOOKUP($T21,Distribution!$C$2:$K$2,Distribution!$C$4:$K$4),0)</f>
        <v>59.824304378999997</v>
      </c>
      <c r="AK21" s="19">
        <f t="shared" si="9"/>
        <v>43.21056854141689</v>
      </c>
      <c r="AL21" s="4">
        <f>LOOKUP($Q21,Distribution!$C$2:$K$2,Distribution!$C$4:$K$4)+LOOKUP($R21,Distribution!$C$2:$K$2,Distribution!$C$4:$K$4)+_xlfn.IFNA(LOOKUP($S21,Distribution!$C$2:$K$2,Distribution!$C$4:$K$4),0)+_xlfn.IFNA(LOOKUP($T21,Distribution!$C$2:$K$2,Distribution!$C$4:$K$4),0)</f>
        <v>22.427815670152938</v>
      </c>
      <c r="AM21" s="4">
        <f>LOOKUP($O21,Distribution!$C$2:$K$2,Distribution!$C$4:$K$4)+LOOKUP($P21,Distribution!$C$2:$K$2,Distribution!$C$4:$K$4)</f>
        <v>37.396488708847059</v>
      </c>
      <c r="AN21" s="4">
        <f>_xlfn.XLOOKUP($AA21,Distribution!$C$5:$R$5,Distribution!$C$7:$R$7)</f>
        <v>21.697032070828651</v>
      </c>
      <c r="AO21" s="4">
        <f>_xlfn.XLOOKUP($AB21,Distribution!$C$5:$R$5,Distribution!$C$11:$R$11)</f>
        <v>21.513536470588235</v>
      </c>
      <c r="AP21" s="18">
        <f>LOOKUP(_xlfn.CEILING.MATH($O21,1),Distribution!$C$21:$G$21,Distribution!$C$23:$G$23)+LOOKUP(_xlfn.CEILING.MATH($P21),Distribution!$C$21:$G$21,Distribution!$C$23:$G$23)+LOOKUP(_xlfn.CEILING.MATH($Q21),Distribution!$C$21:$G$21,Distribution!$C$23:$G$23)+LOOKUP(_xlfn.CEILING.MATH($R21),Distribution!$C$21:$G$21,Distribution!$C$23:$G$23)+_xlfn.IFNA(LOOKUP(_xlfn.CEILING.MATH($S21),Distribution!$C$21:$G$21,Distribution!$C$23:$G$23),0)+_xlfn.IFNA(LOOKUP(_xlfn.CEILING.MATH($T21),Distribution!$C$21:$G$21,Distribution!$C$23:$G$23),0)</f>
        <v>45.532412539209524</v>
      </c>
      <c r="AQ21" s="17">
        <f>LOOKUP($O21,Installation!$C$2:$K$2,Installation!$C$4:$K$4)+LOOKUP($P21,Installation!$C$2:$K$2,Installation!$C$4:$K$4)+LOOKUP($Q21,Installation!$C$2:$K$2,Installation!$C$4:$K$4)+LOOKUP($R21,Installation!$C$2:$K$2,Installation!$C$4:$K$4)+_xlfn.IFNA(LOOKUP($S21,Installation!$C$2:$K$2,Installation!$C$4:$K$4),0)+_xlfn.IFNA(LOOKUP($T21,Installation!$C$2:$K$2,Installation!$C$4:$K$4),0)</f>
        <v>7.1352552308845398</v>
      </c>
      <c r="AR21" s="19">
        <f t="shared" si="10"/>
        <v>136.73250316764705</v>
      </c>
      <c r="AS21" s="4">
        <f>LOOKUP($Q21,Installation!$C$2:$K$2,Installation!$C$4:$K$4)+LOOKUP($R21,Installation!$C$2:$K$2,Installation!$C$4:$K$4)+_xlfn.IFNA(LOOKUP($S21,Installation!$C$2:$K$2,Installation!$C$4:$K$4),0)+_xlfn.IFNA(LOOKUP($T21,Installation!$C$2:$K$2,Installation!$C$4:$K$4),0)</f>
        <v>2.7946294007707371</v>
      </c>
      <c r="AT21" s="4">
        <f>LOOKUP($O21,Installation!$C$2:$K$2,Installation!$C$4:$K$4)+LOOKUP($P21,Installation!$C$2:$K$2,Installation!$C$4:$K$4)</f>
        <v>4.3406258301138019</v>
      </c>
      <c r="AU21" s="4">
        <f>_xlfn.XLOOKUP($AA21,Installation!$C$5:$R$5,Installation!$C$7:$R$7)</f>
        <v>73.361914932352946</v>
      </c>
      <c r="AV21" s="4">
        <f>_xlfn.XLOOKUP($AB21,Installation!$C$5:$R$5,Installation!$C$11:$R$11)</f>
        <v>63.370588235294115</v>
      </c>
      <c r="AW21" s="18">
        <f>LOOKUP(_xlfn.CEILING.MATH($O21,1),Installation!$C$21:$G$21,Installation!$C$23:$G$23)+LOOKUP(_xlfn.CEILING.MATH($P21),Installation!$C$21:$G$21,Installation!$C$23:$G$23)+LOOKUP(_xlfn.CEILING.MATH($Q21),Installation!$C$21:$G$21,Installation!$C$23:$G$23)+LOOKUP(_xlfn.CEILING.MATH($R21),Installation!$C$21:$G$21,Installation!$C$23:$G$23)+_xlfn.IFNA(LOOKUP(_xlfn.CEILING.MATH($S21),Installation!$C$21:$G$21,Installation!$C$23:$G$23),0)+_xlfn.IFNA(LOOKUP(_xlfn.CEILING.MATH($T21),Installation!$C$21:$G$21,Installation!$C$23:$G$23),0)</f>
        <v>11.441705172187504</v>
      </c>
      <c r="AX21" s="17">
        <f>LOOKUP($O21,EOL_R!$C$2:$K$2,EOL_R!$C$4:$K$4)+LOOKUP($P21,EOL_R!$C$2:$K$2,EOL_R!$C$4:$K$4)+LOOKUP($Q21,EOL_R!$C$2:$K$2,EOL_R!$C$4:$K$4)+LOOKUP($R21,EOL_R!$C$2:$K$2,EOL_R!$C$4:$K$4)+_xlfn.IFNA(LOOKUP($S21,EOL_R!$C$2:$K$2,EOL_R!$C$4:$K$4),0)+_xlfn.IFNA(LOOKUP($T21,EOL_R!$C$2:$K$2,EOL_R!$C$4:$K$4),0)</f>
        <v>70.944295462723204</v>
      </c>
      <c r="AY21" s="19">
        <f t="shared" si="11"/>
        <v>114.00823807353137</v>
      </c>
      <c r="AZ21" s="4">
        <f>LOOKUP($Q21,EOL_R!$C$2:$K$2,EOL_R!$C$4:$K$4)+LOOKUP($R21,EOL_R!$C$2:$K$2,EOL_R!$C$4:$K$4)+_xlfn.IFNA(LOOKUP($S21,EOL_R!$C$2:$K$2,EOL_R!$C$4:$K$4),0)+_xlfn.IFNA(LOOKUP($T21,EOL_R!$C$2:$K$2,EOL_R!$C$4:$K$4),0)</f>
        <v>26.612509707284509</v>
      </c>
      <c r="BA21" s="4">
        <f>LOOKUP($O21,EOL_R!$C$2:$K$2,EOL_R!$C$4:$K$4)+LOOKUP($P21,EOL_R!$C$2:$K$2,EOL_R!$C$4:$K$4)</f>
        <v>44.331785755438688</v>
      </c>
      <c r="BB21" s="4">
        <f>_xlfn.XLOOKUP($AA21,EOL_R!$C$5:$R$5,EOL_R!$C$6:$R$6)</f>
        <v>75.59059101470784</v>
      </c>
      <c r="BC21" s="4">
        <f>_xlfn.XLOOKUP($AB21,EOL_R!$C$5:$R$5,EOL_R!$C$11:$R$11)</f>
        <v>38.417647058823526</v>
      </c>
      <c r="BD21" s="18">
        <f>LOOKUP(_xlfn.CEILING.MATH($O21,1),EOL_R!$C$21:$G$21,EOL_R!$C$23:$G$23)+LOOKUP(_xlfn.CEILING.MATH($P21),EOL_R!$C$21:$G$21,EOL_R!$C$23:$G$23)+LOOKUP(_xlfn.CEILING.MATH($Q21),EOL_R!$C$21:$G$21,EOL_R!$C$23:$G$23)+LOOKUP(_xlfn.CEILING.MATH($R21),EOL_R!$C$21:$G$21,EOL_R!$C$23:$G$23)+_xlfn.IFNA(LOOKUP(_xlfn.CEILING.MATH($S21),EOL_R!$C$21:$G$21,EOL_R!$C$23:$G$23),0)+_xlfn.IFNA(LOOKUP(_xlfn.CEILING.MATH($T21),EOL_R!$C$21:$G$21,EOL_R!$C$23:$G$23),0)</f>
        <v>288.61944067687494</v>
      </c>
      <c r="BE21" s="17">
        <f>LOOKUP($O21,Other_R!$C$2:$K$2,Other_R!$C$4:$K$4)+LOOKUP($P21,Other_R!$C$2:$K$2,Other_R!$C$4:$K$4)+LOOKUP($Q21,Other_R!$C$2:$K$2,Other_R!$C$4:$K$4)+LOOKUP($R21,Other_R!$C$2:$K$2,Other_R!$C$4:$K$4)+_xlfn.IFNA(LOOKUP($S21,Other_R!$C$2:$K$2,Other_R!$C$4:$K$4),0)+_xlfn.IFNA(LOOKUP($T21,Other_R!$C$2:$K$2,Other_R!$C$4:$K$4),0)</f>
        <v>0</v>
      </c>
      <c r="BF21" s="19">
        <f t="shared" si="12"/>
        <v>656.74145299935549</v>
      </c>
      <c r="BG21" s="4">
        <f>LOOKUP($Q21,Other_R!$C$2:$K$2,Other_R!$C$4:$K$4)+LOOKUP($R21,Other_R!$C$2:$K$2,Other_R!$C$4:$K$4)+_xlfn.IFNA(LOOKUP($S21,Other_R!$C$2:$K$2,Other_R!$C$4:$K$4),0)+_xlfn.IFNA(LOOKUP($T21,Other_R!$C$2:$K$2,Other_R!$C$4:$K$4),0)</f>
        <v>0</v>
      </c>
      <c r="BH21" s="4">
        <f>LOOKUP($O21,Other_R!$C$2:$K$2,Other_R!$C$4:$K$4)+LOOKUP($P21,Other_R!$C$2:$K$2,Other_R!$C$4:$K$4)</f>
        <v>0</v>
      </c>
      <c r="BI21" s="4">
        <f>_xlfn.XLOOKUP($AA21,Other_R!$C$5:$R$5,Other_R!$C$7:$R$7)</f>
        <v>263.91792358759079</v>
      </c>
      <c r="BJ21" s="4">
        <f>_xlfn.XLOOKUP($AB21,Other_R!$C$5:$R$5,Other_R!$C$11:$R$11)</f>
        <v>392.8235294117647</v>
      </c>
      <c r="BK21" s="18">
        <f>LOOKUP(_xlfn.CEILING.MATH($O21,1),Other_R!$C$21:$G$21,Other_R!$C$23:$G$23)+LOOKUP(_xlfn.CEILING.MATH($P21),Other_R!$C$21:$G$21,Other_R!$C$23:$G$23)+LOOKUP(_xlfn.CEILING.MATH($Q21),Other_R!$C$21:$G$21,Other_R!$C$23:$G$23)+LOOKUP(_xlfn.CEILING.MATH($R21),Other_R!$C$21:$G$21,Other_R!$C$23:$G$23)+_xlfn.IFNA(LOOKUP(_xlfn.CEILING.MATH($S21),Other_R!$C$21:$G$21,Other_R!$C$23:$G$23),0)+_xlfn.IFNA(LOOKUP(_xlfn.CEILING.MATH($T21),Other_R!$C$21:$G$21,Other_R!$C$23:$G$23),0)</f>
        <v>1922.608046559375</v>
      </c>
    </row>
  </sheetData>
  <pageMargins left="0.7" right="0.7" top="0.75" bottom="0.75" header="0.3" footer="0.3"/>
  <headerFooter>
    <oddFooter>&amp;C_x000D_&amp;1#&amp;"Calibri"&amp;7&amp;K000000 In-Confidence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FB4F-583A-4BBB-A6FA-F87F333978A9}">
  <dimension ref="A1:BK21"/>
  <sheetViews>
    <sheetView workbookViewId="0">
      <selection activeCell="M9" sqref="M9"/>
    </sheetView>
  </sheetViews>
  <sheetFormatPr defaultRowHeight="15" x14ac:dyDescent="0.25"/>
  <cols>
    <col min="1" max="1" width="12.28515625" bestFit="1" customWidth="1"/>
    <col min="2" max="2" width="5.7109375" bestFit="1" customWidth="1"/>
    <col min="3" max="3" width="10" bestFit="1" customWidth="1"/>
    <col min="4" max="4" width="15" bestFit="1" customWidth="1"/>
    <col min="8" max="8" width="14.42578125" bestFit="1" customWidth="1"/>
    <col min="9" max="10" width="11.7109375" bestFit="1" customWidth="1"/>
    <col min="11" max="11" width="10" bestFit="1" customWidth="1"/>
    <col min="12" max="12" width="15" bestFit="1" customWidth="1"/>
    <col min="13" max="13" width="15" customWidth="1"/>
    <col min="14" max="14" width="36.28515625" bestFit="1" customWidth="1"/>
    <col min="35" max="35" width="12" bestFit="1" customWidth="1"/>
  </cols>
  <sheetData>
    <row r="1" spans="1:63" x14ac:dyDescent="0.25">
      <c r="A1" s="2" t="s">
        <v>39</v>
      </c>
      <c r="B1" s="2" t="s">
        <v>40</v>
      </c>
      <c r="C1" s="2" t="s">
        <v>41</v>
      </c>
      <c r="D1" s="2" t="s">
        <v>44</v>
      </c>
      <c r="E1" t="s">
        <v>18</v>
      </c>
      <c r="F1" t="s">
        <v>19</v>
      </c>
      <c r="G1" t="s">
        <v>20</v>
      </c>
      <c r="H1" t="s">
        <v>21</v>
      </c>
    </row>
    <row r="2" spans="1:63" x14ac:dyDescent="0.25">
      <c r="A2" t="s">
        <v>3</v>
      </c>
      <c r="B2" t="s">
        <v>37</v>
      </c>
      <c r="C2" t="s">
        <v>42</v>
      </c>
      <c r="D2" t="str">
        <f>CONCATENATE(B2, "-", C2)</f>
        <v>Mass-Nom</v>
      </c>
      <c r="E2" s="3">
        <v>7</v>
      </c>
      <c r="F2" s="3">
        <v>1.9</v>
      </c>
      <c r="G2" s="3">
        <v>2.1</v>
      </c>
      <c r="H2" s="3">
        <v>11</v>
      </c>
    </row>
    <row r="3" spans="1:63" x14ac:dyDescent="0.25">
      <c r="A3" t="s">
        <v>3</v>
      </c>
      <c r="B3" t="s">
        <v>37</v>
      </c>
      <c r="C3" t="s">
        <v>43</v>
      </c>
      <c r="D3" t="str">
        <f t="shared" ref="D3:D11" si="0">CONCATENATE(B3, "-", C3)</f>
        <v>Mass-H1</v>
      </c>
      <c r="E3" s="3">
        <v>4.5999999999999996</v>
      </c>
      <c r="F3" s="3">
        <v>0.7</v>
      </c>
      <c r="G3" s="3">
        <v>0.9</v>
      </c>
      <c r="H3" s="3">
        <v>6.2</v>
      </c>
    </row>
    <row r="4" spans="1:63" x14ac:dyDescent="0.25">
      <c r="A4" t="s">
        <v>11</v>
      </c>
      <c r="B4" t="s">
        <v>37</v>
      </c>
      <c r="C4" t="s">
        <v>42</v>
      </c>
      <c r="D4" t="str">
        <f t="shared" si="0"/>
        <v>Mass-Nom</v>
      </c>
      <c r="E4" s="3">
        <v>8.4</v>
      </c>
      <c r="F4" s="3">
        <v>3.3</v>
      </c>
      <c r="G4" s="3">
        <v>3.5</v>
      </c>
      <c r="H4" s="3">
        <v>15.2</v>
      </c>
    </row>
    <row r="5" spans="1:63" x14ac:dyDescent="0.25">
      <c r="A5" t="s">
        <v>11</v>
      </c>
      <c r="B5" t="s">
        <v>37</v>
      </c>
      <c r="C5" t="s">
        <v>43</v>
      </c>
      <c r="D5" t="str">
        <f t="shared" si="0"/>
        <v>Mass-H1</v>
      </c>
      <c r="E5" s="3">
        <v>5.0999999999999996</v>
      </c>
      <c r="F5" s="3">
        <v>1.4</v>
      </c>
      <c r="G5" s="3">
        <v>1.7</v>
      </c>
      <c r="H5" s="3">
        <v>8.1999999999999993</v>
      </c>
    </row>
    <row r="7" spans="1:63" x14ac:dyDescent="0.25">
      <c r="E7" t="s">
        <v>22</v>
      </c>
      <c r="F7" t="s">
        <v>23</v>
      </c>
      <c r="G7" t="s">
        <v>19</v>
      </c>
      <c r="H7" t="s">
        <v>20</v>
      </c>
      <c r="I7" t="s">
        <v>24</v>
      </c>
      <c r="J7" t="s">
        <v>25</v>
      </c>
      <c r="K7" t="s">
        <v>21</v>
      </c>
    </row>
    <row r="8" spans="1:63" x14ac:dyDescent="0.25">
      <c r="A8" t="s">
        <v>3</v>
      </c>
      <c r="B8" t="s">
        <v>38</v>
      </c>
      <c r="C8" t="s">
        <v>42</v>
      </c>
      <c r="D8" t="str">
        <f t="shared" si="0"/>
        <v>Mod-Nom</v>
      </c>
      <c r="E8" s="3">
        <v>2.9</v>
      </c>
      <c r="F8" s="3">
        <v>5</v>
      </c>
      <c r="G8" s="3">
        <v>0.8</v>
      </c>
      <c r="H8" s="3">
        <v>0.8</v>
      </c>
      <c r="I8" s="3">
        <v>0.8</v>
      </c>
      <c r="J8" s="3">
        <v>0.7</v>
      </c>
      <c r="K8" s="3">
        <v>11.000000000000002</v>
      </c>
    </row>
    <row r="9" spans="1:63" x14ac:dyDescent="0.25">
      <c r="A9" t="s">
        <v>3</v>
      </c>
      <c r="B9" t="s">
        <v>38</v>
      </c>
      <c r="C9" t="s">
        <v>43</v>
      </c>
      <c r="D9" t="str">
        <f t="shared" si="0"/>
        <v>Mod-H1</v>
      </c>
      <c r="E9" s="3">
        <v>2.6</v>
      </c>
      <c r="F9" s="3">
        <v>2.1</v>
      </c>
      <c r="G9" s="3">
        <v>0.5</v>
      </c>
      <c r="H9" s="3">
        <v>0.5</v>
      </c>
      <c r="I9" s="3">
        <v>0.5</v>
      </c>
      <c r="J9" s="3">
        <v>0.5</v>
      </c>
      <c r="K9" s="3">
        <v>6.7</v>
      </c>
    </row>
    <row r="10" spans="1:63" x14ac:dyDescent="0.25">
      <c r="A10" t="s">
        <v>11</v>
      </c>
      <c r="B10" t="s">
        <v>38</v>
      </c>
      <c r="C10" t="s">
        <v>42</v>
      </c>
      <c r="D10" t="str">
        <f t="shared" si="0"/>
        <v>Mod-Nom</v>
      </c>
      <c r="E10" s="3">
        <v>3.4</v>
      </c>
      <c r="F10" s="3">
        <v>5.9</v>
      </c>
      <c r="G10" s="3">
        <v>1.7</v>
      </c>
      <c r="H10" s="3">
        <v>1.6</v>
      </c>
      <c r="I10" s="3">
        <v>1.6</v>
      </c>
      <c r="J10" s="3">
        <v>1.5</v>
      </c>
      <c r="K10" s="1">
        <v>15.5</v>
      </c>
    </row>
    <row r="11" spans="1:63" x14ac:dyDescent="0.25">
      <c r="A11" t="s">
        <v>11</v>
      </c>
      <c r="B11" t="s">
        <v>38</v>
      </c>
      <c r="C11" t="s">
        <v>43</v>
      </c>
      <c r="D11" t="str">
        <f t="shared" si="0"/>
        <v>Mod-H1</v>
      </c>
      <c r="E11" s="3">
        <v>2.7</v>
      </c>
      <c r="F11" s="3">
        <v>4.8</v>
      </c>
      <c r="G11" s="3">
        <v>1.3</v>
      </c>
      <c r="H11" s="3">
        <v>1.2</v>
      </c>
      <c r="I11" s="3">
        <v>1.2</v>
      </c>
      <c r="J11" s="3">
        <v>1.2</v>
      </c>
      <c r="K11" s="3">
        <v>12.399999999999999</v>
      </c>
      <c r="AC11" s="12" t="s">
        <v>110</v>
      </c>
      <c r="AD11" s="13"/>
      <c r="AE11" s="13"/>
      <c r="AF11" s="13"/>
      <c r="AG11" s="13"/>
      <c r="AH11" s="13"/>
      <c r="AI11" s="14"/>
      <c r="AJ11" s="12" t="s">
        <v>111</v>
      </c>
      <c r="AK11" s="13"/>
      <c r="AL11" s="13"/>
      <c r="AM11" s="13"/>
      <c r="AN11" s="13"/>
      <c r="AO11" s="13"/>
      <c r="AP11" s="14"/>
      <c r="AQ11" s="12" t="s">
        <v>112</v>
      </c>
      <c r="AR11" s="13"/>
      <c r="AS11" s="13"/>
      <c r="AT11" s="13"/>
      <c r="AU11" s="13"/>
      <c r="AV11" s="13"/>
      <c r="AW11" s="14"/>
      <c r="AX11" s="12" t="s">
        <v>113</v>
      </c>
      <c r="AY11" s="13"/>
      <c r="AZ11" s="13"/>
      <c r="BA11" s="13"/>
      <c r="BB11" s="13"/>
      <c r="BC11" s="13"/>
      <c r="BD11" s="14"/>
      <c r="BE11" s="12" t="s">
        <v>97</v>
      </c>
      <c r="BF11" s="13"/>
      <c r="BG11" s="13"/>
      <c r="BH11" s="13"/>
      <c r="BI11" s="13"/>
      <c r="BJ11" s="13"/>
      <c r="BK11" s="14"/>
    </row>
    <row r="12" spans="1:63" x14ac:dyDescent="0.25">
      <c r="W12" t="s">
        <v>51</v>
      </c>
      <c r="AC12" s="15" t="s">
        <v>108</v>
      </c>
      <c r="AI12" s="16" t="s">
        <v>109</v>
      </c>
      <c r="AJ12" s="15" t="s">
        <v>108</v>
      </c>
      <c r="AP12" s="16" t="s">
        <v>109</v>
      </c>
      <c r="AQ12" s="15" t="s">
        <v>108</v>
      </c>
      <c r="AW12" s="16" t="s">
        <v>109</v>
      </c>
      <c r="AX12" s="15" t="s">
        <v>108</v>
      </c>
      <c r="BD12" s="16" t="s">
        <v>109</v>
      </c>
      <c r="BE12" s="15" t="s">
        <v>108</v>
      </c>
      <c r="BK12" s="16" t="s">
        <v>109</v>
      </c>
    </row>
    <row r="13" spans="1:63" x14ac:dyDescent="0.25">
      <c r="H13" s="2" t="s">
        <v>92</v>
      </c>
      <c r="I13" s="2" t="s">
        <v>39</v>
      </c>
      <c r="J13" s="2" t="s">
        <v>40</v>
      </c>
      <c r="K13" s="2" t="s">
        <v>41</v>
      </c>
      <c r="L13" s="2" t="s">
        <v>44</v>
      </c>
      <c r="M13" s="2" t="s">
        <v>48</v>
      </c>
      <c r="N13" t="s">
        <v>18</v>
      </c>
      <c r="O13" t="s">
        <v>22</v>
      </c>
      <c r="P13" t="s">
        <v>23</v>
      </c>
      <c r="Q13" t="s">
        <v>19</v>
      </c>
      <c r="R13" t="s">
        <v>20</v>
      </c>
      <c r="S13" t="s">
        <v>24</v>
      </c>
      <c r="T13" t="s">
        <v>25</v>
      </c>
      <c r="U13" t="s">
        <v>49</v>
      </c>
      <c r="W13" t="s">
        <v>35</v>
      </c>
      <c r="X13" t="s">
        <v>36</v>
      </c>
      <c r="Y13" t="s">
        <v>45</v>
      </c>
      <c r="Z13" t="s">
        <v>46</v>
      </c>
      <c r="AA13" t="s">
        <v>47</v>
      </c>
      <c r="AB13" t="s">
        <v>71</v>
      </c>
      <c r="AC13" s="15" t="s">
        <v>35</v>
      </c>
      <c r="AD13" t="s">
        <v>36</v>
      </c>
      <c r="AE13" t="s">
        <v>45</v>
      </c>
      <c r="AF13" t="s">
        <v>46</v>
      </c>
      <c r="AG13" t="s">
        <v>47</v>
      </c>
      <c r="AH13" t="s">
        <v>71</v>
      </c>
      <c r="AI13" s="16" t="s">
        <v>59</v>
      </c>
      <c r="AJ13" s="15" t="s">
        <v>35</v>
      </c>
      <c r="AK13" t="s">
        <v>36</v>
      </c>
      <c r="AL13" t="s">
        <v>45</v>
      </c>
      <c r="AM13" t="s">
        <v>46</v>
      </c>
      <c r="AN13" t="s">
        <v>47</v>
      </c>
      <c r="AO13" t="s">
        <v>71</v>
      </c>
      <c r="AP13" s="16" t="s">
        <v>59</v>
      </c>
      <c r="AQ13" s="15" t="s">
        <v>35</v>
      </c>
      <c r="AR13" t="s">
        <v>36</v>
      </c>
      <c r="AS13" t="s">
        <v>45</v>
      </c>
      <c r="AT13" t="s">
        <v>46</v>
      </c>
      <c r="AU13" t="s">
        <v>47</v>
      </c>
      <c r="AV13" t="s">
        <v>71</v>
      </c>
      <c r="AW13" s="16" t="s">
        <v>59</v>
      </c>
      <c r="AX13" s="15" t="s">
        <v>35</v>
      </c>
      <c r="AY13" t="s">
        <v>36</v>
      </c>
      <c r="AZ13" t="s">
        <v>45</v>
      </c>
      <c r="BA13" t="s">
        <v>46</v>
      </c>
      <c r="BB13" t="s">
        <v>47</v>
      </c>
      <c r="BC13" t="s">
        <v>71</v>
      </c>
      <c r="BD13" s="16" t="s">
        <v>59</v>
      </c>
      <c r="BE13" s="15" t="s">
        <v>35</v>
      </c>
      <c r="BF13" t="s">
        <v>36</v>
      </c>
      <c r="BG13" t="s">
        <v>45</v>
      </c>
      <c r="BH13" t="s">
        <v>46</v>
      </c>
      <c r="BI13" t="s">
        <v>47</v>
      </c>
      <c r="BJ13" t="s">
        <v>71</v>
      </c>
      <c r="BK13" s="16" t="s">
        <v>59</v>
      </c>
    </row>
    <row r="14" spans="1:63" x14ac:dyDescent="0.25">
      <c r="H14" s="4" t="str">
        <f>_xlfn.TEXTJOIN("-", TRUE, L14, I14)</f>
        <v>Mass-Nom-AK</v>
      </c>
      <c r="I14" s="4" t="s">
        <v>3</v>
      </c>
      <c r="J14" s="4" t="s">
        <v>37</v>
      </c>
      <c r="K14" s="4" t="s">
        <v>42</v>
      </c>
      <c r="L14" s="4" t="str">
        <f>CONCATENATE(J14, "-", K14)</f>
        <v>Mass-Nom</v>
      </c>
      <c r="M14" s="4">
        <f>H2</f>
        <v>11</v>
      </c>
      <c r="N14" s="4">
        <v>7</v>
      </c>
      <c r="O14" s="4">
        <f>IF(MOD(N14,1)=0.5,INT(N14/2),N14/2)</f>
        <v>3.5</v>
      </c>
      <c r="P14" s="4">
        <f>N14-O14</f>
        <v>3.5</v>
      </c>
      <c r="Q14" s="4">
        <v>2</v>
      </c>
      <c r="R14" s="4">
        <v>2</v>
      </c>
      <c r="S14" s="4"/>
      <c r="T14" s="4"/>
      <c r="U14" s="4">
        <f>SUM(O14:T14)</f>
        <v>11</v>
      </c>
      <c r="V14" s="4"/>
      <c r="W14" s="4">
        <f>U14</f>
        <v>11</v>
      </c>
      <c r="X14" s="4">
        <f>AA14+AB14</f>
        <v>11</v>
      </c>
      <c r="Y14" s="4">
        <f>SUM(Q14:T14)</f>
        <v>4</v>
      </c>
      <c r="Z14" s="4">
        <f>O14+P14</f>
        <v>7</v>
      </c>
      <c r="AA14" s="4">
        <f>_xlfn.XLOOKUP(H14,Key!$F$8:$F$15,Key!$B$8:$B$15)</f>
        <v>7</v>
      </c>
      <c r="AB14" s="4">
        <f>_xlfn.XLOOKUP(H14,Key!$F$16:$F$23,Key!$E$16:$E$23)</f>
        <v>4</v>
      </c>
      <c r="AC14" s="17">
        <f>LOOKUP($O14,Manufacture_MJ!$C$2:$K$2,Manufacture_MJ!$C$4:$K$4)+LOOKUP($P14,Manufacture_MJ!$C$2:$K$2,Manufacture_MJ!$C$4:$K$4)+LOOKUP($Q14,Manufacture_MJ!$C$2:$K$2,Manufacture_MJ!$C$4:$K$4)+LOOKUP($R14,Manufacture_MJ!$C$2:$K$2,Manufacture_MJ!$C$4:$K$4)+_xlfn.IFNA(LOOKUP($S14,Manufacture_MJ!$C$2:$K$2,Manufacture_MJ!$C$4:$K$4),0)+_xlfn.IFNA(LOOKUP($T14,Manufacture_MJ!$C$2:$K$2,Manufacture_MJ!$C$4:$K$4),0)</f>
        <v>24893.256098739545</v>
      </c>
      <c r="AD14" s="4">
        <f>AG14+AH14</f>
        <v>36866.798664705886</v>
      </c>
      <c r="AE14" s="4">
        <f>LOOKUP($Q14,Manufacture_MJ!$C$2:$K$2,Manufacture_MJ!$C$4:$K$4)+LOOKUP($R14,Manufacture_MJ!$C$2:$K$2,Manufacture_MJ!$C$4:$K$4)+_xlfn.IFNA(LOOKUP($S14,Manufacture_MJ!$C$2:$K$2,Manufacture_MJ!$C$4:$K$4),0)+_xlfn.IFNA(LOOKUP($T14,Manufacture_MJ!$C$2:$K$2,Manufacture_MJ!$C$4:$K$4),0)</f>
        <v>8707.5475657174447</v>
      </c>
      <c r="AF14" s="4">
        <f>LOOKUP($O14,Manufacture_MJ!$C$2:$K$2,Manufacture_MJ!$C$4:$K$4)+LOOKUP($P14,Manufacture_MJ!$C$2:$K$2,Manufacture_MJ!$C$4:$K$4)</f>
        <v>16185.708533022098</v>
      </c>
      <c r="AG14" s="4">
        <f>_xlfn.XLOOKUP($AA14,Manufacture_MJ!$C$5:$R$5,Manufacture_MJ!$C$7:$R$7)</f>
        <v>22484.269252941176</v>
      </c>
      <c r="AH14" s="4">
        <f>_xlfn.XLOOKUP($AB14,Manufacture_MJ!$C$5:$R$5,Manufacture_MJ!$C$9:$R$9)</f>
        <v>14382.529411764706</v>
      </c>
      <c r="AI14" s="18">
        <f>LOOKUP(_xlfn.CEILING.MATH($O14,1),Manufacture_MJ!$C$21:$G$21,Manufacture_MJ!$C$23:$G$23)+LOOKUP(_xlfn.CEILING.MATH($P14),Manufacture_MJ!$C$21:$G$21,Manufacture_MJ!$C$23:$G$23)+LOOKUP(_xlfn.CEILING.MATH($Q14),Manufacture_MJ!$C$21:$G$21,Manufacture_MJ!$C$23:$G$23)+LOOKUP(_xlfn.CEILING.MATH($R14),Manufacture_MJ!$C$21:$G$21,Manufacture_MJ!$C$23:$G$23)+_xlfn.IFNA(LOOKUP(_xlfn.CEILING.MATH($S14),Manufacture_MJ!$C$21:$G$21,Manufacture_MJ!$C$23:$G$23),0)+_xlfn.IFNA(LOOKUP(_xlfn.CEILING.MATH($T14),Manufacture_MJ!$C$21:$G$21,Manufacture_MJ!$C$23:$G$23),0)</f>
        <v>50192.065013999971</v>
      </c>
      <c r="AJ14" s="17">
        <f>LOOKUP($O14,Distribution_MJ!$C$2:$K$2,Distribution_MJ!$C$4:$K$4)+LOOKUP($P14,Distribution_MJ!$C$2:$K$2,Distribution_MJ!$C$4:$K$4)+LOOKUP($Q14,Distribution_MJ!$C$2:$K$2,Distribution_MJ!$C$4:$K$4)+LOOKUP($R14,Distribution_MJ!$C$2:$K$2,Distribution_MJ!$C$4:$K$4)+_xlfn.IFNA(LOOKUP($S14,Distribution_MJ!$C$2:$K$2,Distribution_MJ!$C$4:$K$4),0)+_xlfn.IFNA(LOOKUP($T14,Distribution_MJ!$C$2:$K$2,Distribution_MJ!$C$4:$K$4),0)</f>
        <v>982.8569241823501</v>
      </c>
      <c r="AK14" s="4">
        <f>AN14+AO14</f>
        <v>780.31219793684977</v>
      </c>
      <c r="AL14" s="4">
        <f>LOOKUP($Q14,Distribution_MJ!$C$2:$K$2,Distribution_MJ!$C$4:$K$4)+LOOKUP($R14,Distribution_MJ!$C$2:$K$2,Distribution_MJ!$C$4:$K$4)+_xlfn.IFNA(LOOKUP($S14,Distribution_MJ!$C$2:$K$2,Distribution_MJ!$C$4:$K$4),0)+_xlfn.IFNA(LOOKUP($T14,Distribution_MJ!$C$2:$K$2,Distribution_MJ!$C$4:$K$4),0)</f>
        <v>348.82453082358001</v>
      </c>
      <c r="AM14" s="4">
        <f>LOOKUP($O14,Distribution_MJ!$C$2:$K$2,Distribution_MJ!$C$4:$K$4)+LOOKUP($P14,Distribution_MJ!$C$2:$K$2,Distribution_MJ!$C$4:$K$4)</f>
        <v>634.03239335877004</v>
      </c>
      <c r="AN14" s="4">
        <f>_xlfn.XLOOKUP($AA14,Distribution_MJ!$C$5:$R$5,Distribution_MJ!$C$7:$R$7)</f>
        <v>441.8460335368498</v>
      </c>
      <c r="AO14" s="4">
        <f>_xlfn.XLOOKUP($AB14,Distribution_MJ!$C$5:$R$5,Distribution_MJ!$C$9:$R$9)</f>
        <v>338.46616440000003</v>
      </c>
      <c r="AP14" s="18">
        <f>LOOKUP(_xlfn.CEILING.MATH($O14,1),Distribution_MJ!$C$21:$G$21,Distribution_MJ!$C$23:$G$23)+LOOKUP(_xlfn.CEILING.MATH($P14),Distribution_MJ!$C$21:$G$21,Distribution_MJ!$C$23:$G$23)+LOOKUP(_xlfn.CEILING.MATH($Q14),Distribution_MJ!$C$21:$G$21,Distribution_MJ!$C$23:$G$23)+LOOKUP(_xlfn.CEILING.MATH($R14),Distribution_MJ!$C$21:$G$21,Distribution_MJ!$C$23:$G$23)+_xlfn.IFNA(LOOKUP(_xlfn.CEILING.MATH($S14),Distribution_MJ!$C$21:$G$21,Distribution_MJ!$C$23:$G$23),0)+_xlfn.IFNA(LOOKUP(_xlfn.CEILING.MATH($T14),Distribution_MJ!$C$21:$G$21,Distribution_MJ!$C$23:$G$23),0)</f>
        <v>774.10386329714652</v>
      </c>
      <c r="AQ14" s="17">
        <f>LOOKUP($O14,Installation_MJ!$C$2:$K$2,Installation_MJ!$C$4:$K$4)+LOOKUP($P14,Installation_MJ!$C$2:$K$2,Installation_MJ!$C$4:$K$4)+LOOKUP($Q14,Installation_MJ!$C$2:$K$2,Installation_MJ!$C$4:$K$4)+LOOKUP($R14,Installation_MJ!$C$2:$K$2,Installation_MJ!$C$4:$K$4)+_xlfn.IFNA(LOOKUP($S14,Installation_MJ!$C$2:$K$2,Installation_MJ!$C$4:$K$4),0)+_xlfn.IFNA(LOOKUP($T14,Installation_MJ!$C$2:$K$2,Installation_MJ!$C$4:$K$4),0)</f>
        <v>17.878346159169151</v>
      </c>
      <c r="AR14" s="4">
        <f>AU14+AV14</f>
        <v>1689.5267676000001</v>
      </c>
      <c r="AS14" s="4">
        <f>LOOKUP($Q14,Installation_MJ!$C$2:$K$2,Installation_MJ!$C$4:$K$4)+LOOKUP($R14,Installation_MJ!$C$2:$K$2,Installation_MJ!$C$4:$K$4)+_xlfn.IFNA(LOOKUP($S14,Installation_MJ!$C$2:$K$2,Installation_MJ!$C$4:$K$4),0)+_xlfn.IFNA(LOOKUP($T14,Installation_MJ!$C$2:$K$2,Installation_MJ!$C$4:$K$4),0)</f>
        <v>6.2362083890274747</v>
      </c>
      <c r="AT14" s="4">
        <f>LOOKUP($O14,Installation_MJ!$C$2:$K$2,Installation_MJ!$C$4:$K$4)+LOOKUP($P14,Installation_MJ!$C$2:$K$2,Installation_MJ!$C$4:$K$4)</f>
        <v>11.642137770141677</v>
      </c>
      <c r="AU14" s="4">
        <f>_xlfn.XLOOKUP($AA14,Installation_MJ!$C$5:$R$5,Installation_MJ!$C$7:$R$7)</f>
        <v>1079.291473482353</v>
      </c>
      <c r="AV14" s="4">
        <f>_xlfn.XLOOKUP($AB14,Installation_MJ!$C$5:$R$5,Installation_MJ!$C$9:$R$9)</f>
        <v>610.23529411764707</v>
      </c>
      <c r="AW14" s="18">
        <f>LOOKUP(_xlfn.CEILING.MATH($O14,1),Installation_MJ!$C$21:$G$21,Installation_MJ!$C$23:$G$23)+LOOKUP(_xlfn.CEILING.MATH($P14),Installation_MJ!$C$21:$G$21,Installation_MJ!$C$23:$G$23)+LOOKUP(_xlfn.CEILING.MATH($Q14),Installation_MJ!$C$21:$G$21,Installation_MJ!$C$23:$G$23)+LOOKUP(_xlfn.CEILING.MATH($R14),Installation_MJ!$C$21:$G$21,Installation_MJ!$C$23:$G$23)+_xlfn.IFNA(LOOKUP(_xlfn.CEILING.MATH($S14),Installation_MJ!$C$21:$G$21,Installation_MJ!$C$23:$G$23),0)+_xlfn.IFNA(LOOKUP(_xlfn.CEILING.MATH($T14),Installation_MJ!$C$21:$G$21,Installation_MJ!$C$23:$G$23),0)</f>
        <v>121.6699701</v>
      </c>
      <c r="AX14" s="17">
        <f>LOOKUP($O14,EOL_MJ!$C$2:$K$2,EOL_MJ!$C$4:$K$4)+LOOKUP($P14,EOL_MJ!$C$2:$K$2,EOL_MJ!$C$4:$K$4)+LOOKUP($Q14,EOL_MJ!$C$2:$K$2,EOL_MJ!$C$4:$K$4)+LOOKUP($R14,EOL_MJ!$C$2:$K$2,EOL_MJ!$C$4:$K$4)+_xlfn.IFNA(LOOKUP($S14,EOL_MJ!$C$2:$K$2,EOL_MJ!$C$4:$K$4),0)+_xlfn.IFNA(LOOKUP($T14,EOL_MJ!$C$2:$K$2,EOL_MJ!$C$4:$K$4),0)</f>
        <v>101.6259057567496</v>
      </c>
      <c r="AY14" s="4">
        <f>BB14+BC14</f>
        <v>8469.5140581176456</v>
      </c>
      <c r="AZ14" s="4">
        <f>LOOKUP($Q14,EOL_MJ!$C$2:$K$2,EOL_MJ!$C$4:$K$4)+LOOKUP($R14,EOL_MJ!$C$2:$K$2,EOL_MJ!$C$4:$K$4)+_xlfn.IFNA(LOOKUP($S14,EOL_MJ!$C$2:$K$2,EOL_MJ!$C$4:$K$4),0)+_xlfn.IFNA(LOOKUP($T14,EOL_MJ!$C$2:$K$2,EOL_MJ!$C$4:$K$4),0)</f>
        <v>35.131420959517477</v>
      </c>
      <c r="BA14" s="4">
        <f>LOOKUP($O14,EOL_MJ!$C$2:$K$2,EOL_MJ!$C$4:$K$4)+LOOKUP($P14,EOL_MJ!$C$2:$K$2,EOL_MJ!$C$4:$K$4)</f>
        <v>66.494484797232133</v>
      </c>
      <c r="BB14" s="4">
        <f>_xlfn.XLOOKUP($AA14,EOL_MJ!$C$5:$R$5,EOL_MJ!$C$6:$R$6)</f>
        <v>4310.2787639999997</v>
      </c>
      <c r="BC14" s="4">
        <f>_xlfn.XLOOKUP($AB14,EOL_MJ!$C$5:$R$5,EOL_MJ!$C$9:$R$9)</f>
        <v>4159.2352941176468</v>
      </c>
      <c r="BD14" s="18">
        <f>LOOKUP(_xlfn.CEILING.MATH($O14,1),EOL_MJ!$C$21:$G$21,EOL_MJ!$C$23:$G$23)+LOOKUP(_xlfn.CEILING.MATH($P14),EOL_MJ!$C$21:$G$21,EOL_MJ!$C$23:$G$23)+LOOKUP(_xlfn.CEILING.MATH($Q14),EOL_MJ!$C$21:$G$21,EOL_MJ!$C$23:$G$23)+LOOKUP(_xlfn.CEILING.MATH($R14),EOL_MJ!$C$21:$G$21,EOL_MJ!$C$23:$G$23)+_xlfn.IFNA(LOOKUP(_xlfn.CEILING.MATH($S14),EOL_MJ!$C$21:$G$21,EOL_MJ!$C$23:$G$23),0)+_xlfn.IFNA(LOOKUP(_xlfn.CEILING.MATH($T14),EOL_MJ!$C$21:$G$21,EOL_MJ!$C$23:$G$23),0)</f>
        <v>3530.5038383999995</v>
      </c>
      <c r="BE14" s="17">
        <f>LOOKUP($O14,Other_MJ!$C$2:$K$2,Other_MJ!$C$4:$K$4)+LOOKUP($P14,Other_MJ!$C$2:$K$2,Other_MJ!$C$4:$K$4)+LOOKUP($Q14,Other_MJ!$C$2:$K$2,Other_MJ!$C$4:$K$4)+LOOKUP($R14,Other_MJ!$C$2:$K$2,Other_MJ!$C$4:$K$4)+_xlfn.IFNA(LOOKUP($S14,Other_MJ!$C$2:$K$2,Other_MJ!$C$4:$K$4),0)+_xlfn.IFNA(LOOKUP($T14,Other_MJ!$C$2:$K$2,Other_MJ!$C$4:$K$4),0)</f>
        <v>0</v>
      </c>
      <c r="BF14" s="4">
        <f>BI14+BJ14</f>
        <v>8228.4675591176474</v>
      </c>
      <c r="BG14" s="4">
        <f>LOOKUP($Q14,Other_MJ!$C$2:$K$2,Other_MJ!$C$4:$K$4)+LOOKUP($R14,Other_MJ!$C$2:$K$2,Other_MJ!$C$4:$K$4)+_xlfn.IFNA(LOOKUP($S14,Other_MJ!$C$2:$K$2,Other_MJ!$C$4:$K$4),0)+_xlfn.IFNA(LOOKUP($T14,Other_MJ!$C$2:$K$2,Other_MJ!$C$4:$K$4),0)</f>
        <v>0</v>
      </c>
      <c r="BH14" s="4">
        <f>LOOKUP($O14,Other_MJ!$C$2:$K$2,Other_MJ!$C$4:$K$4)+LOOKUP($P14,Other_MJ!$C$2:$K$2,Other_MJ!$C$4:$K$4)</f>
        <v>0</v>
      </c>
      <c r="BI14" s="4">
        <f>_xlfn.XLOOKUP($AA14,Other_MJ!$C$5:$R$5,Other_MJ!$C$7:$R$7)</f>
        <v>4318.761676764706</v>
      </c>
      <c r="BJ14" s="4">
        <f>_xlfn.XLOOKUP($AB14,Other_MJ!$C$5:$R$5,Other_MJ!$C$9:$R$9)</f>
        <v>3909.705882352941</v>
      </c>
      <c r="BK14" s="18">
        <f>LOOKUP(_xlfn.CEILING.MATH($O14,1),Other_MJ!$C$21:$G$21,Other_MJ!$C$23:$G$23)+LOOKUP(_xlfn.CEILING.MATH($P14),Other_MJ!$C$21:$G$21,Other_MJ!$C$23:$G$23)+LOOKUP(_xlfn.CEILING.MATH($Q14),Other_MJ!$C$21:$G$21,Other_MJ!$C$23:$G$23)+LOOKUP(_xlfn.CEILING.MATH($R14),Other_MJ!$C$21:$G$21,Other_MJ!$C$23:$G$23)+_xlfn.IFNA(LOOKUP(_xlfn.CEILING.MATH($S14),Other_MJ!$C$21:$G$21,Other_MJ!$C$23:$G$23),0)+_xlfn.IFNA(LOOKUP(_xlfn.CEILING.MATH($T14),Other_MJ!$C$21:$G$21,Other_MJ!$C$23:$G$23),0)</f>
        <v>73453.622333699997</v>
      </c>
    </row>
    <row r="15" spans="1:63" x14ac:dyDescent="0.25">
      <c r="H15" s="4" t="str">
        <f t="shared" ref="H15:H21" si="1">_xlfn.TEXTJOIN("-", TRUE, L15, I15)</f>
        <v>Mass-H1-AK</v>
      </c>
      <c r="I15" s="4" t="s">
        <v>3</v>
      </c>
      <c r="J15" s="4" t="s">
        <v>37</v>
      </c>
      <c r="K15" s="4" t="s">
        <v>43</v>
      </c>
      <c r="L15" s="4" t="str">
        <f t="shared" ref="L15:L21" si="2">CONCATENATE(J15, "-", K15)</f>
        <v>Mass-H1</v>
      </c>
      <c r="M15" s="4">
        <f>H3</f>
        <v>6.2</v>
      </c>
      <c r="N15" s="4">
        <v>5</v>
      </c>
      <c r="O15" s="4">
        <f>IF(MOD(N15,1)=0.5,INT(N15/2),N15/2)</f>
        <v>2.5</v>
      </c>
      <c r="P15" s="4">
        <f>N15-O15</f>
        <v>2.5</v>
      </c>
      <c r="Q15" s="4">
        <v>1</v>
      </c>
      <c r="R15" s="4">
        <v>1</v>
      </c>
      <c r="S15" s="4"/>
      <c r="T15" s="4"/>
      <c r="U15" s="4">
        <f t="shared" ref="U15:U21" si="3">SUM(O15:T15)</f>
        <v>7</v>
      </c>
      <c r="V15" s="4"/>
      <c r="W15" s="4">
        <f t="shared" ref="W15:W21" si="4">U15</f>
        <v>7</v>
      </c>
      <c r="X15" s="4">
        <f t="shared" ref="X15:X21" si="5">AA15+AB15</f>
        <v>6.5</v>
      </c>
      <c r="Y15" s="4">
        <f t="shared" ref="Y15:Y21" si="6">SUM(Q15:T15)</f>
        <v>2</v>
      </c>
      <c r="Z15" s="4">
        <f t="shared" ref="Z15:Z21" si="7">O15+P15</f>
        <v>5</v>
      </c>
      <c r="AA15" s="4">
        <f>_xlfn.XLOOKUP(H15,Key!$F$8:$F$15,Key!$B$8:$B$15)</f>
        <v>4.5</v>
      </c>
      <c r="AB15" s="4">
        <f>_xlfn.XLOOKUP(H15,Key!$F$16:$F$23,Key!$E$16:$E$23)</f>
        <v>2</v>
      </c>
      <c r="AC15" s="17">
        <f>LOOKUP($O15,Manufacture_MJ!$C$2:$K$2,Manufacture_MJ!$C$4:$K$4)+LOOKUP($P15,Manufacture_MJ!$C$2:$K$2,Manufacture_MJ!$C$4:$K$4)+LOOKUP($Q15,Manufacture_MJ!$C$2:$K$2,Manufacture_MJ!$C$4:$K$4)+LOOKUP($R15,Manufacture_MJ!$C$2:$K$2,Manufacture_MJ!$C$4:$K$4)+_xlfn.IFNA(LOOKUP($S15,Manufacture_MJ!$C$2:$K$2,Manufacture_MJ!$C$4:$K$4),0)+_xlfn.IFNA(LOOKUP($T15,Manufacture_MJ!$C$2:$K$2,Manufacture_MJ!$C$4:$K$4),0)</f>
        <v>19975.709705088429</v>
      </c>
      <c r="AD15" s="4">
        <f t="shared" ref="AD15:AD21" si="8">AG15+AH15</f>
        <v>32134.631092941177</v>
      </c>
      <c r="AE15" s="4">
        <f>LOOKUP($Q15,Manufacture_MJ!$C$2:$K$2,Manufacture_MJ!$C$4:$K$4)+LOOKUP($R15,Manufacture_MJ!$C$2:$K$2,Manufacture_MJ!$C$4:$K$4)+_xlfn.IFNA(LOOKUP($S15,Manufacture_MJ!$C$2:$K$2,Manufacture_MJ!$C$4:$K$4),0)+_xlfn.IFNA(LOOKUP($T15,Manufacture_MJ!$C$2:$K$2,Manufacture_MJ!$C$4:$K$4),0)</f>
        <v>6248.7743688918881</v>
      </c>
      <c r="AF15" s="4">
        <f>LOOKUP($O15,Manufacture_MJ!$C$2:$K$2,Manufacture_MJ!$C$4:$K$4)+LOOKUP($P15,Manufacture_MJ!$C$2:$K$2,Manufacture_MJ!$C$4:$K$4)</f>
        <v>13726.935336196544</v>
      </c>
      <c r="AG15" s="4">
        <f>_xlfn.XLOOKUP($AA15,Manufacture_MJ!$C$5:$R$5,Manufacture_MJ!$C$7:$R$7)</f>
        <v>17752.101681176471</v>
      </c>
      <c r="AH15" s="4">
        <f>_xlfn.XLOOKUP($AB15,Manufacture_MJ!$C$5:$R$5,Manufacture_MJ!$C$9:$R$9)</f>
        <v>14382.529411764706</v>
      </c>
      <c r="AI15" s="18">
        <f>LOOKUP(_xlfn.CEILING.MATH($O15,1),Manufacture_MJ!$C$21:$G$21,Manufacture_MJ!$C$23:$G$23)+LOOKUP(_xlfn.CEILING.MATH($P15),Manufacture_MJ!$C$21:$G$21,Manufacture_MJ!$C$23:$G$23)+LOOKUP(_xlfn.CEILING.MATH($Q15),Manufacture_MJ!$C$21:$G$21,Manufacture_MJ!$C$23:$G$23)+LOOKUP(_xlfn.CEILING.MATH($R15),Manufacture_MJ!$C$21:$G$21,Manufacture_MJ!$C$23:$G$23)+_xlfn.IFNA(LOOKUP(_xlfn.CEILING.MATH($S15),Manufacture_MJ!$C$21:$G$21,Manufacture_MJ!$C$23:$G$23),0)+_xlfn.IFNA(LOOKUP(_xlfn.CEILING.MATH($T15),Manufacture_MJ!$C$21:$G$21,Manufacture_MJ!$C$23:$G$23),0)</f>
        <v>40153.641044999968</v>
      </c>
      <c r="AJ15" s="17">
        <f>LOOKUP($O15,Distribution_MJ!$C$2:$K$2,Distribution_MJ!$C$4:$K$4)+LOOKUP($P15,Distribution_MJ!$C$2:$K$2,Distribution_MJ!$C$4:$K$4)+LOOKUP($Q15,Distribution_MJ!$C$2:$K$2,Distribution_MJ!$C$4:$K$4)+LOOKUP($R15,Distribution_MJ!$C$2:$K$2,Distribution_MJ!$C$4:$K$4)+_xlfn.IFNA(LOOKUP($S15,Distribution_MJ!$C$2:$K$2,Distribution_MJ!$C$4:$K$4),0)+_xlfn.IFNA(LOOKUP($T15,Distribution_MJ!$C$2:$K$2,Distribution_MJ!$C$4:$K$4),0)</f>
        <v>728.39025102879009</v>
      </c>
      <c r="AK15" s="4">
        <f t="shared" ref="AK15:AK21" si="9">AN15+AO15</f>
        <v>581.32138067218239</v>
      </c>
      <c r="AL15" s="4">
        <f>LOOKUP($Q15,Distribution_MJ!$C$2:$K$2,Distribution_MJ!$C$4:$K$4)+LOOKUP($R15,Distribution_MJ!$C$2:$K$2,Distribution_MJ!$C$4:$K$4)+_xlfn.IFNA(LOOKUP($S15,Distribution_MJ!$C$2:$K$2,Distribution_MJ!$C$4:$K$4),0)+_xlfn.IFNA(LOOKUP($T15,Distribution_MJ!$C$2:$K$2,Distribution_MJ!$C$4:$K$4),0)</f>
        <v>221.5911942468</v>
      </c>
      <c r="AM15" s="4">
        <f>LOOKUP($O15,Distribution_MJ!$C$2:$K$2,Distribution_MJ!$C$4:$K$4)+LOOKUP($P15,Distribution_MJ!$C$2:$K$2,Distribution_MJ!$C$4:$K$4)</f>
        <v>506.79905678199003</v>
      </c>
      <c r="AN15" s="4">
        <f>_xlfn.XLOOKUP($AA15,Distribution_MJ!$C$5:$R$5,Distribution_MJ!$C$7:$R$7)</f>
        <v>353.50761617218234</v>
      </c>
      <c r="AO15" s="4">
        <f>_xlfn.XLOOKUP($AB15,Distribution_MJ!$C$5:$R$5,Distribution_MJ!$C$9:$R$9)</f>
        <v>227.81376449999999</v>
      </c>
      <c r="AP15" s="18">
        <f>LOOKUP(_xlfn.CEILING.MATH($O15,1),Distribution_MJ!$C$21:$G$21,Distribution_MJ!$C$23:$G$23)+LOOKUP(_xlfn.CEILING.MATH($P15),Distribution_MJ!$C$21:$G$21,Distribution_MJ!$C$23:$G$23)+LOOKUP(_xlfn.CEILING.MATH($Q15),Distribution_MJ!$C$21:$G$21,Distribution_MJ!$C$23:$G$23)+LOOKUP(_xlfn.CEILING.MATH($R15),Distribution_MJ!$C$21:$G$21,Distribution_MJ!$C$23:$G$23)+_xlfn.IFNA(LOOKUP(_xlfn.CEILING.MATH($S15),Distribution_MJ!$C$21:$G$21,Distribution_MJ!$C$23:$G$23),0)+_xlfn.IFNA(LOOKUP(_xlfn.CEILING.MATH($T15),Distribution_MJ!$C$21:$G$21,Distribution_MJ!$C$23:$G$23),0)</f>
        <v>616.63102999554997</v>
      </c>
      <c r="AQ15" s="17">
        <f>LOOKUP($O15,Installation_MJ!$C$2:$K$2,Installation_MJ!$C$4:$K$4)+LOOKUP($P15,Installation_MJ!$C$2:$K$2,Installation_MJ!$C$4:$K$4)+LOOKUP($Q15,Installation_MJ!$C$2:$K$2,Installation_MJ!$C$4:$K$4)+LOOKUP($R15,Installation_MJ!$C$2:$K$2,Installation_MJ!$C$4:$K$4)+_xlfn.IFNA(LOOKUP($S15,Installation_MJ!$C$2:$K$2,Installation_MJ!$C$4:$K$4),0)+_xlfn.IFNA(LOOKUP($T15,Installation_MJ!$C$2:$K$2,Installation_MJ!$C$4:$K$4),0)</f>
        <v>14.557230127516119</v>
      </c>
      <c r="AR15" s="4">
        <f t="shared" ref="AR15:AR21" si="10">AU15+AV15</f>
        <v>1385.8191882705883</v>
      </c>
      <c r="AS15" s="4">
        <f>LOOKUP($Q15,Installation_MJ!$C$2:$K$2,Installation_MJ!$C$4:$K$4)+LOOKUP($R15,Installation_MJ!$C$2:$K$2,Installation_MJ!$C$4:$K$4)+_xlfn.IFNA(LOOKUP($S15,Installation_MJ!$C$2:$K$2,Installation_MJ!$C$4:$K$4),0)+_xlfn.IFNA(LOOKUP($T15,Installation_MJ!$C$2:$K$2,Installation_MJ!$C$4:$K$4),0)</f>
        <v>4.5756503732009577</v>
      </c>
      <c r="AT15" s="4">
        <f>LOOKUP($O15,Installation_MJ!$C$2:$K$2,Installation_MJ!$C$4:$K$4)+LOOKUP($P15,Installation_MJ!$C$2:$K$2,Installation_MJ!$C$4:$K$4)</f>
        <v>9.9815797543151614</v>
      </c>
      <c r="AU15" s="4">
        <f>_xlfn.XLOOKUP($AA15,Installation_MJ!$C$5:$R$5,Installation_MJ!$C$7:$R$7)</f>
        <v>775.58389415294107</v>
      </c>
      <c r="AV15" s="4">
        <f>_xlfn.XLOOKUP($AB15,Installation_MJ!$C$5:$R$5,Installation_MJ!$C$9:$R$9)</f>
        <v>610.23529411764707</v>
      </c>
      <c r="AW15" s="18">
        <f>LOOKUP(_xlfn.CEILING.MATH($O15,1),Installation_MJ!$C$21:$G$21,Installation_MJ!$C$23:$G$23)+LOOKUP(_xlfn.CEILING.MATH($P15),Installation_MJ!$C$21:$G$21,Installation_MJ!$C$23:$G$23)+LOOKUP(_xlfn.CEILING.MATH($Q15),Installation_MJ!$C$21:$G$21,Installation_MJ!$C$23:$G$23)+LOOKUP(_xlfn.CEILING.MATH($R15),Installation_MJ!$C$21:$G$21,Installation_MJ!$C$23:$G$23)+_xlfn.IFNA(LOOKUP(_xlfn.CEILING.MATH($S15),Installation_MJ!$C$21:$G$21,Installation_MJ!$C$23:$G$23),0)+_xlfn.IFNA(LOOKUP(_xlfn.CEILING.MATH($T15),Installation_MJ!$C$21:$G$21,Installation_MJ!$C$23:$G$23),0)</f>
        <v>75.917137012500007</v>
      </c>
      <c r="AX15" s="17">
        <f>LOOKUP($O15,EOL_MJ!$C$2:$K$2,EOL_MJ!$C$4:$K$4)+LOOKUP($P15,EOL_MJ!$C$2:$K$2,EOL_MJ!$C$4:$K$4)+LOOKUP($Q15,EOL_MJ!$C$2:$K$2,EOL_MJ!$C$4:$K$4)+LOOKUP($R15,EOL_MJ!$C$2:$K$2,EOL_MJ!$C$4:$K$4)+_xlfn.IFNA(LOOKUP($S15,EOL_MJ!$C$2:$K$2,EOL_MJ!$C$4:$K$4),0)+_xlfn.IFNA(LOOKUP($T15,EOL_MJ!$C$2:$K$2,EOL_MJ!$C$4:$K$4),0)</f>
        <v>86.552477269538329</v>
      </c>
      <c r="AY15" s="4">
        <f t="shared" ref="AY15:AY21" si="11">BB15+BC15</f>
        <v>6795.3958991176469</v>
      </c>
      <c r="AZ15" s="4">
        <f>LOOKUP($Q15,EOL_MJ!$C$2:$K$2,EOL_MJ!$C$4:$K$4)+LOOKUP($R15,EOL_MJ!$C$2:$K$2,EOL_MJ!$C$4:$K$4)+_xlfn.IFNA(LOOKUP($S15,EOL_MJ!$C$2:$K$2,EOL_MJ!$C$4:$K$4),0)+_xlfn.IFNA(LOOKUP($T15,EOL_MJ!$C$2:$K$2,EOL_MJ!$C$4:$K$4),0)</f>
        <v>27.594706715911837</v>
      </c>
      <c r="BA15" s="4">
        <f>LOOKUP($O15,EOL_MJ!$C$2:$K$2,EOL_MJ!$C$4:$K$4)+LOOKUP($P15,EOL_MJ!$C$2:$K$2,EOL_MJ!$C$4:$K$4)</f>
        <v>58.957770553626503</v>
      </c>
      <c r="BB15" s="4">
        <f>_xlfn.XLOOKUP($AA15,EOL_MJ!$C$5:$R$5,EOL_MJ!$C$6:$R$6)</f>
        <v>2636.160605</v>
      </c>
      <c r="BC15" s="4">
        <f>_xlfn.XLOOKUP($AB15,EOL_MJ!$C$5:$R$5,EOL_MJ!$C$9:$R$9)</f>
        <v>4159.2352941176468</v>
      </c>
      <c r="BD15" s="18">
        <f>LOOKUP(_xlfn.CEILING.MATH($O15,1),EOL_MJ!$C$21:$G$21,EOL_MJ!$C$23:$G$23)+LOOKUP(_xlfn.CEILING.MATH($P15),EOL_MJ!$C$21:$G$21,EOL_MJ!$C$23:$G$23)+LOOKUP(_xlfn.CEILING.MATH($Q15),EOL_MJ!$C$21:$G$21,EOL_MJ!$C$23:$G$23)+LOOKUP(_xlfn.CEILING.MATH($R15),EOL_MJ!$C$21:$G$21,EOL_MJ!$C$23:$G$23)+_xlfn.IFNA(LOOKUP(_xlfn.CEILING.MATH($S15),EOL_MJ!$C$21:$G$21,EOL_MJ!$C$23:$G$23),0)+_xlfn.IFNA(LOOKUP(_xlfn.CEILING.MATH($T15),EOL_MJ!$C$21:$G$21,EOL_MJ!$C$23:$G$23),0)</f>
        <v>2812.3076519999995</v>
      </c>
      <c r="BE15" s="17">
        <f>LOOKUP($O15,Other_MJ!$C$2:$K$2,Other_MJ!$C$4:$K$4)+LOOKUP($P15,Other_MJ!$C$2:$K$2,Other_MJ!$C$4:$K$4)+LOOKUP($Q15,Other_MJ!$C$2:$K$2,Other_MJ!$C$4:$K$4)+LOOKUP($R15,Other_MJ!$C$2:$K$2,Other_MJ!$C$4:$K$4)+_xlfn.IFNA(LOOKUP($S15,Other_MJ!$C$2:$K$2,Other_MJ!$C$4:$K$4),0)+_xlfn.IFNA(LOOKUP($T15,Other_MJ!$C$2:$K$2,Other_MJ!$C$4:$K$4),0)</f>
        <v>0</v>
      </c>
      <c r="BF15" s="4">
        <f t="shared" ref="BF15:BF21" si="12">BI15+BJ15</f>
        <v>7331.117875941176</v>
      </c>
      <c r="BG15" s="4">
        <f>LOOKUP($Q15,Other_MJ!$C$2:$K$2,Other_MJ!$C$4:$K$4)+LOOKUP($R15,Other_MJ!$C$2:$K$2,Other_MJ!$C$4:$K$4)+_xlfn.IFNA(LOOKUP($S15,Other_MJ!$C$2:$K$2,Other_MJ!$C$4:$K$4),0)+_xlfn.IFNA(LOOKUP($T15,Other_MJ!$C$2:$K$2,Other_MJ!$C$4:$K$4),0)</f>
        <v>0</v>
      </c>
      <c r="BH15" s="4">
        <f>LOOKUP($O15,Other_MJ!$C$2:$K$2,Other_MJ!$C$4:$K$4)+LOOKUP($P15,Other_MJ!$C$2:$K$2,Other_MJ!$C$4:$K$4)</f>
        <v>0</v>
      </c>
      <c r="BI15" s="4">
        <f>_xlfn.XLOOKUP($AA15,Other_MJ!$C$5:$R$5,Other_MJ!$C$7:$R$7)</f>
        <v>3421.411993588235</v>
      </c>
      <c r="BJ15" s="4">
        <f>_xlfn.XLOOKUP($AB15,Other_MJ!$C$5:$R$5,Other_MJ!$C$9:$R$9)</f>
        <v>3909.705882352941</v>
      </c>
      <c r="BK15" s="18">
        <f>LOOKUP(_xlfn.CEILING.MATH($O15,1),Other_MJ!$C$21:$G$21,Other_MJ!$C$23:$G$23)+LOOKUP(_xlfn.CEILING.MATH($P15),Other_MJ!$C$21:$G$21,Other_MJ!$C$23:$G$23)+LOOKUP(_xlfn.CEILING.MATH($Q15),Other_MJ!$C$21:$G$21,Other_MJ!$C$23:$G$23)+LOOKUP(_xlfn.CEILING.MATH($R15),Other_MJ!$C$21:$G$21,Other_MJ!$C$23:$G$23)+_xlfn.IFNA(LOOKUP(_xlfn.CEILING.MATH($S15),Other_MJ!$C$21:$G$21,Other_MJ!$C$23:$G$23),0)+_xlfn.IFNA(LOOKUP(_xlfn.CEILING.MATH($T15),Other_MJ!$C$21:$G$21,Other_MJ!$C$23:$G$23),0)</f>
        <v>56628.361731899997</v>
      </c>
    </row>
    <row r="16" spans="1:63" x14ac:dyDescent="0.25">
      <c r="H16" s="4" t="str">
        <f t="shared" si="1"/>
        <v>Mass-Nom-CH</v>
      </c>
      <c r="I16" s="4" t="s">
        <v>11</v>
      </c>
      <c r="J16" s="4" t="s">
        <v>37</v>
      </c>
      <c r="K16" s="4" t="s">
        <v>42</v>
      </c>
      <c r="L16" s="4" t="str">
        <f t="shared" si="2"/>
        <v>Mass-Nom</v>
      </c>
      <c r="M16" s="4">
        <f>H4</f>
        <v>15.2</v>
      </c>
      <c r="N16" s="4">
        <v>8.5</v>
      </c>
      <c r="O16" s="4">
        <f>IF(MOD(N16,1)=0.5,INT(N16/2),N16/2)</f>
        <v>4</v>
      </c>
      <c r="P16" s="4">
        <f>N16-O16</f>
        <v>4.5</v>
      </c>
      <c r="Q16" s="4">
        <v>3.5</v>
      </c>
      <c r="R16" s="4">
        <v>3.5</v>
      </c>
      <c r="S16" s="4"/>
      <c r="T16" s="4"/>
      <c r="U16" s="4">
        <f t="shared" si="3"/>
        <v>15.5</v>
      </c>
      <c r="V16" s="4"/>
      <c r="W16" s="4">
        <f t="shared" si="4"/>
        <v>15.5</v>
      </c>
      <c r="X16" s="4">
        <f t="shared" si="5"/>
        <v>15.5</v>
      </c>
      <c r="Y16" s="4">
        <f t="shared" si="6"/>
        <v>7</v>
      </c>
      <c r="Z16" s="4">
        <f t="shared" si="7"/>
        <v>8.5</v>
      </c>
      <c r="AA16" s="4">
        <f>_xlfn.XLOOKUP(H16,Key!$F$8:$F$15,Key!$B$8:$B$15)</f>
        <v>8.5</v>
      </c>
      <c r="AB16" s="4">
        <f>_xlfn.XLOOKUP(H16,Key!$F$16:$F$23,Key!$E$16:$E$23)</f>
        <v>7</v>
      </c>
      <c r="AC16" s="17">
        <f>LOOKUP($O16,Manufacture_MJ!$C$2:$K$2,Manufacture_MJ!$C$4:$K$4)+LOOKUP($P16,Manufacture_MJ!$C$2:$K$2,Manufacture_MJ!$C$4:$K$4)+LOOKUP($Q16,Manufacture_MJ!$C$2:$K$2,Manufacture_MJ!$C$4:$K$4)+LOOKUP($R16,Manufacture_MJ!$C$2:$K$2,Manufacture_MJ!$C$4:$K$4)+_xlfn.IFNA(LOOKUP($S16,Manufacture_MJ!$C$2:$K$2,Manufacture_MJ!$C$4:$K$4),0)+_xlfn.IFNA(LOOKUP($T16,Manufacture_MJ!$C$2:$K$2,Manufacture_MJ!$C$4:$K$4),0)</f>
        <v>36110.497549696542</v>
      </c>
      <c r="AD16" s="4">
        <f t="shared" si="8"/>
        <v>50797.80507529412</v>
      </c>
      <c r="AE16" s="4">
        <f>LOOKUP($Q16,Manufacture_MJ!$C$2:$K$2,Manufacture_MJ!$C$4:$K$4)+LOOKUP($R16,Manufacture_MJ!$C$2:$K$2,Manufacture_MJ!$C$4:$K$4)+_xlfn.IFNA(LOOKUP($S16,Manufacture_MJ!$C$2:$K$2,Manufacture_MJ!$C$4:$K$4),0)+_xlfn.IFNA(LOOKUP($T16,Manufacture_MJ!$C$2:$K$2,Manufacture_MJ!$C$4:$K$4),0)</f>
        <v>16185.708533022098</v>
      </c>
      <c r="AF16" s="4">
        <f>LOOKUP($O16,Manufacture_MJ!$C$2:$K$2,Manufacture_MJ!$C$4:$K$4)+LOOKUP($P16,Manufacture_MJ!$C$2:$K$2,Manufacture_MJ!$C$4:$K$4)</f>
        <v>19924.78901667444</v>
      </c>
      <c r="AG16" s="4">
        <f>_xlfn.XLOOKUP($AA16,Manufacture_MJ!$C$5:$R$5,Manufacture_MJ!$C$7:$R$7)</f>
        <v>25323.569781176473</v>
      </c>
      <c r="AH16" s="4">
        <f>_xlfn.XLOOKUP($AB16,Manufacture_MJ!$C$5:$R$5,Manufacture_MJ!$C$9:$R$9)</f>
        <v>25474.235294117647</v>
      </c>
      <c r="AI16" s="18">
        <f>LOOKUP(_xlfn.CEILING.MATH($O16,1),Manufacture_MJ!$C$21:$G$21,Manufacture_MJ!$C$23:$G$23)+LOOKUP(_xlfn.CEILING.MATH($P16),Manufacture_MJ!$C$21:$G$21,Manufacture_MJ!$C$23:$G$23)+LOOKUP(_xlfn.CEILING.MATH($Q16),Manufacture_MJ!$C$21:$G$21,Manufacture_MJ!$C$23:$G$23)+LOOKUP(_xlfn.CEILING.MATH($R16),Manufacture_MJ!$C$21:$G$21,Manufacture_MJ!$C$23:$G$23)+_xlfn.IFNA(LOOKUP(_xlfn.CEILING.MATH($S16),Manufacture_MJ!$C$21:$G$21,Manufacture_MJ!$C$23:$G$23),0)+_xlfn.IFNA(LOOKUP(_xlfn.CEILING.MATH($T16),Manufacture_MJ!$C$21:$G$21,Manufacture_MJ!$C$23:$G$23),0)</f>
        <v>62740.094975250002</v>
      </c>
      <c r="AJ16" s="17">
        <f>LOOKUP($O16,Distribution_MJ!$C$2:$K$2,Distribution_MJ!$C$4:$K$4)+LOOKUP($P16,Distribution_MJ!$C$2:$K$2,Distribution_MJ!$C$4:$K$4)+LOOKUP($Q16,Distribution_MJ!$C$2:$K$2,Distribution_MJ!$C$4:$K$4)+LOOKUP($R16,Distribution_MJ!$C$2:$K$2,Distribution_MJ!$C$4:$K$4)+_xlfn.IFNA(LOOKUP($S16,Distribution_MJ!$C$2:$K$2,Distribution_MJ!$C$4:$K$4),0)+_xlfn.IFNA(LOOKUP($T16,Distribution_MJ!$C$2:$K$2,Distribution_MJ!$C$4:$K$4),0)</f>
        <v>1410.6687179851351</v>
      </c>
      <c r="AK16" s="4">
        <f t="shared" si="9"/>
        <v>1080.6559068775427</v>
      </c>
      <c r="AL16" s="4">
        <f>LOOKUP($Q16,Distribution_MJ!$C$2:$K$2,Distribution_MJ!$C$4:$K$4)+LOOKUP($R16,Distribution_MJ!$C$2:$K$2,Distribution_MJ!$C$4:$K$4)+_xlfn.IFNA(LOOKUP($S16,Distribution_MJ!$C$2:$K$2,Distribution_MJ!$C$4:$K$4),0)+_xlfn.IFNA(LOOKUP($T16,Distribution_MJ!$C$2:$K$2,Distribution_MJ!$C$4:$K$4),0)</f>
        <v>634.03239335877004</v>
      </c>
      <c r="AM16" s="4">
        <f>LOOKUP($O16,Distribution_MJ!$C$2:$K$2,Distribution_MJ!$C$4:$K$4)+LOOKUP($P16,Distribution_MJ!$C$2:$K$2,Distribution_MJ!$C$4:$K$4)</f>
        <v>776.63632462636497</v>
      </c>
      <c r="AN16" s="4">
        <f>_xlfn.XLOOKUP($AA16,Distribution_MJ!$C$5:$R$5,Distribution_MJ!$C$7:$R$7)</f>
        <v>494.84908387754268</v>
      </c>
      <c r="AO16" s="4">
        <f>_xlfn.XLOOKUP($AB16,Distribution_MJ!$C$5:$R$5,Distribution_MJ!$C$9:$R$9)</f>
        <v>585.80682300000001</v>
      </c>
      <c r="AP16" s="18">
        <f>LOOKUP(_xlfn.CEILING.MATH($O16,1),Distribution_MJ!$C$21:$G$21,Distribution_MJ!$C$23:$G$23)+LOOKUP(_xlfn.CEILING.MATH($P16),Distribution_MJ!$C$21:$G$21,Distribution_MJ!$C$23:$G$23)+LOOKUP(_xlfn.CEILING.MATH($Q16),Distribution_MJ!$C$21:$G$21,Distribution_MJ!$C$23:$G$23)+LOOKUP(_xlfn.CEILING.MATH($R16),Distribution_MJ!$C$21:$G$21,Distribution_MJ!$C$23:$G$23)+_xlfn.IFNA(LOOKUP(_xlfn.CEILING.MATH($S16),Distribution_MJ!$C$21:$G$21,Distribution_MJ!$C$23:$G$23),0)+_xlfn.IFNA(LOOKUP(_xlfn.CEILING.MATH($T16),Distribution_MJ!$C$21:$G$21,Distribution_MJ!$C$23:$G$23),0)</f>
        <v>970.94490492414366</v>
      </c>
      <c r="AQ16" s="17">
        <f>LOOKUP($O16,Installation_MJ!$C$2:$K$2,Installation_MJ!$C$4:$K$4)+LOOKUP($P16,Installation_MJ!$C$2:$K$2,Installation_MJ!$C$4:$K$4)+LOOKUP($Q16,Installation_MJ!$C$2:$K$2,Installation_MJ!$C$4:$K$4)+LOOKUP($R16,Installation_MJ!$C$2:$K$2,Installation_MJ!$C$4:$K$4)+_xlfn.IFNA(LOOKUP($S16,Installation_MJ!$C$2:$K$2,Installation_MJ!$C$4:$K$4),0)+_xlfn.IFNA(LOOKUP($T16,Installation_MJ!$C$2:$K$2,Installation_MJ!$C$4:$K$4),0)</f>
        <v>25.98724023084047</v>
      </c>
      <c r="AR16" s="4">
        <f t="shared" si="10"/>
        <v>1890.2807267647058</v>
      </c>
      <c r="AS16" s="4">
        <f>LOOKUP($Q16,Installation_MJ!$C$2:$K$2,Installation_MJ!$C$4:$K$4)+LOOKUP($R16,Installation_MJ!$C$2:$K$2,Installation_MJ!$C$4:$K$4)+_xlfn.IFNA(LOOKUP($S16,Installation_MJ!$C$2:$K$2,Installation_MJ!$C$4:$K$4),0)+_xlfn.IFNA(LOOKUP($T16,Installation_MJ!$C$2:$K$2,Installation_MJ!$C$4:$K$4),0)</f>
        <v>11.642137770141677</v>
      </c>
      <c r="AT16" s="4">
        <f>LOOKUP($O16,Installation_MJ!$C$2:$K$2,Installation_MJ!$C$4:$K$4)+LOOKUP($P16,Installation_MJ!$C$2:$K$2,Installation_MJ!$C$4:$K$4)</f>
        <v>14.345102460698792</v>
      </c>
      <c r="AU16" s="4">
        <f>_xlfn.XLOOKUP($AA16,Installation_MJ!$C$5:$R$5,Installation_MJ!$C$7:$R$7)</f>
        <v>1261.5160208823529</v>
      </c>
      <c r="AV16" s="4">
        <f>_xlfn.XLOOKUP($AB16,Installation_MJ!$C$5:$R$5,Installation_MJ!$C$9:$R$9)</f>
        <v>628.76470588235293</v>
      </c>
      <c r="AW16" s="18">
        <f>LOOKUP(_xlfn.CEILING.MATH($O16,1),Installation_MJ!$C$21:$G$21,Installation_MJ!$C$23:$G$23)+LOOKUP(_xlfn.CEILING.MATH($P16),Installation_MJ!$C$21:$G$21,Installation_MJ!$C$23:$G$23)+LOOKUP(_xlfn.CEILING.MATH($Q16),Installation_MJ!$C$21:$G$21,Installation_MJ!$C$23:$G$23)+LOOKUP(_xlfn.CEILING.MATH($R16),Installation_MJ!$C$21:$G$21,Installation_MJ!$C$23:$G$23)+_xlfn.IFNA(LOOKUP(_xlfn.CEILING.MATH($S16),Installation_MJ!$C$21:$G$21,Installation_MJ!$C$23:$G$23),0)+_xlfn.IFNA(LOOKUP(_xlfn.CEILING.MATH($T16),Installation_MJ!$C$21:$G$21,Installation_MJ!$C$23:$G$23),0)</f>
        <v>178.86101145937499</v>
      </c>
      <c r="AX16" s="17">
        <f>LOOKUP($O16,EOL_MJ!$C$2:$K$2,EOL_MJ!$C$4:$K$4)+LOOKUP($P16,EOL_MJ!$C$2:$K$2,EOL_MJ!$C$4:$K$4)+LOOKUP($Q16,EOL_MJ!$C$2:$K$2,EOL_MJ!$C$4:$K$4)+LOOKUP($R16,EOL_MJ!$C$2:$K$2,EOL_MJ!$C$4:$K$4)+_xlfn.IFNA(LOOKUP($S16,EOL_MJ!$C$2:$K$2,EOL_MJ!$C$4:$K$4),0)+_xlfn.IFNA(LOOKUP($T16,EOL_MJ!$C$2:$K$2,EOL_MJ!$C$4:$K$4),0)</f>
        <v>148.6705015133216</v>
      </c>
      <c r="AY16" s="4">
        <f t="shared" si="11"/>
        <v>15405.867306058823</v>
      </c>
      <c r="AZ16" s="4">
        <f>LOOKUP($Q16,EOL_MJ!$C$2:$K$2,EOL_MJ!$C$4:$K$4)+LOOKUP($R16,EOL_MJ!$C$2:$K$2,EOL_MJ!$C$4:$K$4)+_xlfn.IFNA(LOOKUP($S16,EOL_MJ!$C$2:$K$2,EOL_MJ!$C$4:$K$4),0)+_xlfn.IFNA(LOOKUP($T16,EOL_MJ!$C$2:$K$2,EOL_MJ!$C$4:$K$4),0)</f>
        <v>66.494484797232133</v>
      </c>
      <c r="BA16" s="4">
        <f>LOOKUP($O16,EOL_MJ!$C$2:$K$2,EOL_MJ!$C$4:$K$4)+LOOKUP($P16,EOL_MJ!$C$2:$K$2,EOL_MJ!$C$4:$K$4)</f>
        <v>82.176016716089464</v>
      </c>
      <c r="BB16" s="4">
        <f>_xlfn.XLOOKUP($AA16,EOL_MJ!$C$5:$R$5,EOL_MJ!$C$6:$R$6)</f>
        <v>5314.7496590000001</v>
      </c>
      <c r="BC16" s="4">
        <f>_xlfn.XLOOKUP($AB16,EOL_MJ!$C$5:$R$5,EOL_MJ!$C$9:$R$9)</f>
        <v>10091.117647058823</v>
      </c>
      <c r="BD16" s="18">
        <f>LOOKUP(_xlfn.CEILING.MATH($O16,1),EOL_MJ!$C$21:$G$21,EOL_MJ!$C$23:$G$23)+LOOKUP(_xlfn.CEILING.MATH($P16),EOL_MJ!$C$21:$G$21,EOL_MJ!$C$23:$G$23)+LOOKUP(_xlfn.CEILING.MATH($Q16),EOL_MJ!$C$21:$G$21,EOL_MJ!$C$23:$G$23)+LOOKUP(_xlfn.CEILING.MATH($R16),EOL_MJ!$C$21:$G$21,EOL_MJ!$C$23:$G$23)+_xlfn.IFNA(LOOKUP(_xlfn.CEILING.MATH($S16),EOL_MJ!$C$21:$G$21,EOL_MJ!$C$23:$G$23),0)+_xlfn.IFNA(LOOKUP(_xlfn.CEILING.MATH($T16),EOL_MJ!$C$21:$G$21,EOL_MJ!$C$23:$G$23),0)</f>
        <v>4428.2490713999996</v>
      </c>
      <c r="BE16" s="17">
        <f>LOOKUP($O16,Other_MJ!$C$2:$K$2,Other_MJ!$C$4:$K$4)+LOOKUP($P16,Other_MJ!$C$2:$K$2,Other_MJ!$C$4:$K$4)+LOOKUP($Q16,Other_MJ!$C$2:$K$2,Other_MJ!$C$4:$K$4)+LOOKUP($R16,Other_MJ!$C$2:$K$2,Other_MJ!$C$4:$K$4)+_xlfn.IFNA(LOOKUP($S16,Other_MJ!$C$2:$K$2,Other_MJ!$C$4:$K$4),0)+_xlfn.IFNA(LOOKUP($T16,Other_MJ!$C$2:$K$2,Other_MJ!$C$4:$K$4),0)</f>
        <v>0</v>
      </c>
      <c r="BF16" s="4">
        <f t="shared" si="12"/>
        <v>8767.0386759717185</v>
      </c>
      <c r="BG16" s="4">
        <f>LOOKUP($Q16,Other_MJ!$C$2:$K$2,Other_MJ!$C$4:$K$4)+LOOKUP($R16,Other_MJ!$C$2:$K$2,Other_MJ!$C$4:$K$4)+_xlfn.IFNA(LOOKUP($S16,Other_MJ!$C$2:$K$2,Other_MJ!$C$4:$K$4),0)+_xlfn.IFNA(LOOKUP($T16,Other_MJ!$C$2:$K$2,Other_MJ!$C$4:$K$4),0)</f>
        <v>0</v>
      </c>
      <c r="BH16" s="4">
        <f>LOOKUP($O16,Other_MJ!$C$2:$K$2,Other_MJ!$C$4:$K$4)+LOOKUP($P16,Other_MJ!$C$2:$K$2,Other_MJ!$C$4:$K$4)</f>
        <v>0</v>
      </c>
      <c r="BI16" s="4">
        <f>_xlfn.XLOOKUP($AA16,Other_MJ!$C$5:$R$5,Other_MJ!$C$7:$R$7)</f>
        <v>4857.1714861764704</v>
      </c>
      <c r="BJ16" s="4">
        <f>_xlfn.XLOOKUP($AB16,Other_MJ!$C$5:$R$5,Other_MJ!$C$9:$R$9)</f>
        <v>3909.8671897952472</v>
      </c>
      <c r="BK16" s="18">
        <f>LOOKUP(_xlfn.CEILING.MATH($O16,1),Other_MJ!$C$21:$G$21,Other_MJ!$C$23:$G$23)+LOOKUP(_xlfn.CEILING.MATH($P16),Other_MJ!$C$21:$G$21,Other_MJ!$C$23:$G$23)+LOOKUP(_xlfn.CEILING.MATH($Q16),Other_MJ!$C$21:$G$21,Other_MJ!$C$23:$G$23)+LOOKUP(_xlfn.CEILING.MATH($R16),Other_MJ!$C$21:$G$21,Other_MJ!$C$23:$G$23)+_xlfn.IFNA(LOOKUP(_xlfn.CEILING.MATH($S16),Other_MJ!$C$21:$G$21,Other_MJ!$C$23:$G$23),0)+_xlfn.IFNA(LOOKUP(_xlfn.CEILING.MATH($T16),Other_MJ!$C$21:$G$21,Other_MJ!$C$23:$G$23),0)</f>
        <v>94485.198085950004</v>
      </c>
    </row>
    <row r="17" spans="8:63" x14ac:dyDescent="0.25">
      <c r="H17" s="4" t="str">
        <f t="shared" si="1"/>
        <v>Mass-H1-CH</v>
      </c>
      <c r="I17" s="4" t="s">
        <v>11</v>
      </c>
      <c r="J17" s="4" t="s">
        <v>37</v>
      </c>
      <c r="K17" s="4" t="s">
        <v>43</v>
      </c>
      <c r="L17" s="4" t="str">
        <f t="shared" si="2"/>
        <v>Mass-H1</v>
      </c>
      <c r="M17" s="4">
        <f>H5</f>
        <v>8.1999999999999993</v>
      </c>
      <c r="N17" s="4">
        <v>5</v>
      </c>
      <c r="O17" s="4">
        <f>IF(MOD(N17,1)=0.5,INT(N17/2),N17/2)</f>
        <v>2.5</v>
      </c>
      <c r="P17" s="4">
        <f>N17-O17</f>
        <v>2.5</v>
      </c>
      <c r="Q17" s="4">
        <v>1.5</v>
      </c>
      <c r="R17" s="4">
        <v>2</v>
      </c>
      <c r="S17" s="4"/>
      <c r="T17" s="4"/>
      <c r="U17" s="4">
        <f t="shared" si="3"/>
        <v>8.5</v>
      </c>
      <c r="V17" s="4"/>
      <c r="W17" s="4">
        <f t="shared" si="4"/>
        <v>8.5</v>
      </c>
      <c r="X17" s="4">
        <f t="shared" si="5"/>
        <v>8</v>
      </c>
      <c r="Y17" s="4">
        <f t="shared" si="6"/>
        <v>3.5</v>
      </c>
      <c r="Z17" s="4">
        <f t="shared" si="7"/>
        <v>5</v>
      </c>
      <c r="AA17" s="4">
        <f>_xlfn.XLOOKUP(H17,Key!$F$8:$F$15,Key!$B$8:$B$15)</f>
        <v>5</v>
      </c>
      <c r="AB17" s="4">
        <f>_xlfn.XLOOKUP(H17,Key!$F$16:$F$23,Key!$E$16:$E$23)</f>
        <v>3</v>
      </c>
      <c r="AC17" s="17">
        <f>LOOKUP($O17,Manufacture_MJ!$C$2:$K$2,Manufacture_MJ!$C$4:$K$4)+LOOKUP($P17,Manufacture_MJ!$C$2:$K$2,Manufacture_MJ!$C$4:$K$4)+LOOKUP($Q17,Manufacture_MJ!$C$2:$K$2,Manufacture_MJ!$C$4:$K$4)+LOOKUP($R17,Manufacture_MJ!$C$2:$K$2,Manufacture_MJ!$C$4:$K$4)+_xlfn.IFNA(LOOKUP($S17,Manufacture_MJ!$C$2:$K$2,Manufacture_MJ!$C$4:$K$4),0)+_xlfn.IFNA(LOOKUP($T17,Manufacture_MJ!$C$2:$K$2,Manufacture_MJ!$C$4:$K$4),0)</f>
        <v>21819.789602707595</v>
      </c>
      <c r="AD17" s="4">
        <f t="shared" si="8"/>
        <v>33081.064602352941</v>
      </c>
      <c r="AE17" s="4">
        <f>LOOKUP($Q17,Manufacture_MJ!$C$2:$K$2,Manufacture_MJ!$C$4:$K$4)+LOOKUP($R17,Manufacture_MJ!$C$2:$K$2,Manufacture_MJ!$C$4:$K$4)+_xlfn.IFNA(LOOKUP($S17,Manufacture_MJ!$C$2:$K$2,Manufacture_MJ!$C$4:$K$4),0)+_xlfn.IFNA(LOOKUP($T17,Manufacture_MJ!$C$2:$K$2,Manufacture_MJ!$C$4:$K$4),0)</f>
        <v>8092.8542665110499</v>
      </c>
      <c r="AF17" s="4">
        <f>LOOKUP($O17,Manufacture_MJ!$C$2:$K$2,Manufacture_MJ!$C$4:$K$4)+LOOKUP($P17,Manufacture_MJ!$C$2:$K$2,Manufacture_MJ!$C$4:$K$4)</f>
        <v>13726.935336196544</v>
      </c>
      <c r="AG17" s="4">
        <f>_xlfn.XLOOKUP($AA17,Manufacture_MJ!$C$5:$R$5,Manufacture_MJ!$C$7:$R$7)</f>
        <v>18698.535190588234</v>
      </c>
      <c r="AH17" s="4">
        <f>_xlfn.XLOOKUP($AB17,Manufacture_MJ!$C$5:$R$5,Manufacture_MJ!$C$9:$R$9)</f>
        <v>14382.529411764706</v>
      </c>
      <c r="AI17" s="18">
        <f>LOOKUP(_xlfn.CEILING.MATH($O17,1),Manufacture_MJ!$C$21:$G$21,Manufacture_MJ!$C$23:$G$23)+LOOKUP(_xlfn.CEILING.MATH($P17),Manufacture_MJ!$C$21:$G$21,Manufacture_MJ!$C$23:$G$23)+LOOKUP(_xlfn.CEILING.MATH($Q17),Manufacture_MJ!$C$21:$G$21,Manufacture_MJ!$C$23:$G$23)+LOOKUP(_xlfn.CEILING.MATH($R17),Manufacture_MJ!$C$21:$G$21,Manufacture_MJ!$C$23:$G$23)+_xlfn.IFNA(LOOKUP(_xlfn.CEILING.MATH($S17),Manufacture_MJ!$C$21:$G$21,Manufacture_MJ!$C$23:$G$23),0)+_xlfn.IFNA(LOOKUP(_xlfn.CEILING.MATH($T17),Manufacture_MJ!$C$21:$G$21,Manufacture_MJ!$C$23:$G$23),0)</f>
        <v>45172.853029499965</v>
      </c>
      <c r="AJ17" s="17">
        <f>LOOKUP($O17,Distribution_MJ!$C$2:$K$2,Distribution_MJ!$C$4:$K$4)+LOOKUP($P17,Distribution_MJ!$C$2:$K$2,Distribution_MJ!$C$4:$K$4)+LOOKUP($Q17,Distribution_MJ!$C$2:$K$2,Distribution_MJ!$C$4:$K$4)+LOOKUP($R17,Distribution_MJ!$C$2:$K$2,Distribution_MJ!$C$4:$K$4)+_xlfn.IFNA(LOOKUP($S17,Distribution_MJ!$C$2:$K$2,Distribution_MJ!$C$4:$K$4),0)+_xlfn.IFNA(LOOKUP($T17,Distribution_MJ!$C$2:$K$2,Distribution_MJ!$C$4:$K$4),0)</f>
        <v>823.81525346137505</v>
      </c>
      <c r="AK17" s="4">
        <f t="shared" si="9"/>
        <v>598.98906418416959</v>
      </c>
      <c r="AL17" s="4">
        <f>LOOKUP($Q17,Distribution_MJ!$C$2:$K$2,Distribution_MJ!$C$4:$K$4)+LOOKUP($R17,Distribution_MJ!$C$2:$K$2,Distribution_MJ!$C$4:$K$4)+_xlfn.IFNA(LOOKUP($S17,Distribution_MJ!$C$2:$K$2,Distribution_MJ!$C$4:$K$4),0)+_xlfn.IFNA(LOOKUP($T17,Distribution_MJ!$C$2:$K$2,Distribution_MJ!$C$4:$K$4),0)</f>
        <v>317.01619667938502</v>
      </c>
      <c r="AM17" s="4">
        <f>LOOKUP($O17,Distribution_MJ!$C$2:$K$2,Distribution_MJ!$C$4:$K$4)+LOOKUP($P17,Distribution_MJ!$C$2:$K$2,Distribution_MJ!$C$4:$K$4)</f>
        <v>506.79905678199003</v>
      </c>
      <c r="AN17" s="4">
        <f>_xlfn.XLOOKUP($AA17,Distribution_MJ!$C$5:$R$5,Distribution_MJ!$C$7:$R$7)</f>
        <v>371.17529968416966</v>
      </c>
      <c r="AO17" s="4">
        <f>_xlfn.XLOOKUP($AB17,Distribution_MJ!$C$5:$R$5,Distribution_MJ!$C$9:$R$9)</f>
        <v>227.81376449999999</v>
      </c>
      <c r="AP17" s="18">
        <f>LOOKUP(_xlfn.CEILING.MATH($O17,1),Distribution_MJ!$C$21:$G$21,Distribution_MJ!$C$23:$G$23)+LOOKUP(_xlfn.CEILING.MATH($P17),Distribution_MJ!$C$21:$G$21,Distribution_MJ!$C$23:$G$23)+LOOKUP(_xlfn.CEILING.MATH($Q17),Distribution_MJ!$C$21:$G$21,Distribution_MJ!$C$23:$G$23)+LOOKUP(_xlfn.CEILING.MATH($R17),Distribution_MJ!$C$21:$G$21,Distribution_MJ!$C$23:$G$23)+_xlfn.IFNA(LOOKUP(_xlfn.CEILING.MATH($S17),Distribution_MJ!$C$21:$G$21,Distribution_MJ!$C$23:$G$23),0)+_xlfn.IFNA(LOOKUP(_xlfn.CEILING.MATH($T17),Distribution_MJ!$C$21:$G$21,Distribution_MJ!$C$23:$G$23),0)</f>
        <v>695.3674466463483</v>
      </c>
      <c r="AQ17" s="17">
        <f>LOOKUP($O17,Installation_MJ!$C$2:$K$2,Installation_MJ!$C$4:$K$4)+LOOKUP($P17,Installation_MJ!$C$2:$K$2,Installation_MJ!$C$4:$K$4)+LOOKUP($Q17,Installation_MJ!$C$2:$K$2,Installation_MJ!$C$4:$K$4)+LOOKUP($R17,Installation_MJ!$C$2:$K$2,Installation_MJ!$C$4:$K$4)+_xlfn.IFNA(LOOKUP($S17,Installation_MJ!$C$2:$K$2,Installation_MJ!$C$4:$K$4),0)+_xlfn.IFNA(LOOKUP($T17,Installation_MJ!$C$2:$K$2,Installation_MJ!$C$4:$K$4),0)</f>
        <v>15.802648639386</v>
      </c>
      <c r="AR17" s="4">
        <f t="shared" si="10"/>
        <v>1446.5607041117646</v>
      </c>
      <c r="AS17" s="4">
        <f>LOOKUP($Q17,Installation_MJ!$C$2:$K$2,Installation_MJ!$C$4:$K$4)+LOOKUP($R17,Installation_MJ!$C$2:$K$2,Installation_MJ!$C$4:$K$4)+_xlfn.IFNA(LOOKUP($S17,Installation_MJ!$C$2:$K$2,Installation_MJ!$C$4:$K$4),0)+_xlfn.IFNA(LOOKUP($T17,Installation_MJ!$C$2:$K$2,Installation_MJ!$C$4:$K$4),0)</f>
        <v>5.8210688850708392</v>
      </c>
      <c r="AT17" s="4">
        <f>LOOKUP($O17,Installation_MJ!$C$2:$K$2,Installation_MJ!$C$4:$K$4)+LOOKUP($P17,Installation_MJ!$C$2:$K$2,Installation_MJ!$C$4:$K$4)</f>
        <v>9.9815797543151614</v>
      </c>
      <c r="AU17" s="4">
        <f>_xlfn.XLOOKUP($AA17,Installation_MJ!$C$5:$R$5,Installation_MJ!$C$7:$R$7)</f>
        <v>836.32540999411765</v>
      </c>
      <c r="AV17" s="4">
        <f>_xlfn.XLOOKUP($AB17,Installation_MJ!$C$5:$R$5,Installation_MJ!$C$9:$R$9)</f>
        <v>610.23529411764707</v>
      </c>
      <c r="AW17" s="18">
        <f>LOOKUP(_xlfn.CEILING.MATH($O17,1),Installation_MJ!$C$21:$G$21,Installation_MJ!$C$23:$G$23)+LOOKUP(_xlfn.CEILING.MATH($P17),Installation_MJ!$C$21:$G$21,Installation_MJ!$C$23:$G$23)+LOOKUP(_xlfn.CEILING.MATH($Q17),Installation_MJ!$C$21:$G$21,Installation_MJ!$C$23:$G$23)+LOOKUP(_xlfn.CEILING.MATH($R17),Installation_MJ!$C$21:$G$21,Installation_MJ!$C$23:$G$23)+_xlfn.IFNA(LOOKUP(_xlfn.CEILING.MATH($S17),Installation_MJ!$C$21:$G$21,Installation_MJ!$C$23:$G$23),0)+_xlfn.IFNA(LOOKUP(_xlfn.CEILING.MATH($T17),Installation_MJ!$C$21:$G$21,Installation_MJ!$C$23:$G$23),0)</f>
        <v>98.793553556250004</v>
      </c>
      <c r="AX17" s="17">
        <f>LOOKUP($O17,EOL_MJ!$C$2:$K$2,EOL_MJ!$C$4:$K$4)+LOOKUP($P17,EOL_MJ!$C$2:$K$2,EOL_MJ!$C$4:$K$4)+LOOKUP($Q17,EOL_MJ!$C$2:$K$2,EOL_MJ!$C$4:$K$4)+LOOKUP($R17,EOL_MJ!$C$2:$K$2,EOL_MJ!$C$4:$K$4)+_xlfn.IFNA(LOOKUP($S17,EOL_MJ!$C$2:$K$2,EOL_MJ!$C$4:$K$4),0)+_xlfn.IFNA(LOOKUP($T17,EOL_MJ!$C$2:$K$2,EOL_MJ!$C$4:$K$4),0)</f>
        <v>92.205012952242569</v>
      </c>
      <c r="AY17" s="4">
        <f t="shared" si="11"/>
        <v>7130.2195311176474</v>
      </c>
      <c r="AZ17" s="4">
        <f>LOOKUP($Q17,EOL_MJ!$C$2:$K$2,EOL_MJ!$C$4:$K$4)+LOOKUP($R17,EOL_MJ!$C$2:$K$2,EOL_MJ!$C$4:$K$4)+_xlfn.IFNA(LOOKUP($S17,EOL_MJ!$C$2:$K$2,EOL_MJ!$C$4:$K$4),0)+_xlfn.IFNA(LOOKUP($T17,EOL_MJ!$C$2:$K$2,EOL_MJ!$C$4:$K$4),0)</f>
        <v>33.247242398616066</v>
      </c>
      <c r="BA17" s="4">
        <f>LOOKUP($O17,EOL_MJ!$C$2:$K$2,EOL_MJ!$C$4:$K$4)+LOOKUP($P17,EOL_MJ!$C$2:$K$2,EOL_MJ!$C$4:$K$4)</f>
        <v>58.957770553626503</v>
      </c>
      <c r="BB17" s="4">
        <f>_xlfn.XLOOKUP($AA17,EOL_MJ!$C$5:$R$5,EOL_MJ!$C$6:$R$6)</f>
        <v>2970.9842370000001</v>
      </c>
      <c r="BC17" s="4">
        <f>_xlfn.XLOOKUP($AB17,EOL_MJ!$C$5:$R$5,EOL_MJ!$C$9:$R$9)</f>
        <v>4159.2352941176468</v>
      </c>
      <c r="BD17" s="18">
        <f>LOOKUP(_xlfn.CEILING.MATH($O17,1),EOL_MJ!$C$21:$G$21,EOL_MJ!$C$23:$G$23)+LOOKUP(_xlfn.CEILING.MATH($P17),EOL_MJ!$C$21:$G$21,EOL_MJ!$C$23:$G$23)+LOOKUP(_xlfn.CEILING.MATH($Q17),EOL_MJ!$C$21:$G$21,EOL_MJ!$C$23:$G$23)+LOOKUP(_xlfn.CEILING.MATH($R17),EOL_MJ!$C$21:$G$21,EOL_MJ!$C$23:$G$23)+_xlfn.IFNA(LOOKUP(_xlfn.CEILING.MATH($S17),EOL_MJ!$C$21:$G$21,EOL_MJ!$C$23:$G$23),0)+_xlfn.IFNA(LOOKUP(_xlfn.CEILING.MATH($T17),EOL_MJ!$C$21:$G$21,EOL_MJ!$C$23:$G$23),0)</f>
        <v>3171.4057451999997</v>
      </c>
      <c r="BE17" s="17">
        <f>LOOKUP($O17,Other_MJ!$C$2:$K$2,Other_MJ!$C$4:$K$4)+LOOKUP($P17,Other_MJ!$C$2:$K$2,Other_MJ!$C$4:$K$4)+LOOKUP($Q17,Other_MJ!$C$2:$K$2,Other_MJ!$C$4:$K$4)+LOOKUP($R17,Other_MJ!$C$2:$K$2,Other_MJ!$C$4:$K$4)+_xlfn.IFNA(LOOKUP($S17,Other_MJ!$C$2:$K$2,Other_MJ!$C$4:$K$4),0)+_xlfn.IFNA(LOOKUP($T17,Other_MJ!$C$2:$K$2,Other_MJ!$C$4:$K$4),0)</f>
        <v>0</v>
      </c>
      <c r="BF17" s="4">
        <f t="shared" si="12"/>
        <v>7510.587812823529</v>
      </c>
      <c r="BG17" s="4">
        <f>LOOKUP($Q17,Other_MJ!$C$2:$K$2,Other_MJ!$C$4:$K$4)+LOOKUP($R17,Other_MJ!$C$2:$K$2,Other_MJ!$C$4:$K$4)+_xlfn.IFNA(LOOKUP($S17,Other_MJ!$C$2:$K$2,Other_MJ!$C$4:$K$4),0)+_xlfn.IFNA(LOOKUP($T17,Other_MJ!$C$2:$K$2,Other_MJ!$C$4:$K$4),0)</f>
        <v>0</v>
      </c>
      <c r="BH17" s="4">
        <f>LOOKUP($O17,Other_MJ!$C$2:$K$2,Other_MJ!$C$4:$K$4)+LOOKUP($P17,Other_MJ!$C$2:$K$2,Other_MJ!$C$4:$K$4)</f>
        <v>0</v>
      </c>
      <c r="BI17" s="4">
        <f>_xlfn.XLOOKUP($AA17,Other_MJ!$C$5:$R$5,Other_MJ!$C$7:$R$7)</f>
        <v>3600.8819304705885</v>
      </c>
      <c r="BJ17" s="4">
        <f>_xlfn.XLOOKUP($AB17,Other_MJ!$C$5:$R$5,Other_MJ!$C$9:$R$9)</f>
        <v>3909.705882352941</v>
      </c>
      <c r="BK17" s="18">
        <f>LOOKUP(_xlfn.CEILING.MATH($O17,1),Other_MJ!$C$21:$G$21,Other_MJ!$C$23:$G$23)+LOOKUP(_xlfn.CEILING.MATH($P17),Other_MJ!$C$21:$G$21,Other_MJ!$C$23:$G$23)+LOOKUP(_xlfn.CEILING.MATH($Q17),Other_MJ!$C$21:$G$21,Other_MJ!$C$23:$G$23)+LOOKUP(_xlfn.CEILING.MATH($R17),Other_MJ!$C$21:$G$21,Other_MJ!$C$23:$G$23)+_xlfn.IFNA(LOOKUP(_xlfn.CEILING.MATH($S17),Other_MJ!$C$21:$G$21,Other_MJ!$C$23:$G$23),0)+_xlfn.IFNA(LOOKUP(_xlfn.CEILING.MATH($T17),Other_MJ!$C$21:$G$21,Other_MJ!$C$23:$G$23),0)</f>
        <v>65040.992032799993</v>
      </c>
    </row>
    <row r="18" spans="8:63" x14ac:dyDescent="0.25">
      <c r="H18" s="4" t="str">
        <f t="shared" si="1"/>
        <v>Mod-Nom-AK</v>
      </c>
      <c r="I18" s="4" t="s">
        <v>3</v>
      </c>
      <c r="J18" s="4" t="s">
        <v>38</v>
      </c>
      <c r="K18" s="4" t="s">
        <v>42</v>
      </c>
      <c r="L18" s="4" t="str">
        <f t="shared" si="2"/>
        <v>Mod-Nom</v>
      </c>
      <c r="M18" s="4">
        <f>K8</f>
        <v>11.000000000000002</v>
      </c>
      <c r="N18" s="4">
        <v>8</v>
      </c>
      <c r="O18" s="4">
        <v>3</v>
      </c>
      <c r="P18" s="4">
        <v>5</v>
      </c>
      <c r="Q18" s="4">
        <v>1</v>
      </c>
      <c r="R18" s="4">
        <v>1</v>
      </c>
      <c r="S18" s="4">
        <v>1</v>
      </c>
      <c r="T18" s="4">
        <v>1</v>
      </c>
      <c r="U18" s="4">
        <f t="shared" si="3"/>
        <v>12</v>
      </c>
      <c r="V18" s="4"/>
      <c r="W18" s="4">
        <f t="shared" si="4"/>
        <v>12</v>
      </c>
      <c r="X18" s="4">
        <f t="shared" si="5"/>
        <v>11</v>
      </c>
      <c r="Y18" s="4">
        <f t="shared" si="6"/>
        <v>4</v>
      </c>
      <c r="Z18" s="4">
        <f t="shared" si="7"/>
        <v>8</v>
      </c>
      <c r="AA18" s="4">
        <f>_xlfn.XLOOKUP(H18,Key!$F$8:$F$15,Key!$B$8:$B$15)</f>
        <v>8</v>
      </c>
      <c r="AB18" s="4">
        <f>_xlfn.XLOOKUP(H18,Key!$F$16:$F$23,Key!$E$16:$E$23)</f>
        <v>3</v>
      </c>
      <c r="AC18" s="17">
        <f>LOOKUP($O18,Manufacture_MJ!$C$2:$K$2,Manufacture_MJ!$C$4:$K$4)+LOOKUP($P18,Manufacture_MJ!$C$2:$K$2,Manufacture_MJ!$C$4:$K$4)+LOOKUP($Q18,Manufacture_MJ!$C$2:$K$2,Manufacture_MJ!$C$4:$K$4)+LOOKUP($R18,Manufacture_MJ!$C$2:$K$2,Manufacture_MJ!$C$4:$K$4)+_xlfn.IFNA(LOOKUP($S18,Manufacture_MJ!$C$2:$K$2,Manufacture_MJ!$C$4:$K$4),0)+_xlfn.IFNA(LOOKUP($T18,Manufacture_MJ!$C$2:$K$2,Manufacture_MJ!$C$4:$K$4),0)</f>
        <v>33702.645041284981</v>
      </c>
      <c r="AD18" s="4">
        <f t="shared" si="8"/>
        <v>53142.195095294119</v>
      </c>
      <c r="AE18" s="4">
        <f>LOOKUP($Q18,Manufacture_MJ!$C$2:$K$2,Manufacture_MJ!$C$4:$K$4)+LOOKUP($R18,Manufacture_MJ!$C$2:$K$2,Manufacture_MJ!$C$4:$K$4)+_xlfn.IFNA(LOOKUP($S18,Manufacture_MJ!$C$2:$K$2,Manufacture_MJ!$C$4:$K$4),0)+_xlfn.IFNA(LOOKUP($T18,Manufacture_MJ!$C$2:$K$2,Manufacture_MJ!$C$4:$K$4),0)</f>
        <v>12497.548737783776</v>
      </c>
      <c r="AF18" s="4">
        <f>LOOKUP($O18,Manufacture_MJ!$C$2:$K$2,Manufacture_MJ!$C$4:$K$4)+LOOKUP($P18,Manufacture_MJ!$C$2:$K$2,Manufacture_MJ!$C$4:$K$4)</f>
        <v>21205.09630350121</v>
      </c>
      <c r="AG18" s="4">
        <f>_xlfn.XLOOKUP($AA18,Manufacture_MJ!$C$5:$R$5,Manufacture_MJ!$C$7:$R$7)</f>
        <v>24377.136271764706</v>
      </c>
      <c r="AH18" s="4">
        <f>_xlfn.XLOOKUP($AB18,Manufacture_MJ!$C$5:$R$5,Manufacture_MJ!$C$11:$R$11)</f>
        <v>28765.058823529413</v>
      </c>
      <c r="AI18" s="18">
        <f>LOOKUP(_xlfn.CEILING.MATH($O18,1),Manufacture_MJ!$C$21:$G$21,Manufacture_MJ!$C$23:$G$23)+LOOKUP(_xlfn.CEILING.MATH($P18),Manufacture_MJ!$C$21:$G$21,Manufacture_MJ!$C$23:$G$23)+LOOKUP(_xlfn.CEILING.MATH($Q18),Manufacture_MJ!$C$21:$G$21,Manufacture_MJ!$C$23:$G$23)+LOOKUP(_xlfn.CEILING.MATH($R18),Manufacture_MJ!$C$21:$G$21,Manufacture_MJ!$C$23:$G$23)+_xlfn.IFNA(LOOKUP(_xlfn.CEILING.MATH($S18),Manufacture_MJ!$C$21:$G$21,Manufacture_MJ!$C$23:$G$23),0)+_xlfn.IFNA(LOOKUP(_xlfn.CEILING.MATH($T18),Manufacture_MJ!$C$21:$G$21,Manufacture_MJ!$C$23:$G$23),0)</f>
        <v>60230.461567499944</v>
      </c>
      <c r="AJ18" s="17">
        <f>LOOKUP($O18,Distribution_MJ!$C$2:$K$2,Distribution_MJ!$C$4:$K$4)+LOOKUP($P18,Distribution_MJ!$C$2:$K$2,Distribution_MJ!$C$4:$K$4)+LOOKUP($Q18,Distribution_MJ!$C$2:$K$2,Distribution_MJ!$C$4:$K$4)+LOOKUP($R18,Distribution_MJ!$C$2:$K$2,Distribution_MJ!$C$4:$K$4)+_xlfn.IFNA(LOOKUP($S18,Distribution_MJ!$C$2:$K$2,Distribution_MJ!$C$4:$K$4),0)+_xlfn.IFNA(LOOKUP($T18,Distribution_MJ!$C$2:$K$2,Distribution_MJ!$C$4:$K$4),0)</f>
        <v>1235.1893078107803</v>
      </c>
      <c r="AK18" s="4">
        <f t="shared" si="9"/>
        <v>932.80892943064509</v>
      </c>
      <c r="AL18" s="4">
        <f>LOOKUP($Q18,Distribution_MJ!$C$2:$K$2,Distribution_MJ!$C$4:$K$4)+LOOKUP($R18,Distribution_MJ!$C$2:$K$2,Distribution_MJ!$C$4:$K$4)+_xlfn.IFNA(LOOKUP($S18,Distribution_MJ!$C$2:$K$2,Distribution_MJ!$C$4:$K$4),0)+_xlfn.IFNA(LOOKUP($T18,Distribution_MJ!$C$2:$K$2,Distribution_MJ!$C$4:$K$4),0)</f>
        <v>443.1823884936</v>
      </c>
      <c r="AM18" s="4">
        <f>LOOKUP($O18,Distribution_MJ!$C$2:$K$2,Distribution_MJ!$C$4:$K$4)+LOOKUP($P18,Distribution_MJ!$C$2:$K$2,Distribution_MJ!$C$4:$K$4)</f>
        <v>792.00691931718006</v>
      </c>
      <c r="AN18" s="4">
        <f>_xlfn.XLOOKUP($AA18,Distribution_MJ!$C$5:$R$5,Distribution_MJ!$C$7:$R$7)</f>
        <v>477.18140043064511</v>
      </c>
      <c r="AO18" s="4">
        <f>_xlfn.XLOOKUP($AB18,Distribution_MJ!$C$5:$R$5,Distribution_MJ!$C$11:$R$11)</f>
        <v>455.62752899999998</v>
      </c>
      <c r="AP18" s="18">
        <f>LOOKUP(_xlfn.CEILING.MATH($O18,1),Distribution_MJ!$C$21:$G$21,Distribution_MJ!$C$23:$G$23)+LOOKUP(_xlfn.CEILING.MATH($P18),Distribution_MJ!$C$21:$G$21,Distribution_MJ!$C$23:$G$23)+LOOKUP(_xlfn.CEILING.MATH($Q18),Distribution_MJ!$C$21:$G$21,Distribution_MJ!$C$23:$G$23)+LOOKUP(_xlfn.CEILING.MATH($R18),Distribution_MJ!$C$21:$G$21,Distribution_MJ!$C$23:$G$23)+_xlfn.IFNA(LOOKUP(_xlfn.CEILING.MATH($S18),Distribution_MJ!$C$21:$G$21,Distribution_MJ!$C$23:$G$23),0)+_xlfn.IFNA(LOOKUP(_xlfn.CEILING.MATH($T18),Distribution_MJ!$C$21:$G$21,Distribution_MJ!$C$23:$G$23),0)</f>
        <v>924.94654499332432</v>
      </c>
      <c r="AQ18" s="17">
        <f>LOOKUP($O18,Installation_MJ!$C$2:$K$2,Installation_MJ!$C$4:$K$4)+LOOKUP($P18,Installation_MJ!$C$2:$K$2,Installation_MJ!$C$4:$K$4)+LOOKUP($Q18,Installation_MJ!$C$2:$K$2,Installation_MJ!$C$4:$K$4)+LOOKUP($R18,Installation_MJ!$C$2:$K$2,Installation_MJ!$C$4:$K$4)+_xlfn.IFNA(LOOKUP($S18,Installation_MJ!$C$2:$K$2,Installation_MJ!$C$4:$K$4),0)+_xlfn.IFNA(LOOKUP($T18,Installation_MJ!$C$2:$K$2,Installation_MJ!$C$4:$K$4),0)</f>
        <v>24.538809881831291</v>
      </c>
      <c r="AR18" s="4">
        <f t="shared" si="10"/>
        <v>2422.4803875176467</v>
      </c>
      <c r="AS18" s="4">
        <f>LOOKUP($Q18,Installation_MJ!$C$2:$K$2,Installation_MJ!$C$4:$K$4)+LOOKUP($R18,Installation_MJ!$C$2:$K$2,Installation_MJ!$C$4:$K$4)+_xlfn.IFNA(LOOKUP($S18,Installation_MJ!$C$2:$K$2,Installation_MJ!$C$4:$K$4),0)+_xlfn.IFNA(LOOKUP($T18,Installation_MJ!$C$2:$K$2,Installation_MJ!$C$4:$K$4),0)</f>
        <v>9.1513007464019154</v>
      </c>
      <c r="AT18" s="4">
        <f>LOOKUP($O18,Installation_MJ!$C$2:$K$2,Installation_MJ!$C$4:$K$4)+LOOKUP($P18,Installation_MJ!$C$2:$K$2,Installation_MJ!$C$4:$K$4)</f>
        <v>15.387509135429376</v>
      </c>
      <c r="AU18" s="4">
        <f>_xlfn.XLOOKUP($AA18,Installation_MJ!$C$5:$R$5,Installation_MJ!$C$7:$R$7)</f>
        <v>1200.7745051647057</v>
      </c>
      <c r="AV18" s="4">
        <f>_xlfn.XLOOKUP($AB18,Installation_MJ!$C$5:$R$5,Installation_MJ!$C$11:$R$11)</f>
        <v>1221.7058823529412</v>
      </c>
      <c r="AW18" s="18">
        <f>LOOKUP(_xlfn.CEILING.MATH($O18,1),Installation_MJ!$C$21:$G$21,Installation_MJ!$C$23:$G$23)+LOOKUP(_xlfn.CEILING.MATH($P18),Installation_MJ!$C$21:$G$21,Installation_MJ!$C$23:$G$23)+LOOKUP(_xlfn.CEILING.MATH($Q18),Installation_MJ!$C$21:$G$21,Installation_MJ!$C$23:$G$23)+LOOKUP(_xlfn.CEILING.MATH($R18),Installation_MJ!$C$21:$G$21,Installation_MJ!$C$23:$G$23)+_xlfn.IFNA(LOOKUP(_xlfn.CEILING.MATH($S18),Installation_MJ!$C$21:$G$21,Installation_MJ!$C$23:$G$23),0)+_xlfn.IFNA(LOOKUP(_xlfn.CEILING.MATH($T18),Installation_MJ!$C$21:$G$21,Installation_MJ!$C$23:$G$23),0)</f>
        <v>113.87570551875001</v>
      </c>
      <c r="AX18" s="17">
        <f>LOOKUP($O18,EOL_MJ!$C$2:$K$2,EOL_MJ!$C$4:$K$4)+LOOKUP($P18,EOL_MJ!$C$2:$K$2,EOL_MJ!$C$4:$K$4)+LOOKUP($Q18,EOL_MJ!$C$2:$K$2,EOL_MJ!$C$4:$K$4)+LOOKUP($R18,EOL_MJ!$C$2:$K$2,EOL_MJ!$C$4:$K$4)+_xlfn.IFNA(LOOKUP($S18,EOL_MJ!$C$2:$K$2,EOL_MJ!$C$4:$K$4),0)+_xlfn.IFNA(LOOKUP($T18,EOL_MJ!$C$2:$K$2,EOL_MJ!$C$4:$K$4),0)</f>
        <v>145.51024782316483</v>
      </c>
      <c r="AY18" s="4">
        <f t="shared" si="11"/>
        <v>13297.161322117647</v>
      </c>
      <c r="AZ18" s="4">
        <f>LOOKUP($Q18,EOL_MJ!$C$2:$K$2,EOL_MJ!$C$4:$K$4)+LOOKUP($R18,EOL_MJ!$C$2:$K$2,EOL_MJ!$C$4:$K$4)+_xlfn.IFNA(LOOKUP($S18,EOL_MJ!$C$2:$K$2,EOL_MJ!$C$4:$K$4),0)+_xlfn.IFNA(LOOKUP($T18,EOL_MJ!$C$2:$K$2,EOL_MJ!$C$4:$K$4),0)</f>
        <v>55.189413431823674</v>
      </c>
      <c r="BA18" s="4">
        <f>LOOKUP($O18,EOL_MJ!$C$2:$K$2,EOL_MJ!$C$4:$K$4)+LOOKUP($P18,EOL_MJ!$C$2:$K$2,EOL_MJ!$C$4:$K$4)</f>
        <v>90.320834391341165</v>
      </c>
      <c r="BB18" s="4">
        <f>_xlfn.XLOOKUP($AA18,EOL_MJ!$C$5:$R$5,EOL_MJ!$C$6:$R$6)</f>
        <v>4979.9260279999999</v>
      </c>
      <c r="BC18" s="4">
        <f>_xlfn.XLOOKUP($AB18,EOL_MJ!$C$5:$R$5,EOL_MJ!$C$11:$R$11)</f>
        <v>8317.2352941176468</v>
      </c>
      <c r="BD18" s="18">
        <f>LOOKUP(_xlfn.CEILING.MATH($O18,1),EOL_MJ!$C$21:$G$21,EOL_MJ!$C$23:$G$23)+LOOKUP(_xlfn.CEILING.MATH($P18),EOL_MJ!$C$21:$G$21,EOL_MJ!$C$23:$G$23)+LOOKUP(_xlfn.CEILING.MATH($Q18),EOL_MJ!$C$21:$G$21,EOL_MJ!$C$23:$G$23)+LOOKUP(_xlfn.CEILING.MATH($R18),EOL_MJ!$C$21:$G$21,EOL_MJ!$C$23:$G$23)+_xlfn.IFNA(LOOKUP(_xlfn.CEILING.MATH($S18),EOL_MJ!$C$21:$G$21,EOL_MJ!$C$23:$G$23),0)+_xlfn.IFNA(LOOKUP(_xlfn.CEILING.MATH($T18),EOL_MJ!$C$21:$G$21,EOL_MJ!$C$23:$G$23),0)</f>
        <v>4218.4614779999993</v>
      </c>
      <c r="BE18" s="17">
        <f>LOOKUP($O18,Other_MJ!$C$2:$K$2,Other_MJ!$C$4:$K$4)+LOOKUP($P18,Other_MJ!$C$2:$K$2,Other_MJ!$C$4:$K$4)+LOOKUP($Q18,Other_MJ!$C$2:$K$2,Other_MJ!$C$4:$K$4)+LOOKUP($R18,Other_MJ!$C$2:$K$2,Other_MJ!$C$4:$K$4)+_xlfn.IFNA(LOOKUP($S18,Other_MJ!$C$2:$K$2,Other_MJ!$C$4:$K$4),0)+_xlfn.IFNA(LOOKUP($T18,Other_MJ!$C$2:$K$2,Other_MJ!$C$4:$K$4),0)</f>
        <v>0</v>
      </c>
      <c r="BF18" s="4">
        <f t="shared" si="12"/>
        <v>12497.435928884614</v>
      </c>
      <c r="BG18" s="4">
        <f>LOOKUP($Q18,Other_MJ!$C$2:$K$2,Other_MJ!$C$4:$K$4)+LOOKUP($R18,Other_MJ!$C$2:$K$2,Other_MJ!$C$4:$K$4)+_xlfn.IFNA(LOOKUP($S18,Other_MJ!$C$2:$K$2,Other_MJ!$C$4:$K$4),0)+_xlfn.IFNA(LOOKUP($T18,Other_MJ!$C$2:$K$2,Other_MJ!$C$4:$K$4),0)</f>
        <v>0</v>
      </c>
      <c r="BH18" s="4">
        <f>LOOKUP($O18,Other_MJ!$C$2:$K$2,Other_MJ!$C$4:$K$4)+LOOKUP($P18,Other_MJ!$C$2:$K$2,Other_MJ!$C$4:$K$4)</f>
        <v>0</v>
      </c>
      <c r="BI18" s="4">
        <f>_xlfn.XLOOKUP($AA18,Other_MJ!$C$5:$R$5,Other_MJ!$C$7:$R$7)</f>
        <v>4677.7015492941182</v>
      </c>
      <c r="BJ18" s="4">
        <f>_xlfn.XLOOKUP($AB18,Other_MJ!$C$5:$R$5,Other_MJ!$C$11:$R$11)</f>
        <v>7819.7343795904944</v>
      </c>
      <c r="BK18" s="18">
        <f>LOOKUP(_xlfn.CEILING.MATH($O18,1),Other_MJ!$C$21:$G$21,Other_MJ!$C$23:$G$23)+LOOKUP(_xlfn.CEILING.MATH($P18),Other_MJ!$C$21:$G$21,Other_MJ!$C$23:$G$23)+LOOKUP(_xlfn.CEILING.MATH($Q18),Other_MJ!$C$21:$G$21,Other_MJ!$C$23:$G$23)+LOOKUP(_xlfn.CEILING.MATH($R18),Other_MJ!$C$21:$G$21,Other_MJ!$C$23:$G$23)+_xlfn.IFNA(LOOKUP(_xlfn.CEILING.MATH($S18),Other_MJ!$C$21:$G$21,Other_MJ!$C$23:$G$23),0)+_xlfn.IFNA(LOOKUP(_xlfn.CEILING.MATH($T18),Other_MJ!$C$21:$G$21,Other_MJ!$C$23:$G$23),0)</f>
        <v>84942.542597849999</v>
      </c>
    </row>
    <row r="19" spans="8:63" x14ac:dyDescent="0.25">
      <c r="H19" s="4" t="str">
        <f t="shared" si="1"/>
        <v>Mod-H1-AK</v>
      </c>
      <c r="I19" s="4" t="s">
        <v>3</v>
      </c>
      <c r="J19" s="4" t="s">
        <v>38</v>
      </c>
      <c r="K19" s="4" t="s">
        <v>43</v>
      </c>
      <c r="L19" s="4" t="str">
        <f t="shared" si="2"/>
        <v>Mod-H1</v>
      </c>
      <c r="M19" s="4">
        <f>K9</f>
        <v>6.7</v>
      </c>
      <c r="N19" s="4">
        <v>5</v>
      </c>
      <c r="O19" s="4">
        <v>2.5</v>
      </c>
      <c r="P19" s="4">
        <v>2</v>
      </c>
      <c r="Q19" s="4">
        <v>1</v>
      </c>
      <c r="R19" s="4">
        <v>1</v>
      </c>
      <c r="S19" s="4">
        <v>1</v>
      </c>
      <c r="T19" s="4">
        <v>1</v>
      </c>
      <c r="U19" s="4">
        <f t="shared" si="3"/>
        <v>8.5</v>
      </c>
      <c r="V19" s="4"/>
      <c r="W19" s="4">
        <f t="shared" si="4"/>
        <v>8.5</v>
      </c>
      <c r="X19" s="4">
        <f t="shared" si="5"/>
        <v>6.5</v>
      </c>
      <c r="Y19" s="4">
        <f t="shared" si="6"/>
        <v>4</v>
      </c>
      <c r="Z19" s="4">
        <f t="shared" si="7"/>
        <v>4.5</v>
      </c>
      <c r="AA19" s="4">
        <f>_xlfn.XLOOKUP(H19,Key!$F$8:$F$15,Key!$B$8:$B$15)</f>
        <v>4.5</v>
      </c>
      <c r="AB19" s="4">
        <f>_xlfn.XLOOKUP(H19,Key!$F$16:$F$23,Key!$E$16:$E$23)</f>
        <v>2</v>
      </c>
      <c r="AC19" s="17">
        <f>LOOKUP($O19,Manufacture_MJ!$C$2:$K$2,Manufacture_MJ!$C$4:$K$4)+LOOKUP($P19,Manufacture_MJ!$C$2:$K$2,Manufacture_MJ!$C$4:$K$4)+LOOKUP($Q19,Manufacture_MJ!$C$2:$K$2,Manufacture_MJ!$C$4:$K$4)+LOOKUP($R19,Manufacture_MJ!$C$2:$K$2,Manufacture_MJ!$C$4:$K$4)+_xlfn.IFNA(LOOKUP($S19,Manufacture_MJ!$C$2:$K$2,Manufacture_MJ!$C$4:$K$4),0)+_xlfn.IFNA(LOOKUP($T19,Manufacture_MJ!$C$2:$K$2,Manufacture_MJ!$C$4:$K$4),0)</f>
        <v>23714.790188740768</v>
      </c>
      <c r="AD19" s="4">
        <f t="shared" si="8"/>
        <v>46517.160504705884</v>
      </c>
      <c r="AE19" s="4">
        <f>LOOKUP($Q19,Manufacture_MJ!$C$2:$K$2,Manufacture_MJ!$C$4:$K$4)+LOOKUP($R19,Manufacture_MJ!$C$2:$K$2,Manufacture_MJ!$C$4:$K$4)+_xlfn.IFNA(LOOKUP($S19,Manufacture_MJ!$C$2:$K$2,Manufacture_MJ!$C$4:$K$4),0)+_xlfn.IFNA(LOOKUP($T19,Manufacture_MJ!$C$2:$K$2,Manufacture_MJ!$C$4:$K$4),0)</f>
        <v>12497.548737783776</v>
      </c>
      <c r="AF19" s="4">
        <f>LOOKUP($O19,Manufacture_MJ!$C$2:$K$2,Manufacture_MJ!$C$4:$K$4)+LOOKUP($P19,Manufacture_MJ!$C$2:$K$2,Manufacture_MJ!$C$4:$K$4)</f>
        <v>11217.241450956994</v>
      </c>
      <c r="AG19" s="4">
        <f>_xlfn.XLOOKUP($AA19,Manufacture_MJ!$C$5:$R$5,Manufacture_MJ!$C$7:$R$7)</f>
        <v>17752.101681176471</v>
      </c>
      <c r="AH19" s="4">
        <f>_xlfn.XLOOKUP($AB19,Manufacture_MJ!$C$5:$R$5,Manufacture_MJ!$C$11:$R$11)</f>
        <v>28765.058823529413</v>
      </c>
      <c r="AI19" s="18">
        <f>LOOKUP(_xlfn.CEILING.MATH($O19,1),Manufacture_MJ!$C$21:$G$21,Manufacture_MJ!$C$23:$G$23)+LOOKUP(_xlfn.CEILING.MATH($P19),Manufacture_MJ!$C$21:$G$21,Manufacture_MJ!$C$23:$G$23)+LOOKUP(_xlfn.CEILING.MATH($Q19),Manufacture_MJ!$C$21:$G$21,Manufacture_MJ!$C$23:$G$23)+LOOKUP(_xlfn.CEILING.MATH($R19),Manufacture_MJ!$C$21:$G$21,Manufacture_MJ!$C$23:$G$23)+_xlfn.IFNA(LOOKUP(_xlfn.CEILING.MATH($S19),Manufacture_MJ!$C$21:$G$21,Manufacture_MJ!$C$23:$G$23),0)+_xlfn.IFNA(LOOKUP(_xlfn.CEILING.MATH($T19),Manufacture_MJ!$C$21:$G$21,Manufacture_MJ!$C$23:$G$23),0)</f>
        <v>52701.643590749925</v>
      </c>
      <c r="AJ19" s="17">
        <f>LOOKUP($O19,Distribution_MJ!$C$2:$K$2,Distribution_MJ!$C$4:$K$4)+LOOKUP($P19,Distribution_MJ!$C$2:$K$2,Distribution_MJ!$C$4:$K$4)+LOOKUP($Q19,Distribution_MJ!$C$2:$K$2,Distribution_MJ!$C$4:$K$4)+LOOKUP($R19,Distribution_MJ!$C$2:$K$2,Distribution_MJ!$C$4:$K$4)+_xlfn.IFNA(LOOKUP($S19,Distribution_MJ!$C$2:$K$2,Distribution_MJ!$C$4:$K$4),0)+_xlfn.IFNA(LOOKUP($T19,Distribution_MJ!$C$2:$K$2,Distribution_MJ!$C$4:$K$4),0)</f>
        <v>870.99418229638513</v>
      </c>
      <c r="AK19" s="4">
        <f t="shared" si="9"/>
        <v>809.13514517218232</v>
      </c>
      <c r="AL19" s="4">
        <f>LOOKUP($Q19,Distribution_MJ!$C$2:$K$2,Distribution_MJ!$C$4:$K$4)+LOOKUP($R19,Distribution_MJ!$C$2:$K$2,Distribution_MJ!$C$4:$K$4)+_xlfn.IFNA(LOOKUP($S19,Distribution_MJ!$C$2:$K$2,Distribution_MJ!$C$4:$K$4),0)+_xlfn.IFNA(LOOKUP($T19,Distribution_MJ!$C$2:$K$2,Distribution_MJ!$C$4:$K$4),0)</f>
        <v>443.1823884936</v>
      </c>
      <c r="AM19" s="4">
        <f>LOOKUP($O19,Distribution_MJ!$C$2:$K$2,Distribution_MJ!$C$4:$K$4)+LOOKUP($P19,Distribution_MJ!$C$2:$K$2,Distribution_MJ!$C$4:$K$4)</f>
        <v>427.81179380278502</v>
      </c>
      <c r="AN19" s="4">
        <f>_xlfn.XLOOKUP($AA19,Distribution_MJ!$C$5:$R$5,Distribution_MJ!$C$7:$R$7)</f>
        <v>353.50761617218234</v>
      </c>
      <c r="AO19" s="4">
        <f>_xlfn.XLOOKUP($AB19,Distribution_MJ!$C$5:$R$5,Distribution_MJ!$C$11:$R$11)</f>
        <v>455.62752899999998</v>
      </c>
      <c r="AP19" s="18">
        <f>LOOKUP(_xlfn.CEILING.MATH($O19,1),Distribution_MJ!$C$21:$G$21,Distribution_MJ!$C$23:$G$23)+LOOKUP(_xlfn.CEILING.MATH($P19),Distribution_MJ!$C$21:$G$21,Distribution_MJ!$C$23:$G$23)+LOOKUP(_xlfn.CEILING.MATH($Q19),Distribution_MJ!$C$21:$G$21,Distribution_MJ!$C$23:$G$23)+LOOKUP(_xlfn.CEILING.MATH($R19),Distribution_MJ!$C$21:$G$21,Distribution_MJ!$C$23:$G$23)+_xlfn.IFNA(LOOKUP(_xlfn.CEILING.MATH($S19),Distribution_MJ!$C$21:$G$21,Distribution_MJ!$C$23:$G$23),0)+_xlfn.IFNA(LOOKUP(_xlfn.CEILING.MATH($T19),Distribution_MJ!$C$21:$G$21,Distribution_MJ!$C$23:$G$23),0)</f>
        <v>806.8419200171262</v>
      </c>
      <c r="AQ19" s="17">
        <f>LOOKUP($O19,Installation_MJ!$C$2:$K$2,Installation_MJ!$C$4:$K$4)+LOOKUP($P19,Installation_MJ!$C$2:$K$2,Installation_MJ!$C$4:$K$4)+LOOKUP($Q19,Installation_MJ!$C$2:$K$2,Installation_MJ!$C$4:$K$4)+LOOKUP($R19,Installation_MJ!$C$2:$K$2,Installation_MJ!$C$4:$K$4)+_xlfn.IFNA(LOOKUP($S19,Installation_MJ!$C$2:$K$2,Installation_MJ!$C$4:$K$4),0)+_xlfn.IFNA(LOOKUP($T19,Installation_MJ!$C$2:$K$2,Installation_MJ!$C$4:$K$4),0)</f>
        <v>17.260194818073234</v>
      </c>
      <c r="AR19" s="4">
        <f t="shared" si="10"/>
        <v>1997.2897765058824</v>
      </c>
      <c r="AS19" s="4">
        <f>LOOKUP($Q19,Installation_MJ!$C$2:$K$2,Installation_MJ!$C$4:$K$4)+LOOKUP($R19,Installation_MJ!$C$2:$K$2,Installation_MJ!$C$4:$K$4)+_xlfn.IFNA(LOOKUP($S19,Installation_MJ!$C$2:$K$2,Installation_MJ!$C$4:$K$4),0)+_xlfn.IFNA(LOOKUP($T19,Installation_MJ!$C$2:$K$2,Installation_MJ!$C$4:$K$4),0)</f>
        <v>9.1513007464019154</v>
      </c>
      <c r="AT19" s="4">
        <f>LOOKUP($O19,Installation_MJ!$C$2:$K$2,Installation_MJ!$C$4:$K$4)+LOOKUP($P19,Installation_MJ!$C$2:$K$2,Installation_MJ!$C$4:$K$4)</f>
        <v>8.1088940716713189</v>
      </c>
      <c r="AU19" s="4">
        <f>_xlfn.XLOOKUP($AA19,Installation_MJ!$C$5:$R$5,Installation_MJ!$C$7:$R$7)</f>
        <v>775.58389415294107</v>
      </c>
      <c r="AV19" s="4">
        <f>_xlfn.XLOOKUP($AB19,Installation_MJ!$C$5:$R$5,Installation_MJ!$C$11:$R$11)</f>
        <v>1221.7058823529412</v>
      </c>
      <c r="AW19" s="18">
        <f>LOOKUP(_xlfn.CEILING.MATH($O19,1),Installation_MJ!$C$21:$G$21,Installation_MJ!$C$23:$G$23)+LOOKUP(_xlfn.CEILING.MATH($P19),Installation_MJ!$C$21:$G$21,Installation_MJ!$C$23:$G$23)+LOOKUP(_xlfn.CEILING.MATH($Q19),Installation_MJ!$C$21:$G$21,Installation_MJ!$C$23:$G$23)+LOOKUP(_xlfn.CEILING.MATH($R19),Installation_MJ!$C$21:$G$21,Installation_MJ!$C$23:$G$23)+_xlfn.IFNA(LOOKUP(_xlfn.CEILING.MATH($S19),Installation_MJ!$C$21:$G$21,Installation_MJ!$C$23:$G$23),0)+_xlfn.IFNA(LOOKUP(_xlfn.CEILING.MATH($T19),Installation_MJ!$C$21:$G$21,Installation_MJ!$C$23:$G$23),0)</f>
        <v>79.561080703125015</v>
      </c>
      <c r="AX19" s="17">
        <f>LOOKUP($O19,EOL_MJ!$C$2:$K$2,EOL_MJ!$C$4:$K$4)+LOOKUP($P19,EOL_MJ!$C$2:$K$2,EOL_MJ!$C$4:$K$4)+LOOKUP($Q19,EOL_MJ!$C$2:$K$2,EOL_MJ!$C$4:$K$4)+LOOKUP($R19,EOL_MJ!$C$2:$K$2,EOL_MJ!$C$4:$K$4)+_xlfn.IFNA(LOOKUP($S19,EOL_MJ!$C$2:$K$2,EOL_MJ!$C$4:$K$4),0)+_xlfn.IFNA(LOOKUP($T19,EOL_MJ!$C$2:$K$2,EOL_MJ!$C$4:$K$4),0)</f>
        <v>102.23400918839566</v>
      </c>
      <c r="AY19" s="4">
        <f t="shared" si="11"/>
        <v>10953.395899117648</v>
      </c>
      <c r="AZ19" s="4">
        <f>LOOKUP($Q19,EOL_MJ!$C$2:$K$2,EOL_MJ!$C$4:$K$4)+LOOKUP($R19,EOL_MJ!$C$2:$K$2,EOL_MJ!$C$4:$K$4)+_xlfn.IFNA(LOOKUP($S19,EOL_MJ!$C$2:$K$2,EOL_MJ!$C$4:$K$4),0)+_xlfn.IFNA(LOOKUP($T19,EOL_MJ!$C$2:$K$2,EOL_MJ!$C$4:$K$4),0)</f>
        <v>55.189413431823674</v>
      </c>
      <c r="BA19" s="4">
        <f>LOOKUP($O19,EOL_MJ!$C$2:$K$2,EOL_MJ!$C$4:$K$4)+LOOKUP($P19,EOL_MJ!$C$2:$K$2,EOL_MJ!$C$4:$K$4)</f>
        <v>47.044595756571994</v>
      </c>
      <c r="BB19" s="4">
        <f>_xlfn.XLOOKUP($AA19,EOL_MJ!$C$5:$R$5,EOL_MJ!$C$6:$R$6)</f>
        <v>2636.160605</v>
      </c>
      <c r="BC19" s="4">
        <f>_xlfn.XLOOKUP($AB19,EOL_MJ!$C$5:$R$5,EOL_MJ!$C$11:$R$11)</f>
        <v>8317.2352941176468</v>
      </c>
      <c r="BD19" s="18">
        <f>LOOKUP(_xlfn.CEILING.MATH($O19,1),EOL_MJ!$C$21:$G$21,EOL_MJ!$C$23:$G$23)+LOOKUP(_xlfn.CEILING.MATH($P19),EOL_MJ!$C$21:$G$21,EOL_MJ!$C$23:$G$23)+LOOKUP(_xlfn.CEILING.MATH($Q19),EOL_MJ!$C$21:$G$21,EOL_MJ!$C$23:$G$23)+LOOKUP(_xlfn.CEILING.MATH($R19),EOL_MJ!$C$21:$G$21,EOL_MJ!$C$23:$G$23)+_xlfn.IFNA(LOOKUP(_xlfn.CEILING.MATH($S19),EOL_MJ!$C$21:$G$21,EOL_MJ!$C$23:$G$23),0)+_xlfn.IFNA(LOOKUP(_xlfn.CEILING.MATH($T19),EOL_MJ!$C$21:$G$21,EOL_MJ!$C$23:$G$23),0)</f>
        <v>3679.8143381999989</v>
      </c>
      <c r="BE19" s="17">
        <f>LOOKUP($O19,Other_MJ!$C$2:$K$2,Other_MJ!$C$4:$K$4)+LOOKUP($P19,Other_MJ!$C$2:$K$2,Other_MJ!$C$4:$K$4)+LOOKUP($Q19,Other_MJ!$C$2:$K$2,Other_MJ!$C$4:$K$4)+LOOKUP($R19,Other_MJ!$C$2:$K$2,Other_MJ!$C$4:$K$4)+_xlfn.IFNA(LOOKUP($S19,Other_MJ!$C$2:$K$2,Other_MJ!$C$4:$K$4),0)+_xlfn.IFNA(LOOKUP($T19,Other_MJ!$C$2:$K$2,Other_MJ!$C$4:$K$4),0)</f>
        <v>0</v>
      </c>
      <c r="BF19" s="4">
        <f t="shared" si="12"/>
        <v>11241.14637317873</v>
      </c>
      <c r="BG19" s="4">
        <f>LOOKUP($Q19,Other_MJ!$C$2:$K$2,Other_MJ!$C$4:$K$4)+LOOKUP($R19,Other_MJ!$C$2:$K$2,Other_MJ!$C$4:$K$4)+_xlfn.IFNA(LOOKUP($S19,Other_MJ!$C$2:$K$2,Other_MJ!$C$4:$K$4),0)+_xlfn.IFNA(LOOKUP($T19,Other_MJ!$C$2:$K$2,Other_MJ!$C$4:$K$4),0)</f>
        <v>0</v>
      </c>
      <c r="BH19" s="4">
        <f>LOOKUP($O19,Other_MJ!$C$2:$K$2,Other_MJ!$C$4:$K$4)+LOOKUP($P19,Other_MJ!$C$2:$K$2,Other_MJ!$C$4:$K$4)</f>
        <v>0</v>
      </c>
      <c r="BI19" s="4">
        <f>_xlfn.XLOOKUP($AA19,Other_MJ!$C$5:$R$5,Other_MJ!$C$7:$R$7)</f>
        <v>3421.411993588235</v>
      </c>
      <c r="BJ19" s="4">
        <f>_xlfn.XLOOKUP($AB19,Other_MJ!$C$5:$R$5,Other_MJ!$C$11:$R$11)</f>
        <v>7819.7343795904944</v>
      </c>
      <c r="BK19" s="18">
        <f>LOOKUP(_xlfn.CEILING.MATH($O19,1),Other_MJ!$C$21:$G$21,Other_MJ!$C$23:$G$23)+LOOKUP(_xlfn.CEILING.MATH($P19),Other_MJ!$C$21:$G$21,Other_MJ!$C$23:$G$23)+LOOKUP(_xlfn.CEILING.MATH($Q19),Other_MJ!$C$21:$G$21,Other_MJ!$C$23:$G$23)+LOOKUP(_xlfn.CEILING.MATH($R19),Other_MJ!$C$21:$G$21,Other_MJ!$C$23:$G$23)+_xlfn.IFNA(LOOKUP(_xlfn.CEILING.MATH($S19),Other_MJ!$C$21:$G$21,Other_MJ!$C$23:$G$23),0)+_xlfn.IFNA(LOOKUP(_xlfn.CEILING.MATH($T19),Other_MJ!$C$21:$G$21,Other_MJ!$C$23:$G$23),0)</f>
        <v>72323.597146499989</v>
      </c>
    </row>
    <row r="20" spans="8:63" x14ac:dyDescent="0.25">
      <c r="H20" s="4" t="str">
        <f t="shared" si="1"/>
        <v>Mod-Nom-CH</v>
      </c>
      <c r="I20" s="4" t="s">
        <v>11</v>
      </c>
      <c r="J20" s="4" t="s">
        <v>38</v>
      </c>
      <c r="K20" s="4" t="s">
        <v>42</v>
      </c>
      <c r="L20" s="4" t="str">
        <f t="shared" si="2"/>
        <v>Mod-Nom</v>
      </c>
      <c r="M20" s="4">
        <f>K10</f>
        <v>15.5</v>
      </c>
      <c r="N20" s="4">
        <v>9</v>
      </c>
      <c r="O20" s="4">
        <v>4.5</v>
      </c>
      <c r="P20" s="4">
        <v>4.5</v>
      </c>
      <c r="Q20" s="4">
        <v>2</v>
      </c>
      <c r="R20" s="4">
        <v>1.5</v>
      </c>
      <c r="S20" s="4">
        <v>1.5</v>
      </c>
      <c r="T20" s="4">
        <v>1.5</v>
      </c>
      <c r="U20" s="4">
        <f t="shared" si="3"/>
        <v>15.5</v>
      </c>
      <c r="V20" s="4"/>
      <c r="W20" s="4">
        <f t="shared" si="4"/>
        <v>15.5</v>
      </c>
      <c r="X20" s="4">
        <f t="shared" si="5"/>
        <v>16</v>
      </c>
      <c r="Y20" s="4">
        <f t="shared" si="6"/>
        <v>6.5</v>
      </c>
      <c r="Z20" s="4">
        <f t="shared" si="7"/>
        <v>9</v>
      </c>
      <c r="AA20" s="4">
        <f>_xlfn.XLOOKUP(H20,Key!$F$8:$F$15,Key!$B$8:$B$15)</f>
        <v>9.5</v>
      </c>
      <c r="AB20" s="4">
        <f>_xlfn.XLOOKUP(H20,Key!$F$16:$F$23,Key!$E$16:$E$23)</f>
        <v>6.5</v>
      </c>
      <c r="AC20" s="17">
        <f>LOOKUP($O20,Manufacture_MJ!$C$2:$K$2,Manufacture_MJ!$C$4:$K$4)+LOOKUP($P20,Manufacture_MJ!$C$2:$K$2,Manufacture_MJ!$C$4:$K$4)+LOOKUP($Q20,Manufacture_MJ!$C$2:$K$2,Manufacture_MJ!$C$4:$K$4)+LOOKUP($R20,Manufacture_MJ!$C$2:$K$2,Manufacture_MJ!$C$4:$K$4)+_xlfn.IFNA(LOOKUP($S20,Manufacture_MJ!$C$2:$K$2,Manufacture_MJ!$C$4:$K$4),0)+_xlfn.IFNA(LOOKUP($T20,Manufacture_MJ!$C$2:$K$2,Manufacture_MJ!$C$4:$K$4),0)</f>
        <v>38005.498135729693</v>
      </c>
      <c r="AD20" s="4">
        <f t="shared" si="8"/>
        <v>59252.554459411767</v>
      </c>
      <c r="AE20" s="4">
        <f>LOOKUP($Q20,Manufacture_MJ!$C$2:$K$2,Manufacture_MJ!$C$4:$K$4)+LOOKUP($R20,Manufacture_MJ!$C$2:$K$2,Manufacture_MJ!$C$4:$K$4)+_xlfn.IFNA(LOOKUP($S20,Manufacture_MJ!$C$2:$K$2,Manufacture_MJ!$C$4:$K$4),0)+_xlfn.IFNA(LOOKUP($T20,Manufacture_MJ!$C$2:$K$2,Manufacture_MJ!$C$4:$K$4),0)</f>
        <v>15571.015233815706</v>
      </c>
      <c r="AF20" s="4">
        <f>LOOKUP($O20,Manufacture_MJ!$C$2:$K$2,Manufacture_MJ!$C$4:$K$4)+LOOKUP($P20,Manufacture_MJ!$C$2:$K$2,Manufacture_MJ!$C$4:$K$4)</f>
        <v>22434.482901913987</v>
      </c>
      <c r="AG20" s="4">
        <f>_xlfn.XLOOKUP($AA20,Manufacture_MJ!$C$5:$R$5,Manufacture_MJ!$C$7:$R$7)</f>
        <v>27216.436812352942</v>
      </c>
      <c r="AH20" s="4">
        <f>_xlfn.XLOOKUP($AB20,Manufacture_MJ!$C$5:$R$5,Manufacture_MJ!$C$11:$R$11)</f>
        <v>32036.117647058825</v>
      </c>
      <c r="AI20" s="18">
        <f>LOOKUP(_xlfn.CEILING.MATH($O20,1),Manufacture_MJ!$C$21:$G$21,Manufacture_MJ!$C$23:$G$23)+LOOKUP(_xlfn.CEILING.MATH($P20),Manufacture_MJ!$C$21:$G$21,Manufacture_MJ!$C$23:$G$23)+LOOKUP(_xlfn.CEILING.MATH($Q20),Manufacture_MJ!$C$21:$G$21,Manufacture_MJ!$C$23:$G$23)+LOOKUP(_xlfn.CEILING.MATH($R20),Manufacture_MJ!$C$21:$G$21,Manufacture_MJ!$C$23:$G$23)+_xlfn.IFNA(LOOKUP(_xlfn.CEILING.MATH($S20),Manufacture_MJ!$C$21:$G$21,Manufacture_MJ!$C$23:$G$23),0)+_xlfn.IFNA(LOOKUP(_xlfn.CEILING.MATH($T20),Manufacture_MJ!$C$21:$G$21,Manufacture_MJ!$C$23:$G$23),0)</f>
        <v>75288.097520999945</v>
      </c>
      <c r="AJ20" s="17">
        <f>LOOKUP($O20,Distribution_MJ!$C$2:$K$2,Distribution_MJ!$C$4:$K$4)+LOOKUP($P20,Distribution_MJ!$C$2:$K$2,Distribution_MJ!$C$4:$K$4)+LOOKUP($Q20,Distribution_MJ!$C$2:$K$2,Distribution_MJ!$C$4:$K$4)+LOOKUP($R20,Distribution_MJ!$C$2:$K$2,Distribution_MJ!$C$4:$K$4)+_xlfn.IFNA(LOOKUP($S20,Distribution_MJ!$C$2:$K$2,Distribution_MJ!$C$4:$K$4),0)+_xlfn.IFNA(LOOKUP($T20,Distribution_MJ!$C$2:$K$2,Distribution_MJ!$C$4:$K$4),0)</f>
        <v>1457.8476468201452</v>
      </c>
      <c r="AK20" s="4">
        <f t="shared" si="9"/>
        <v>1278.7153913364277</v>
      </c>
      <c r="AL20" s="4">
        <f>LOOKUP($Q20,Distribution_MJ!$C$2:$K$2,Distribution_MJ!$C$4:$K$4)+LOOKUP($R20,Distribution_MJ!$C$2:$K$2,Distribution_MJ!$C$4:$K$4)+_xlfn.IFNA(LOOKUP($S20,Distribution_MJ!$C$2:$K$2,Distribution_MJ!$C$4:$K$4),0)+_xlfn.IFNA(LOOKUP($T20,Distribution_MJ!$C$2:$K$2,Distribution_MJ!$C$4:$K$4),0)</f>
        <v>602.22405921457505</v>
      </c>
      <c r="AM20" s="4">
        <f>LOOKUP($O20,Distribution_MJ!$C$2:$K$2,Distribution_MJ!$C$4:$K$4)+LOOKUP($P20,Distribution_MJ!$C$2:$K$2,Distribution_MJ!$C$4:$K$4)</f>
        <v>855.62358760557004</v>
      </c>
      <c r="AN20" s="4">
        <f>_xlfn.XLOOKUP($AA20,Distribution_MJ!$C$5:$R$5,Distribution_MJ!$C$7:$R$7)</f>
        <v>530.18445083642757</v>
      </c>
      <c r="AO20" s="4">
        <f>_xlfn.XLOOKUP($AB20,Distribution_MJ!$C$5:$R$5,Distribution_MJ!$C$11:$R$11)</f>
        <v>748.53094050000004</v>
      </c>
      <c r="AP20" s="18">
        <f>LOOKUP(_xlfn.CEILING.MATH($O20,1),Distribution_MJ!$C$21:$G$21,Distribution_MJ!$C$23:$G$23)+LOOKUP(_xlfn.CEILING.MATH($P20),Distribution_MJ!$C$21:$G$21,Distribution_MJ!$C$23:$G$23)+LOOKUP(_xlfn.CEILING.MATH($Q20),Distribution_MJ!$C$21:$G$21,Distribution_MJ!$C$23:$G$23)+LOOKUP(_xlfn.CEILING.MATH($R20),Distribution_MJ!$C$21:$G$21,Distribution_MJ!$C$23:$G$23)+_xlfn.IFNA(LOOKUP(_xlfn.CEILING.MATH($S20),Distribution_MJ!$C$21:$G$21,Distribution_MJ!$C$23:$G$23),0)+_xlfn.IFNA(LOOKUP(_xlfn.CEILING.MATH($T20),Distribution_MJ!$C$21:$G$21,Distribution_MJ!$C$23:$G$23),0)</f>
        <v>1161.155794945719</v>
      </c>
      <c r="AQ20" s="17">
        <f>LOOKUP($O20,Installation_MJ!$C$2:$K$2,Installation_MJ!$C$4:$K$4)+LOOKUP($P20,Installation_MJ!$C$2:$K$2,Installation_MJ!$C$4:$K$4)+LOOKUP($Q20,Installation_MJ!$C$2:$K$2,Installation_MJ!$C$4:$K$4)+LOOKUP($R20,Installation_MJ!$C$2:$K$2,Installation_MJ!$C$4:$K$4)+_xlfn.IFNA(LOOKUP($S20,Installation_MJ!$C$2:$K$2,Installation_MJ!$C$4:$K$4),0)+_xlfn.IFNA(LOOKUP($T20,Installation_MJ!$C$2:$K$2,Installation_MJ!$C$4:$K$4),0)</f>
        <v>27.44478640952768</v>
      </c>
      <c r="AR20" s="4">
        <f t="shared" si="10"/>
        <v>2526.8814060000004</v>
      </c>
      <c r="AS20" s="4">
        <f>LOOKUP($Q20,Installation_MJ!$C$2:$K$2,Installation_MJ!$C$4:$K$4)+LOOKUP($R20,Installation_MJ!$C$2:$K$2,Installation_MJ!$C$4:$K$4)+_xlfn.IFNA(LOOKUP($S20,Installation_MJ!$C$2:$K$2,Installation_MJ!$C$4:$K$4),0)+_xlfn.IFNA(LOOKUP($T20,Installation_MJ!$C$2:$K$2,Installation_MJ!$C$4:$K$4),0)</f>
        <v>11.226998266185042</v>
      </c>
      <c r="AT20" s="4">
        <f>LOOKUP($O20,Installation_MJ!$C$2:$K$2,Installation_MJ!$C$4:$K$4)+LOOKUP($P20,Installation_MJ!$C$2:$K$2,Installation_MJ!$C$4:$K$4)</f>
        <v>16.217788143342634</v>
      </c>
      <c r="AU20" s="4">
        <f>_xlfn.XLOOKUP($AA20,Installation_MJ!$C$5:$R$5,Installation_MJ!$C$7:$R$7)</f>
        <v>1382.9990530588236</v>
      </c>
      <c r="AV20" s="4">
        <f>_xlfn.XLOOKUP($AB20,Installation_MJ!$C$5:$R$5,Installation_MJ!$C$11:$R$11)</f>
        <v>1143.8823529411766</v>
      </c>
      <c r="AW20" s="18">
        <f>LOOKUP(_xlfn.CEILING.MATH($O20,1),Installation_MJ!$C$21:$G$21,Installation_MJ!$C$23:$G$23)+LOOKUP(_xlfn.CEILING.MATH($P20),Installation_MJ!$C$21:$G$21,Installation_MJ!$C$23:$G$23)+LOOKUP(_xlfn.CEILING.MATH($Q20),Installation_MJ!$C$21:$G$21,Installation_MJ!$C$23:$G$23)+LOOKUP(_xlfn.CEILING.MATH($R20),Installation_MJ!$C$21:$G$21,Installation_MJ!$C$23:$G$23)+_xlfn.IFNA(LOOKUP(_xlfn.CEILING.MATH($S20),Installation_MJ!$C$21:$G$21,Installation_MJ!$C$23:$G$23),0)+_xlfn.IFNA(LOOKUP(_xlfn.CEILING.MATH($T20),Installation_MJ!$C$21:$G$21,Installation_MJ!$C$23:$G$23),0)</f>
        <v>182.50495515</v>
      </c>
      <c r="AX20" s="17">
        <f>LOOKUP($O20,EOL_MJ!$C$2:$K$2,EOL_MJ!$C$4:$K$4)+LOOKUP($P20,EOL_MJ!$C$2:$K$2,EOL_MJ!$C$4:$K$4)+LOOKUP($Q20,EOL_MJ!$C$2:$K$2,EOL_MJ!$C$4:$K$4)+LOOKUP($R20,EOL_MJ!$C$2:$K$2,EOL_MJ!$C$4:$K$4)+_xlfn.IFNA(LOOKUP($S20,EOL_MJ!$C$2:$K$2,EOL_MJ!$C$4:$K$4),0)+_xlfn.IFNA(LOOKUP($T20,EOL_MJ!$C$2:$K$2,EOL_MJ!$C$4:$K$4),0)</f>
        <v>158.69949774947469</v>
      </c>
      <c r="AY20" s="4">
        <f t="shared" si="11"/>
        <v>19899.985158294119</v>
      </c>
      <c r="AZ20" s="4">
        <f>LOOKUP($Q20,EOL_MJ!$C$2:$K$2,EOL_MJ!$C$4:$K$4)+LOOKUP($R20,EOL_MJ!$C$2:$K$2,EOL_MJ!$C$4:$K$4)+_xlfn.IFNA(LOOKUP($S20,EOL_MJ!$C$2:$K$2,EOL_MJ!$C$4:$K$4),0)+_xlfn.IFNA(LOOKUP($T20,EOL_MJ!$C$2:$K$2,EOL_MJ!$C$4:$K$4),0)</f>
        <v>64.610306236330729</v>
      </c>
      <c r="BA20" s="4">
        <f>LOOKUP($O20,EOL_MJ!$C$2:$K$2,EOL_MJ!$C$4:$K$4)+LOOKUP($P20,EOL_MJ!$C$2:$K$2,EOL_MJ!$C$4:$K$4)</f>
        <v>94.089191513143973</v>
      </c>
      <c r="BB20" s="4">
        <f>_xlfn.XLOOKUP($AA20,EOL_MJ!$C$5:$R$5,EOL_MJ!$C$6:$R$6)</f>
        <v>5984.3969230000002</v>
      </c>
      <c r="BC20" s="4">
        <f>_xlfn.XLOOKUP($AB20,EOL_MJ!$C$5:$R$5,EOL_MJ!$C$11:$R$11)</f>
        <v>13915.588235294117</v>
      </c>
      <c r="BD20" s="18">
        <f>LOOKUP(_xlfn.CEILING.MATH($O20,1),EOL_MJ!$C$21:$G$21,EOL_MJ!$C$23:$G$23)+LOOKUP(_xlfn.CEILING.MATH($P20),EOL_MJ!$C$21:$G$21,EOL_MJ!$C$23:$G$23)+LOOKUP(_xlfn.CEILING.MATH($Q20),EOL_MJ!$C$21:$G$21,EOL_MJ!$C$23:$G$23)+LOOKUP(_xlfn.CEILING.MATH($R20),EOL_MJ!$C$21:$G$21,EOL_MJ!$C$23:$G$23)+_xlfn.IFNA(LOOKUP(_xlfn.CEILING.MATH($S20),EOL_MJ!$C$21:$G$21,EOL_MJ!$C$23:$G$23),0)+_xlfn.IFNA(LOOKUP(_xlfn.CEILING.MATH($T20),EOL_MJ!$C$21:$G$21,EOL_MJ!$C$23:$G$23),0)</f>
        <v>5295.7557575999999</v>
      </c>
      <c r="BE20" s="17">
        <f>LOOKUP($O20,Other_MJ!$C$2:$K$2,Other_MJ!$C$4:$K$4)+LOOKUP($P20,Other_MJ!$C$2:$K$2,Other_MJ!$C$4:$K$4)+LOOKUP($Q20,Other_MJ!$C$2:$K$2,Other_MJ!$C$4:$K$4)+LOOKUP($R20,Other_MJ!$C$2:$K$2,Other_MJ!$C$4:$K$4)+_xlfn.IFNA(LOOKUP($S20,Other_MJ!$C$2:$K$2,Other_MJ!$C$4:$K$4),0)+_xlfn.IFNA(LOOKUP($T20,Other_MJ!$C$2:$K$2,Other_MJ!$C$4:$K$4),0)</f>
        <v>0</v>
      </c>
      <c r="BF20" s="4">
        <f t="shared" si="12"/>
        <v>9125.8172410588231</v>
      </c>
      <c r="BG20" s="4">
        <f>LOOKUP($Q20,Other_MJ!$C$2:$K$2,Other_MJ!$C$4:$K$4)+LOOKUP($R20,Other_MJ!$C$2:$K$2,Other_MJ!$C$4:$K$4)+_xlfn.IFNA(LOOKUP($S20,Other_MJ!$C$2:$K$2,Other_MJ!$C$4:$K$4),0)+_xlfn.IFNA(LOOKUP($T20,Other_MJ!$C$2:$K$2,Other_MJ!$C$4:$K$4),0)</f>
        <v>0</v>
      </c>
      <c r="BH20" s="4">
        <f>LOOKUP($O20,Other_MJ!$C$2:$K$2,Other_MJ!$C$4:$K$4)+LOOKUP($P20,Other_MJ!$C$2:$K$2,Other_MJ!$C$4:$K$4)</f>
        <v>0</v>
      </c>
      <c r="BI20" s="4">
        <f>_xlfn.XLOOKUP($AA20,Other_MJ!$C$5:$R$5,Other_MJ!$C$7:$R$7)</f>
        <v>5216.1113587058817</v>
      </c>
      <c r="BJ20" s="4">
        <f>_xlfn.XLOOKUP($AB20,Other_MJ!$C$5:$R$5,Other_MJ!$C$11:$R$11)</f>
        <v>3909.705882352941</v>
      </c>
      <c r="BK20" s="18">
        <f>LOOKUP(_xlfn.CEILING.MATH($O20,1),Other_MJ!$C$21:$G$21,Other_MJ!$C$23:$G$23)+LOOKUP(_xlfn.CEILING.MATH($P20),Other_MJ!$C$21:$G$21,Other_MJ!$C$23:$G$23)+LOOKUP(_xlfn.CEILING.MATH($Q20),Other_MJ!$C$21:$G$21,Other_MJ!$C$23:$G$23)+LOOKUP(_xlfn.CEILING.MATH($R20),Other_MJ!$C$21:$G$21,Other_MJ!$C$23:$G$23)+_xlfn.IFNA(LOOKUP(_xlfn.CEILING.MATH($S20),Other_MJ!$C$21:$G$21,Other_MJ!$C$23:$G$23),0)+_xlfn.IFNA(LOOKUP(_xlfn.CEILING.MATH($T20),Other_MJ!$C$21:$G$21,Other_MJ!$C$23:$G$23),0)</f>
        <v>110180.43350055002</v>
      </c>
    </row>
    <row r="21" spans="8:63" x14ac:dyDescent="0.25">
      <c r="H21" s="4" t="str">
        <f t="shared" si="1"/>
        <v>Mod-H1-CH</v>
      </c>
      <c r="I21" s="4" t="s">
        <v>11</v>
      </c>
      <c r="J21" s="4" t="s">
        <v>38</v>
      </c>
      <c r="K21" s="4" t="s">
        <v>43</v>
      </c>
      <c r="L21" s="4" t="str">
        <f t="shared" si="2"/>
        <v>Mod-H1</v>
      </c>
      <c r="M21" s="4">
        <f>K11</f>
        <v>12.399999999999999</v>
      </c>
      <c r="N21" s="4">
        <v>8</v>
      </c>
      <c r="O21" s="4">
        <v>3</v>
      </c>
      <c r="P21" s="4">
        <v>5</v>
      </c>
      <c r="Q21" s="4">
        <v>1.5</v>
      </c>
      <c r="R21" s="4">
        <v>1</v>
      </c>
      <c r="S21" s="4">
        <v>1</v>
      </c>
      <c r="T21" s="4">
        <v>1</v>
      </c>
      <c r="U21" s="4">
        <f t="shared" si="3"/>
        <v>12.5</v>
      </c>
      <c r="V21" s="4"/>
      <c r="W21" s="4">
        <f t="shared" si="4"/>
        <v>12.5</v>
      </c>
      <c r="X21" s="4">
        <f t="shared" si="5"/>
        <v>12.5</v>
      </c>
      <c r="Y21" s="4">
        <f t="shared" si="6"/>
        <v>4.5</v>
      </c>
      <c r="Z21" s="4">
        <f t="shared" si="7"/>
        <v>8</v>
      </c>
      <c r="AA21" s="4">
        <f>_xlfn.XLOOKUP(H21,Key!$F$8:$F$15,Key!$B$8:$B$15)</f>
        <v>7.5</v>
      </c>
      <c r="AB21" s="4">
        <f>_xlfn.XLOOKUP(H21,Key!$F$16:$F$23,Key!$E$16:$E$23)</f>
        <v>5</v>
      </c>
      <c r="AC21" s="17">
        <f>LOOKUP($O21,Manufacture_MJ!$C$2:$K$2,Manufacture_MJ!$C$4:$K$4)+LOOKUP($P21,Manufacture_MJ!$C$2:$K$2,Manufacture_MJ!$C$4:$K$4)+LOOKUP($Q21,Manufacture_MJ!$C$2:$K$2,Manufacture_MJ!$C$4:$K$4)+LOOKUP($R21,Manufacture_MJ!$C$2:$K$2,Manufacture_MJ!$C$4:$K$4)+_xlfn.IFNA(LOOKUP($S21,Manufacture_MJ!$C$2:$K$2,Manufacture_MJ!$C$4:$K$4),0)+_xlfn.IFNA(LOOKUP($T21,Manufacture_MJ!$C$2:$K$2,Manufacture_MJ!$C$4:$K$4),0)</f>
        <v>34317.338340491369</v>
      </c>
      <c r="AD21" s="19">
        <f t="shared" si="8"/>
        <v>52195.761585882356</v>
      </c>
      <c r="AE21" s="4">
        <f>LOOKUP($Q21,Manufacture_MJ!$C$2:$K$2,Manufacture_MJ!$C$4:$K$4)+LOOKUP($R21,Manufacture_MJ!$C$2:$K$2,Manufacture_MJ!$C$4:$K$4)+_xlfn.IFNA(LOOKUP($S21,Manufacture_MJ!$C$2:$K$2,Manufacture_MJ!$C$4:$K$4),0)+_xlfn.IFNA(LOOKUP($T21,Manufacture_MJ!$C$2:$K$2,Manufacture_MJ!$C$4:$K$4),0)</f>
        <v>13112.242036990161</v>
      </c>
      <c r="AF21" s="4">
        <f>LOOKUP($O21,Manufacture_MJ!$C$2:$K$2,Manufacture_MJ!$C$4:$K$4)+LOOKUP($P21,Manufacture_MJ!$C$2:$K$2,Manufacture_MJ!$C$4:$K$4)</f>
        <v>21205.09630350121</v>
      </c>
      <c r="AG21" s="4">
        <f>_xlfn.XLOOKUP($AA21,Manufacture_MJ!$C$5:$R$5,Manufacture_MJ!$C$7:$R$7)</f>
        <v>23430.702762352939</v>
      </c>
      <c r="AH21" s="4">
        <f>_xlfn.XLOOKUP($AB21,Manufacture_MJ!$C$5:$R$5,Manufacture_MJ!$C$11:$R$11)</f>
        <v>28765.058823529413</v>
      </c>
      <c r="AI21" s="18">
        <f>LOOKUP(_xlfn.CEILING.MATH($O21,1),Manufacture_MJ!$C$21:$G$21,Manufacture_MJ!$C$23:$G$23)+LOOKUP(_xlfn.CEILING.MATH($P21),Manufacture_MJ!$C$21:$G$21,Manufacture_MJ!$C$23:$G$23)+LOOKUP(_xlfn.CEILING.MATH($Q21),Manufacture_MJ!$C$21:$G$21,Manufacture_MJ!$C$23:$G$23)+LOOKUP(_xlfn.CEILING.MATH($R21),Manufacture_MJ!$C$21:$G$21,Manufacture_MJ!$C$23:$G$23)+_xlfn.IFNA(LOOKUP(_xlfn.CEILING.MATH($S21),Manufacture_MJ!$C$21:$G$21,Manufacture_MJ!$C$23:$G$23),0)+_xlfn.IFNA(LOOKUP(_xlfn.CEILING.MATH($T21),Manufacture_MJ!$C$21:$G$21,Manufacture_MJ!$C$23:$G$23),0)</f>
        <v>62740.067559749943</v>
      </c>
      <c r="AJ21" s="17">
        <f>LOOKUP($O21,Distribution_MJ!$C$2:$K$2,Distribution_MJ!$C$4:$K$4)+LOOKUP($P21,Distribution_MJ!$C$2:$K$2,Distribution_MJ!$C$4:$K$4)+LOOKUP($Q21,Distribution_MJ!$C$2:$K$2,Distribution_MJ!$C$4:$K$4)+LOOKUP($R21,Distribution_MJ!$C$2:$K$2,Distribution_MJ!$C$4:$K$4)+_xlfn.IFNA(LOOKUP($S21,Distribution_MJ!$C$2:$K$2,Distribution_MJ!$C$4:$K$4),0)+_xlfn.IFNA(LOOKUP($T21,Distribution_MJ!$C$2:$K$2,Distribution_MJ!$C$4:$K$4),0)</f>
        <v>1266.9976419549753</v>
      </c>
      <c r="AK21" s="19">
        <f t="shared" si="9"/>
        <v>915.14124598374747</v>
      </c>
      <c r="AL21" s="4">
        <f>LOOKUP($Q21,Distribution_MJ!$C$2:$K$2,Distribution_MJ!$C$4:$K$4)+LOOKUP($R21,Distribution_MJ!$C$2:$K$2,Distribution_MJ!$C$4:$K$4)+_xlfn.IFNA(LOOKUP($S21,Distribution_MJ!$C$2:$K$2,Distribution_MJ!$C$4:$K$4),0)+_xlfn.IFNA(LOOKUP($T21,Distribution_MJ!$C$2:$K$2,Distribution_MJ!$C$4:$K$4),0)</f>
        <v>474.99072263779505</v>
      </c>
      <c r="AM21" s="4">
        <f>LOOKUP($O21,Distribution_MJ!$C$2:$K$2,Distribution_MJ!$C$4:$K$4)+LOOKUP($P21,Distribution_MJ!$C$2:$K$2,Distribution_MJ!$C$4:$K$4)</f>
        <v>792.00691931718006</v>
      </c>
      <c r="AN21" s="4">
        <f>_xlfn.XLOOKUP($AA21,Distribution_MJ!$C$5:$R$5,Distribution_MJ!$C$7:$R$7)</f>
        <v>459.51371698374749</v>
      </c>
      <c r="AO21" s="4">
        <f>_xlfn.XLOOKUP($AB21,Distribution_MJ!$C$5:$R$5,Distribution_MJ!$C$11:$R$11)</f>
        <v>455.62752899999998</v>
      </c>
      <c r="AP21" s="18">
        <f>LOOKUP(_xlfn.CEILING.MATH($O21,1),Distribution_MJ!$C$21:$G$21,Distribution_MJ!$C$23:$G$23)+LOOKUP(_xlfn.CEILING.MATH($P21),Distribution_MJ!$C$21:$G$21,Distribution_MJ!$C$23:$G$23)+LOOKUP(_xlfn.CEILING.MATH($Q21),Distribution_MJ!$C$21:$G$21,Distribution_MJ!$C$23:$G$23)+LOOKUP(_xlfn.CEILING.MATH($R21),Distribution_MJ!$C$21:$G$21,Distribution_MJ!$C$23:$G$23)+_xlfn.IFNA(LOOKUP(_xlfn.CEILING.MATH($S21),Distribution_MJ!$C$21:$G$21,Distribution_MJ!$C$23:$G$23),0)+_xlfn.IFNA(LOOKUP(_xlfn.CEILING.MATH($T21),Distribution_MJ!$C$21:$G$21,Distribution_MJ!$C$23:$G$23),0)</f>
        <v>964.31475331872343</v>
      </c>
      <c r="AQ21" s="17">
        <f>LOOKUP($O21,Installation_MJ!$C$2:$K$2,Installation_MJ!$C$4:$K$4)+LOOKUP($P21,Installation_MJ!$C$2:$K$2,Installation_MJ!$C$4:$K$4)+LOOKUP($Q21,Installation_MJ!$C$2:$K$2,Installation_MJ!$C$4:$K$4)+LOOKUP($R21,Installation_MJ!$C$2:$K$2,Installation_MJ!$C$4:$K$4)+_xlfn.IFNA(LOOKUP($S21,Installation_MJ!$C$2:$K$2,Installation_MJ!$C$4:$K$4),0)+_xlfn.IFNA(LOOKUP($T21,Installation_MJ!$C$2:$K$2,Installation_MJ!$C$4:$K$4),0)</f>
        <v>24.953949385787915</v>
      </c>
      <c r="AR21" s="19">
        <f t="shared" si="10"/>
        <v>2361.7388716764708</v>
      </c>
      <c r="AS21" s="4">
        <f>LOOKUP($Q21,Installation_MJ!$C$2:$K$2,Installation_MJ!$C$4:$K$4)+LOOKUP($R21,Installation_MJ!$C$2:$K$2,Installation_MJ!$C$4:$K$4)+_xlfn.IFNA(LOOKUP($S21,Installation_MJ!$C$2:$K$2,Installation_MJ!$C$4:$K$4),0)+_xlfn.IFNA(LOOKUP($T21,Installation_MJ!$C$2:$K$2,Installation_MJ!$C$4:$K$4),0)</f>
        <v>9.5664402503585393</v>
      </c>
      <c r="AT21" s="4">
        <f>LOOKUP($O21,Installation_MJ!$C$2:$K$2,Installation_MJ!$C$4:$K$4)+LOOKUP($P21,Installation_MJ!$C$2:$K$2,Installation_MJ!$C$4:$K$4)</f>
        <v>15.387509135429376</v>
      </c>
      <c r="AU21" s="4">
        <f>_xlfn.XLOOKUP($AA21,Installation_MJ!$C$5:$R$5,Installation_MJ!$C$7:$R$7)</f>
        <v>1140.0329893235294</v>
      </c>
      <c r="AV21" s="4">
        <f>_xlfn.XLOOKUP($AB21,Installation_MJ!$C$5:$R$5,Installation_MJ!$C$11:$R$11)</f>
        <v>1221.7058823529412</v>
      </c>
      <c r="AW21" s="18">
        <f>LOOKUP(_xlfn.CEILING.MATH($O21,1),Installation_MJ!$C$21:$G$21,Installation_MJ!$C$23:$G$23)+LOOKUP(_xlfn.CEILING.MATH($P21),Installation_MJ!$C$21:$G$21,Installation_MJ!$C$23:$G$23)+LOOKUP(_xlfn.CEILING.MATH($Q21),Installation_MJ!$C$21:$G$21,Installation_MJ!$C$23:$G$23)+LOOKUP(_xlfn.CEILING.MATH($R21),Installation_MJ!$C$21:$G$21,Installation_MJ!$C$23:$G$23)+_xlfn.IFNA(LOOKUP(_xlfn.CEILING.MATH($S21),Installation_MJ!$C$21:$G$21,Installation_MJ!$C$23:$G$23),0)+_xlfn.IFNA(LOOKUP(_xlfn.CEILING.MATH($T21),Installation_MJ!$C$21:$G$21,Installation_MJ!$C$23:$G$23),0)</f>
        <v>125.31391379062501</v>
      </c>
      <c r="AX21" s="17">
        <f>LOOKUP($O21,EOL_MJ!$C$2:$K$2,EOL_MJ!$C$4:$K$4)+LOOKUP($P21,EOL_MJ!$C$2:$K$2,EOL_MJ!$C$4:$K$4)+LOOKUP($Q21,EOL_MJ!$C$2:$K$2,EOL_MJ!$C$4:$K$4)+LOOKUP($R21,EOL_MJ!$C$2:$K$2,EOL_MJ!$C$4:$K$4)+_xlfn.IFNA(LOOKUP($S21,EOL_MJ!$C$2:$K$2,EOL_MJ!$C$4:$K$4),0)+_xlfn.IFNA(LOOKUP($T21,EOL_MJ!$C$2:$K$2,EOL_MJ!$C$4:$K$4),0)</f>
        <v>147.39442638406626</v>
      </c>
      <c r="AY21" s="19">
        <f t="shared" si="11"/>
        <v>12962.337690117647</v>
      </c>
      <c r="AZ21" s="4">
        <f>LOOKUP($Q21,EOL_MJ!$C$2:$K$2,EOL_MJ!$C$4:$K$4)+LOOKUP($R21,EOL_MJ!$C$2:$K$2,EOL_MJ!$C$4:$K$4)+_xlfn.IFNA(LOOKUP($S21,EOL_MJ!$C$2:$K$2,EOL_MJ!$C$4:$K$4),0)+_xlfn.IFNA(LOOKUP($T21,EOL_MJ!$C$2:$K$2,EOL_MJ!$C$4:$K$4),0)</f>
        <v>57.073591992725085</v>
      </c>
      <c r="BA21" s="4">
        <f>LOOKUP($O21,EOL_MJ!$C$2:$K$2,EOL_MJ!$C$4:$K$4)+LOOKUP($P21,EOL_MJ!$C$2:$K$2,EOL_MJ!$C$4:$K$4)</f>
        <v>90.320834391341165</v>
      </c>
      <c r="BB21" s="4">
        <f>_xlfn.XLOOKUP($AA21,EOL_MJ!$C$5:$R$5,EOL_MJ!$C$6:$R$6)</f>
        <v>4645.1023960000002</v>
      </c>
      <c r="BC21" s="4">
        <f>_xlfn.XLOOKUP($AB21,EOL_MJ!$C$5:$R$5,EOL_MJ!$C$11:$R$11)</f>
        <v>8317.2352941176468</v>
      </c>
      <c r="BD21" s="18">
        <f>LOOKUP(_xlfn.CEILING.MATH($O21,1),EOL_MJ!$C$21:$G$21,EOL_MJ!$C$23:$G$23)+LOOKUP(_xlfn.CEILING.MATH($P21),EOL_MJ!$C$21:$G$21,EOL_MJ!$C$23:$G$23)+LOOKUP(_xlfn.CEILING.MATH($Q21),EOL_MJ!$C$21:$G$21,EOL_MJ!$C$23:$G$23)+LOOKUP(_xlfn.CEILING.MATH($R21),EOL_MJ!$C$21:$G$21,EOL_MJ!$C$23:$G$23)+_xlfn.IFNA(LOOKUP(_xlfn.CEILING.MATH($S21),EOL_MJ!$C$21:$G$21,EOL_MJ!$C$23:$G$23),0)+_xlfn.IFNA(LOOKUP(_xlfn.CEILING.MATH($T21),EOL_MJ!$C$21:$G$21,EOL_MJ!$C$23:$G$23),0)</f>
        <v>4398.0105245999994</v>
      </c>
      <c r="BE21" s="17">
        <f>LOOKUP($O21,Other_MJ!$C$2:$K$2,Other_MJ!$C$4:$K$4)+LOOKUP($P21,Other_MJ!$C$2:$K$2,Other_MJ!$C$4:$K$4)+LOOKUP($Q21,Other_MJ!$C$2:$K$2,Other_MJ!$C$4:$K$4)+LOOKUP($R21,Other_MJ!$C$2:$K$2,Other_MJ!$C$4:$K$4)+_xlfn.IFNA(LOOKUP($S21,Other_MJ!$C$2:$K$2,Other_MJ!$C$4:$K$4),0)+_xlfn.IFNA(LOOKUP($T21,Other_MJ!$C$2:$K$2,Other_MJ!$C$4:$K$4),0)</f>
        <v>0</v>
      </c>
      <c r="BF21" s="19">
        <f t="shared" si="12"/>
        <v>12317.96599200226</v>
      </c>
      <c r="BG21" s="4">
        <f>LOOKUP($Q21,Other_MJ!$C$2:$K$2,Other_MJ!$C$4:$K$4)+LOOKUP($R21,Other_MJ!$C$2:$K$2,Other_MJ!$C$4:$K$4)+_xlfn.IFNA(LOOKUP($S21,Other_MJ!$C$2:$K$2,Other_MJ!$C$4:$K$4),0)+_xlfn.IFNA(LOOKUP($T21,Other_MJ!$C$2:$K$2,Other_MJ!$C$4:$K$4),0)</f>
        <v>0</v>
      </c>
      <c r="BH21" s="4">
        <f>LOOKUP($O21,Other_MJ!$C$2:$K$2,Other_MJ!$C$4:$K$4)+LOOKUP($P21,Other_MJ!$C$2:$K$2,Other_MJ!$C$4:$K$4)</f>
        <v>0</v>
      </c>
      <c r="BI21" s="4">
        <f>_xlfn.XLOOKUP($AA21,Other_MJ!$C$5:$R$5,Other_MJ!$C$7:$R$7)</f>
        <v>4498.2316124117651</v>
      </c>
      <c r="BJ21" s="4">
        <f>_xlfn.XLOOKUP($AB21,Other_MJ!$C$5:$R$5,Other_MJ!$C$11:$R$11)</f>
        <v>7819.7343795904944</v>
      </c>
      <c r="BK21" s="18">
        <f>LOOKUP(_xlfn.CEILING.MATH($O21,1),Other_MJ!$C$21:$G$21,Other_MJ!$C$23:$G$23)+LOOKUP(_xlfn.CEILING.MATH($P21),Other_MJ!$C$21:$G$21,Other_MJ!$C$23:$G$23)+LOOKUP(_xlfn.CEILING.MATH($Q21),Other_MJ!$C$21:$G$21,Other_MJ!$C$23:$G$23)+LOOKUP(_xlfn.CEILING.MATH($R21),Other_MJ!$C$21:$G$21,Other_MJ!$C$23:$G$23)+_xlfn.IFNA(LOOKUP(_xlfn.CEILING.MATH($S21),Other_MJ!$C$21:$G$21,Other_MJ!$C$23:$G$23),0)+_xlfn.IFNA(LOOKUP(_xlfn.CEILING.MATH($T21),Other_MJ!$C$21:$G$21,Other_MJ!$C$23:$G$23),0)</f>
        <v>89148.857748299983</v>
      </c>
    </row>
  </sheetData>
  <pageMargins left="0.7" right="0.7" top="0.75" bottom="0.75" header="0.3" footer="0.3"/>
  <headerFooter>
    <oddFooter>&amp;C_x000D_&amp;1#&amp;"Calibri"&amp;7&amp;K000000 In-Confidence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7B37-7581-4569-8E7F-5B5F91F745BC}">
  <sheetPr codeName="Sheet3"/>
  <dimension ref="A1:R26"/>
  <sheetViews>
    <sheetView workbookViewId="0">
      <selection activeCell="C25" sqref="C25:D25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26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96.740275504043112</v>
      </c>
      <c r="D3" s="3">
        <v>115.254242147841</v>
      </c>
      <c r="E3" s="3">
        <v>133.76820879163898</v>
      </c>
      <c r="F3" s="3">
        <v>211.99451765188411</v>
      </c>
      <c r="G3" s="3">
        <v>230.50848429568208</v>
      </c>
      <c r="H3" s="3">
        <v>249.02245093948</v>
      </c>
      <c r="I3" s="3">
        <v>267.53641758327797</v>
      </c>
      <c r="J3" s="3">
        <v>345.76272644352309</v>
      </c>
      <c r="K3" s="3">
        <v>423.98903530376822</v>
      </c>
    </row>
    <row r="4" spans="1:18" x14ac:dyDescent="0.25">
      <c r="C4" s="7">
        <f>21*C3/$B3</f>
        <v>119.50269326970032</v>
      </c>
      <c r="D4" s="7">
        <f t="shared" ref="D4:K4" si="0">21*D3/$B3</f>
        <v>142.37288735909772</v>
      </c>
      <c r="E4" s="7">
        <f t="shared" si="0"/>
        <v>165.24308144849522</v>
      </c>
      <c r="F4" s="7">
        <f t="shared" si="0"/>
        <v>261.87558062879799</v>
      </c>
      <c r="G4" s="7">
        <f t="shared" si="0"/>
        <v>284.74577471819555</v>
      </c>
      <c r="H4" s="7">
        <f t="shared" si="0"/>
        <v>307.61596880759294</v>
      </c>
      <c r="I4" s="7">
        <f t="shared" si="0"/>
        <v>330.48616289699044</v>
      </c>
      <c r="J4" s="7">
        <f t="shared" si="0"/>
        <v>427.11866207729321</v>
      </c>
      <c r="K4" s="7">
        <f t="shared" si="0"/>
        <v>523.75116125759598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642.61473869999986</v>
      </c>
      <c r="I6" s="3">
        <v>669.47598299999981</v>
      </c>
      <c r="J6" s="3">
        <v>696.3372273</v>
      </c>
      <c r="K6" s="3">
        <v>723.19847159999995</v>
      </c>
      <c r="L6" s="3">
        <v>750.0597158999999</v>
      </c>
      <c r="M6" s="3">
        <v>776.92096019999985</v>
      </c>
      <c r="N6" s="3">
        <v>803.78220450000003</v>
      </c>
      <c r="O6" s="3">
        <v>830.64344879999999</v>
      </c>
      <c r="P6" s="3">
        <v>857.50469309999994</v>
      </c>
      <c r="Q6" s="3">
        <v>884.36593739999989</v>
      </c>
      <c r="R6" s="3">
        <v>911.22718169999985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793.81820662941152</v>
      </c>
      <c r="I7" s="7">
        <f t="shared" si="1"/>
        <v>826.99974370588211</v>
      </c>
      <c r="J7" s="7">
        <f t="shared" si="1"/>
        <v>860.18128078235293</v>
      </c>
      <c r="K7" s="7">
        <f t="shared" si="1"/>
        <v>893.36281785882341</v>
      </c>
      <c r="L7" s="7">
        <f t="shared" si="1"/>
        <v>926.544354935294</v>
      </c>
      <c r="M7" s="7">
        <f t="shared" si="1"/>
        <v>959.72589201176459</v>
      </c>
      <c r="N7" s="7">
        <f t="shared" si="1"/>
        <v>992.9074290882354</v>
      </c>
      <c r="O7" s="7">
        <f t="shared" si="1"/>
        <v>1026.0889661647059</v>
      </c>
      <c r="P7" s="7">
        <f t="shared" si="1"/>
        <v>1059.2705032411764</v>
      </c>
      <c r="Q7" s="7">
        <f t="shared" si="1"/>
        <v>1092.4520403176468</v>
      </c>
      <c r="R7" s="7">
        <f t="shared" si="1"/>
        <v>1125.6335773941175</v>
      </c>
    </row>
    <row r="8" spans="1:18" x14ac:dyDescent="0.25">
      <c r="A8" t="s">
        <v>69</v>
      </c>
      <c r="B8" s="3">
        <v>17</v>
      </c>
      <c r="C8" s="3">
        <v>341.4</v>
      </c>
      <c r="D8" s="3"/>
      <c r="E8" s="3">
        <v>341.4</v>
      </c>
      <c r="F8" s="3"/>
      <c r="G8" s="3">
        <v>465.3</v>
      </c>
      <c r="H8" s="3"/>
      <c r="I8" s="3"/>
      <c r="J8" s="3"/>
      <c r="K8" s="3"/>
      <c r="L8" s="3"/>
      <c r="M8" s="3">
        <v>771</v>
      </c>
      <c r="N8" s="3"/>
      <c r="O8" s="3"/>
      <c r="P8" s="3"/>
      <c r="Q8" s="3"/>
      <c r="R8" s="3"/>
    </row>
    <row r="9" spans="1:18" x14ac:dyDescent="0.25">
      <c r="C9" s="7">
        <f>21*C8/$B8</f>
        <v>421.72941176470584</v>
      </c>
      <c r="D9" s="7"/>
      <c r="E9" s="7">
        <f>21*E8/$B8</f>
        <v>421.72941176470584</v>
      </c>
      <c r="F9" s="7"/>
      <c r="G9" s="7">
        <f>21*G8/$B8</f>
        <v>574.78235294117655</v>
      </c>
      <c r="H9" s="7"/>
      <c r="I9" s="7"/>
      <c r="J9" s="7"/>
      <c r="K9" s="7"/>
      <c r="L9" s="7"/>
      <c r="M9" s="7">
        <f>21*M8/$B8</f>
        <v>952.41176470588232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682.8</v>
      </c>
      <c r="D10" s="3"/>
      <c r="E10" s="3">
        <v>682.8</v>
      </c>
      <c r="F10" s="3"/>
      <c r="G10" s="3"/>
      <c r="H10" s="3"/>
      <c r="I10" s="3">
        <v>682.8</v>
      </c>
      <c r="J10" s="3"/>
      <c r="K10" s="3"/>
      <c r="L10" s="3">
        <v>1044.8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843.45882352941169</v>
      </c>
      <c r="D11" s="7"/>
      <c r="E11" s="7">
        <f>21*E10/$B10</f>
        <v>843.45882352941169</v>
      </c>
      <c r="F11" s="7"/>
      <c r="G11" s="7"/>
      <c r="H11" s="7"/>
      <c r="I11" s="7">
        <f>21*I10/$B10</f>
        <v>843.45882352941169</v>
      </c>
      <c r="J11" s="7"/>
      <c r="K11" s="7"/>
      <c r="L11" s="7">
        <f>21*L10/$B10</f>
        <v>1290.6352941176469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154.57937240073065</v>
      </c>
      <c r="D13" s="3">
        <v>175.02130364725571</v>
      </c>
      <c r="E13" s="3">
        <v>190.12993400970541</v>
      </c>
      <c r="F13" s="3">
        <v>224.37251896449882</v>
      </c>
      <c r="G13" s="3">
        <v>330.20302799924372</v>
      </c>
      <c r="H13" s="3">
        <v>435.1573551441511</v>
      </c>
    </row>
    <row r="14" spans="1:18" x14ac:dyDescent="0.25">
      <c r="C14" s="7">
        <f t="shared" ref="C14:H14" si="2">21*C13/$B13</f>
        <v>190.95098943619666</v>
      </c>
      <c r="D14" s="7">
        <f t="shared" si="2"/>
        <v>216.20278685837471</v>
      </c>
      <c r="E14" s="7">
        <f t="shared" si="2"/>
        <v>234.86638907081257</v>
      </c>
      <c r="F14" s="7">
        <f t="shared" si="2"/>
        <v>277.16605283849856</v>
      </c>
      <c r="G14" s="7">
        <f t="shared" si="2"/>
        <v>407.89785811671283</v>
      </c>
      <c r="H14" s="7">
        <f t="shared" si="2"/>
        <v>537.54732106042195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388.17590052149995</v>
      </c>
      <c r="D16" s="3">
        <v>419.26903296940003</v>
      </c>
      <c r="E16" s="3">
        <v>440.1354100822</v>
      </c>
      <c r="F16" s="3">
        <v>481.86816430780004</v>
      </c>
      <c r="G16" s="3">
        <v>579.03815761289991</v>
      </c>
      <c r="H16" s="3">
        <v>648.38631476760008</v>
      </c>
    </row>
    <row r="17" spans="1:14" x14ac:dyDescent="0.25">
      <c r="C17" s="7">
        <f t="shared" ref="C17:H17" si="3">21*C16/$B16</f>
        <v>479.51140652655874</v>
      </c>
      <c r="D17" s="7">
        <f t="shared" si="3"/>
        <v>517.92057013867066</v>
      </c>
      <c r="E17" s="7">
        <f t="shared" si="3"/>
        <v>543.69668304271761</v>
      </c>
      <c r="F17" s="7">
        <f t="shared" si="3"/>
        <v>595.24890885081186</v>
      </c>
      <c r="G17" s="7">
        <f t="shared" si="3"/>
        <v>715.28242999240581</v>
      </c>
      <c r="H17" s="7">
        <f t="shared" si="3"/>
        <v>800.94780059527068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1385.33</v>
      </c>
      <c r="D19" s="3">
        <v>1417.3799999999999</v>
      </c>
      <c r="E19" s="3">
        <v>1449.4299999999998</v>
      </c>
      <c r="F19" s="3">
        <v>1481.48</v>
      </c>
      <c r="G19" s="3">
        <v>1513.53</v>
      </c>
      <c r="H19" s="3">
        <v>1545.58</v>
      </c>
      <c r="I19" s="3">
        <v>1577.6299999999999</v>
      </c>
      <c r="J19" s="3">
        <v>1609.6799999999998</v>
      </c>
      <c r="K19" s="3">
        <v>1641.73</v>
      </c>
      <c r="L19" s="3">
        <v>1673.7799999999997</v>
      </c>
      <c r="M19" s="3">
        <v>1705.83</v>
      </c>
      <c r="N19" s="3">
        <v>1737.8799999999999</v>
      </c>
    </row>
    <row r="20" spans="1:14" x14ac:dyDescent="0.25">
      <c r="C20" s="7">
        <f>21*C19/$B19</f>
        <v>1711.29</v>
      </c>
      <c r="D20" s="7">
        <f t="shared" ref="D20:N20" si="4">21*D19/$B19</f>
        <v>1750.8811764705879</v>
      </c>
      <c r="E20" s="7">
        <f t="shared" si="4"/>
        <v>1790.4723529411763</v>
      </c>
      <c r="F20" s="7">
        <f t="shared" si="4"/>
        <v>1830.0635294117649</v>
      </c>
      <c r="G20" s="7">
        <f t="shared" si="4"/>
        <v>1869.654705882353</v>
      </c>
      <c r="H20" s="7">
        <f t="shared" si="4"/>
        <v>1909.2458823529412</v>
      </c>
      <c r="I20" s="7">
        <f t="shared" si="4"/>
        <v>1948.8370588235291</v>
      </c>
      <c r="J20" s="7">
        <f t="shared" si="4"/>
        <v>1988.4282352941175</v>
      </c>
      <c r="K20" s="7">
        <f t="shared" si="4"/>
        <v>2028.0194117647061</v>
      </c>
      <c r="L20" s="7">
        <f t="shared" si="4"/>
        <v>2067.610588235294</v>
      </c>
      <c r="M20" s="7">
        <f t="shared" si="4"/>
        <v>2107.2017647058824</v>
      </c>
      <c r="N20" s="7">
        <f t="shared" si="4"/>
        <v>2146.7929411764703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164.30526986543995</v>
      </c>
      <c r="D22" s="3">
        <v>220.67100280199898</v>
      </c>
      <c r="E22" s="3">
        <v>277.02510493855902</v>
      </c>
      <c r="F22" s="3">
        <v>333.37920707511904</v>
      </c>
      <c r="G22" s="3">
        <v>389.73330921167997</v>
      </c>
    </row>
    <row r="23" spans="1:14" x14ac:dyDescent="0.25">
      <c r="C23" s="7">
        <f>21*C22/$B22</f>
        <v>215.65066669838993</v>
      </c>
      <c r="D23" s="7">
        <f>21*D22/$B22</f>
        <v>289.63069117762365</v>
      </c>
      <c r="E23" s="7">
        <f>21*E22/$B22</f>
        <v>363.59545023185871</v>
      </c>
      <c r="F23" s="7">
        <f>21*F22/$B22</f>
        <v>437.56020928609377</v>
      </c>
      <c r="G23" s="7">
        <f>21*G22/$B22</f>
        <v>511.52496834032996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352</v>
      </c>
      <c r="D25" s="3">
        <v>691</v>
      </c>
    </row>
    <row r="26" spans="1:14" x14ac:dyDescent="0.25">
      <c r="C26" s="7">
        <f>21*C25/$B25</f>
        <v>336</v>
      </c>
      <c r="D26" s="7">
        <f>21*D25/$B25</f>
        <v>659.59090909090912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D23A-B370-4869-8578-FB96EF1B2E55}">
  <dimension ref="A1:R26"/>
  <sheetViews>
    <sheetView workbookViewId="0">
      <selection activeCell="C22" sqref="C22:G22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26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4.2350055119999999</v>
      </c>
      <c r="D3" s="3">
        <v>5.4508342445999993</v>
      </c>
      <c r="E3" s="3">
        <v>6.6666629771999997</v>
      </c>
      <c r="F3" s="3">
        <v>9.6858397566000001</v>
      </c>
      <c r="G3" s="3">
        <v>10.901668489199999</v>
      </c>
      <c r="H3" s="3">
        <v>12.117497221799999</v>
      </c>
      <c r="I3" s="3">
        <v>13.333325954399999</v>
      </c>
      <c r="J3" s="3">
        <v>16.352502733800002</v>
      </c>
      <c r="K3" s="3">
        <v>19.3716795132</v>
      </c>
    </row>
    <row r="4" spans="1:18" x14ac:dyDescent="0.25">
      <c r="C4" s="7">
        <f>21*C3/$B3</f>
        <v>5.2314773971764703</v>
      </c>
      <c r="D4" s="7">
        <f t="shared" ref="D4:K4" si="0">21*D3/$B3</f>
        <v>6.7333834786235292</v>
      </c>
      <c r="E4" s="7">
        <f t="shared" si="0"/>
        <v>8.2352895600705889</v>
      </c>
      <c r="F4" s="7">
        <f t="shared" si="0"/>
        <v>11.964860875799999</v>
      </c>
      <c r="G4" s="7">
        <f t="shared" si="0"/>
        <v>13.466766957247058</v>
      </c>
      <c r="H4" s="7">
        <f t="shared" si="0"/>
        <v>14.968673038694117</v>
      </c>
      <c r="I4" s="7">
        <f t="shared" si="0"/>
        <v>16.470579120141178</v>
      </c>
      <c r="J4" s="7">
        <f t="shared" si="0"/>
        <v>20.20015043587059</v>
      </c>
      <c r="K4" s="7">
        <f t="shared" si="0"/>
        <v>23.929721751599999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13.512330290126521</v>
      </c>
      <c r="I6" s="3">
        <v>14.18765258632032</v>
      </c>
      <c r="J6" s="3">
        <v>14.862974880026158</v>
      </c>
      <c r="K6" s="3">
        <v>15.538297173731998</v>
      </c>
      <c r="L6" s="3">
        <v>16.213619467437841</v>
      </c>
      <c r="M6" s="3">
        <v>16.888941763631639</v>
      </c>
      <c r="N6" s="3">
        <v>17.564264057337478</v>
      </c>
      <c r="O6" s="3">
        <v>18.239586351043318</v>
      </c>
      <c r="P6" s="3">
        <v>18.914908644749158</v>
      </c>
      <c r="Q6" s="3">
        <v>19.590230940942959</v>
      </c>
      <c r="R6" s="3">
        <v>20.265553234648799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16.691702123097468</v>
      </c>
      <c r="I7" s="7">
        <f t="shared" si="1"/>
        <v>17.525923783101572</v>
      </c>
      <c r="J7" s="7">
        <f t="shared" si="1"/>
        <v>18.360145440032312</v>
      </c>
      <c r="K7" s="7">
        <f t="shared" si="1"/>
        <v>19.194367096963056</v>
      </c>
      <c r="L7" s="7">
        <f t="shared" si="1"/>
        <v>20.028588753893803</v>
      </c>
      <c r="M7" s="7">
        <f t="shared" si="1"/>
        <v>20.862810413897904</v>
      </c>
      <c r="N7" s="7">
        <f t="shared" si="1"/>
        <v>21.697032070828651</v>
      </c>
      <c r="O7" s="7">
        <f t="shared" si="1"/>
        <v>22.531253727759392</v>
      </c>
      <c r="P7" s="7">
        <f t="shared" si="1"/>
        <v>23.365475384690136</v>
      </c>
      <c r="Q7" s="7">
        <f t="shared" si="1"/>
        <v>24.199697044694243</v>
      </c>
      <c r="R7" s="7">
        <f t="shared" si="1"/>
        <v>25.033918701624987</v>
      </c>
    </row>
    <row r="8" spans="1:18" x14ac:dyDescent="0.25">
      <c r="A8" t="s">
        <v>69</v>
      </c>
      <c r="B8" s="3">
        <v>17</v>
      </c>
      <c r="C8" s="3">
        <v>8.7078600000000002</v>
      </c>
      <c r="D8" s="3"/>
      <c r="E8" s="3">
        <v>8.7078600000000002</v>
      </c>
      <c r="F8" s="3"/>
      <c r="G8" s="3">
        <v>12.937391999999999</v>
      </c>
      <c r="H8" s="3"/>
      <c r="I8" s="3"/>
      <c r="J8" s="3"/>
      <c r="K8" s="3"/>
      <c r="L8" s="3"/>
      <c r="M8" s="3">
        <v>22.391639999999999</v>
      </c>
      <c r="N8" s="3"/>
      <c r="O8" s="3"/>
      <c r="P8" s="3"/>
      <c r="Q8" s="3"/>
      <c r="R8" s="3"/>
    </row>
    <row r="9" spans="1:18" x14ac:dyDescent="0.25">
      <c r="C9" s="7">
        <f>21*C8/$B8</f>
        <v>10.756768235294118</v>
      </c>
      <c r="D9" s="7"/>
      <c r="E9" s="7">
        <f>21*E8/$B8</f>
        <v>10.756768235294118</v>
      </c>
      <c r="F9" s="7"/>
      <c r="G9" s="7">
        <f>21*G8/$B8</f>
        <v>15.981484235294117</v>
      </c>
      <c r="H9" s="7"/>
      <c r="I9" s="7"/>
      <c r="J9" s="7"/>
      <c r="K9" s="7"/>
      <c r="L9" s="7"/>
      <c r="M9" s="7">
        <f>21*M8/$B8</f>
        <v>27.660261176470584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17.41572</v>
      </c>
      <c r="D10" s="3"/>
      <c r="E10" s="3">
        <v>17.41572</v>
      </c>
      <c r="F10" s="3"/>
      <c r="G10" s="3"/>
      <c r="H10" s="3"/>
      <c r="I10" s="3">
        <v>17.41572</v>
      </c>
      <c r="J10" s="3"/>
      <c r="K10" s="3"/>
      <c r="L10" s="3">
        <v>28.611540000000002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21.513536470588235</v>
      </c>
      <c r="D11" s="7"/>
      <c r="E11" s="7">
        <f>21*E10/$B10</f>
        <v>21.513536470588235</v>
      </c>
      <c r="F11" s="7"/>
      <c r="G11" s="7"/>
      <c r="H11" s="7"/>
      <c r="I11" s="7">
        <f>21*I10/$B10</f>
        <v>21.513536470588235</v>
      </c>
      <c r="J11" s="7"/>
      <c r="K11" s="7"/>
      <c r="L11" s="7">
        <f>21*L10/$B10</f>
        <v>35.343667058823534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3.0629519999999997</v>
      </c>
      <c r="D13" s="3">
        <v>3.3327776515199998</v>
      </c>
      <c r="E13" s="3">
        <v>3.6755423999999999</v>
      </c>
      <c r="F13" s="3">
        <v>4.1860343999999996</v>
      </c>
      <c r="G13" s="3">
        <v>5.3091168</v>
      </c>
      <c r="H13" s="3">
        <v>6.2280024000000003</v>
      </c>
    </row>
    <row r="14" spans="1:18" x14ac:dyDescent="0.25">
      <c r="C14" s="7">
        <f t="shared" ref="C14:H14" si="2">21*C13/$B13</f>
        <v>3.7836465882352939</v>
      </c>
      <c r="D14" s="7">
        <f t="shared" si="2"/>
        <v>4.1169606283482345</v>
      </c>
      <c r="E14" s="7">
        <f t="shared" si="2"/>
        <v>4.5403759058823523</v>
      </c>
      <c r="F14" s="7">
        <f t="shared" si="2"/>
        <v>5.1709836705882353</v>
      </c>
      <c r="G14" s="7">
        <f t="shared" si="2"/>
        <v>6.5583207529411771</v>
      </c>
      <c r="H14" s="7">
        <f t="shared" si="2"/>
        <v>7.6934147294117645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15.664141424879999</v>
      </c>
      <c r="D16" s="3">
        <v>18.119116051200002</v>
      </c>
      <c r="E16" s="3">
        <v>19.755765802079996</v>
      </c>
      <c r="F16" s="3">
        <v>23.029065303840003</v>
      </c>
      <c r="G16" s="3">
        <v>30.666764141280002</v>
      </c>
      <c r="H16" s="3">
        <v>36.122263310880001</v>
      </c>
    </row>
    <row r="17" spans="1:14" x14ac:dyDescent="0.25">
      <c r="C17" s="7">
        <f t="shared" ref="C17:H17" si="3">21*C16/$B16</f>
        <v>19.349821760145883</v>
      </c>
      <c r="D17" s="7">
        <f t="shared" si="3"/>
        <v>22.382437475011766</v>
      </c>
      <c r="E17" s="7">
        <f t="shared" si="3"/>
        <v>24.404181284922348</v>
      </c>
      <c r="F17" s="7">
        <f t="shared" si="3"/>
        <v>28.447668904743534</v>
      </c>
      <c r="G17" s="7">
        <f t="shared" si="3"/>
        <v>37.882473350992939</v>
      </c>
      <c r="H17" s="7">
        <f t="shared" si="3"/>
        <v>44.621619384028236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61.853795550000001</v>
      </c>
      <c r="D19" s="3">
        <v>63.103871051999995</v>
      </c>
      <c r="E19" s="3">
        <v>64.35394655399999</v>
      </c>
      <c r="F19" s="3">
        <v>65.604022056000005</v>
      </c>
      <c r="G19" s="3">
        <v>66.854097558000007</v>
      </c>
      <c r="H19" s="3">
        <v>68.104173060000008</v>
      </c>
      <c r="I19" s="3">
        <v>69.354248561999995</v>
      </c>
      <c r="J19" s="3">
        <v>70.604324063999996</v>
      </c>
      <c r="K19" s="3">
        <v>71.854399565999998</v>
      </c>
      <c r="L19" s="3">
        <v>73.104475067999985</v>
      </c>
      <c r="M19" s="3">
        <v>74.354550570000001</v>
      </c>
      <c r="N19" s="3">
        <v>75.604626072000002</v>
      </c>
    </row>
    <row r="20" spans="1:14" x14ac:dyDescent="0.25">
      <c r="C20" s="7">
        <f>21*C19/$B19</f>
        <v>76.407629797058817</v>
      </c>
      <c r="D20" s="7">
        <f t="shared" ref="D20:N20" si="4">21*D19/$B19</f>
        <v>77.951840711294111</v>
      </c>
      <c r="E20" s="7">
        <f t="shared" si="4"/>
        <v>79.496051625529404</v>
      </c>
      <c r="F20" s="7">
        <f t="shared" si="4"/>
        <v>81.040262539764711</v>
      </c>
      <c r="G20" s="7">
        <f t="shared" si="4"/>
        <v>82.584473454000005</v>
      </c>
      <c r="H20" s="7">
        <f t="shared" si="4"/>
        <v>84.128684368235298</v>
      </c>
      <c r="I20" s="7">
        <f t="shared" si="4"/>
        <v>85.672895282470577</v>
      </c>
      <c r="J20" s="7">
        <f t="shared" si="4"/>
        <v>87.217106196705885</v>
      </c>
      <c r="K20" s="7">
        <f t="shared" si="4"/>
        <v>88.761317110941164</v>
      </c>
      <c r="L20" s="7">
        <f t="shared" si="4"/>
        <v>90.305528025176443</v>
      </c>
      <c r="M20" s="7">
        <f t="shared" si="4"/>
        <v>91.849738939411765</v>
      </c>
      <c r="N20" s="7">
        <f t="shared" si="4"/>
        <v>93.393949853647072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4.1295705401024385</v>
      </c>
      <c r="D22" s="3">
        <v>5.5458474963911746</v>
      </c>
      <c r="E22" s="3">
        <v>6.9621244526799355</v>
      </c>
      <c r="F22" s="3">
        <v>8.3784014089686725</v>
      </c>
      <c r="G22" s="3">
        <v>9.7946783652574076</v>
      </c>
    </row>
    <row r="23" spans="1:14" x14ac:dyDescent="0.25">
      <c r="C23" s="7">
        <f>21*C22/$B22</f>
        <v>5.4200613338844503</v>
      </c>
      <c r="D23" s="7">
        <f>21*D22/$B22</f>
        <v>7.2789248390134169</v>
      </c>
      <c r="E23" s="7">
        <f>21*E22/$B22</f>
        <v>9.1377883441424146</v>
      </c>
      <c r="F23" s="7">
        <f>21*F22/$B22</f>
        <v>10.996651849271382</v>
      </c>
      <c r="G23" s="7">
        <f>21*G22/$B22</f>
        <v>12.855515354400348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7.9126260000000004</v>
      </c>
      <c r="D25" s="3">
        <v>15.559796159999999</v>
      </c>
    </row>
    <row r="26" spans="1:14" x14ac:dyDescent="0.25">
      <c r="C26" s="7">
        <f>21*C25/$B25</f>
        <v>7.5529611818181825</v>
      </c>
      <c r="D26" s="7">
        <f>21*D25/$B25</f>
        <v>14.852532698181818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E98D-E424-49EC-97FB-02D176973CAD}">
  <dimension ref="A1:R26"/>
  <sheetViews>
    <sheetView workbookViewId="0">
      <selection activeCell="C22" sqref="C22:G22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26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0.55354361971654997</v>
      </c>
      <c r="D3" s="3">
        <v>0.60168817956951803</v>
      </c>
      <c r="E3" s="3">
        <v>0.64983273942248698</v>
      </c>
      <c r="F3" s="3">
        <v>1.1552317992860681</v>
      </c>
      <c r="G3" s="3">
        <v>1.203376359139037</v>
      </c>
      <c r="H3" s="3">
        <v>1.2515209189920049</v>
      </c>
      <c r="I3" s="3">
        <v>1.299665478844974</v>
      </c>
      <c r="J3" s="3">
        <v>1.8050645387085551</v>
      </c>
      <c r="K3" s="3">
        <v>2.3104635985721362</v>
      </c>
    </row>
    <row r="4" spans="1:18" x14ac:dyDescent="0.25">
      <c r="C4" s="7">
        <f>21*C3/$B3</f>
        <v>0.68378917729691469</v>
      </c>
      <c r="D4" s="7">
        <f t="shared" ref="D4:K4" si="0">21*D3/$B3</f>
        <v>0.7432618688799929</v>
      </c>
      <c r="E4" s="7">
        <f t="shared" si="0"/>
        <v>0.80273456046307212</v>
      </c>
      <c r="F4" s="7">
        <f t="shared" si="0"/>
        <v>1.4270510461769077</v>
      </c>
      <c r="G4" s="7">
        <f t="shared" si="0"/>
        <v>1.4865237377599867</v>
      </c>
      <c r="H4" s="7">
        <f t="shared" si="0"/>
        <v>1.5459964293430648</v>
      </c>
      <c r="I4" s="7">
        <f t="shared" si="0"/>
        <v>1.6054691209261442</v>
      </c>
      <c r="J4" s="7">
        <f t="shared" si="0"/>
        <v>2.2297856066399797</v>
      </c>
      <c r="K4" s="7">
        <f t="shared" si="0"/>
        <v>2.8541020923538154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36.076388260000002</v>
      </c>
      <c r="I6" s="3">
        <v>39.961693029999999</v>
      </c>
      <c r="J6" s="3">
        <v>43.846997790000003</v>
      </c>
      <c r="K6" s="3">
        <v>47.732302560000001</v>
      </c>
      <c r="L6" s="3">
        <v>51.617607319999998</v>
      </c>
      <c r="M6" s="3">
        <v>55.502912090000002</v>
      </c>
      <c r="N6" s="3">
        <v>59.388216849999999</v>
      </c>
      <c r="O6" s="3">
        <v>63.273521619999997</v>
      </c>
      <c r="P6" s="3">
        <v>67.158826379999994</v>
      </c>
      <c r="Q6" s="3">
        <v>71.044131149999998</v>
      </c>
      <c r="R6" s="3">
        <v>74.929435909999995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44.564950203529413</v>
      </c>
      <c r="I7" s="7">
        <f t="shared" si="1"/>
        <v>49.364444331176465</v>
      </c>
      <c r="J7" s="7">
        <f t="shared" si="1"/>
        <v>54.163938446470588</v>
      </c>
      <c r="K7" s="7">
        <f t="shared" si="1"/>
        <v>58.963432574117647</v>
      </c>
      <c r="L7" s="7">
        <f t="shared" si="1"/>
        <v>63.762926689411763</v>
      </c>
      <c r="M7" s="7">
        <f t="shared" si="1"/>
        <v>68.562420817058822</v>
      </c>
      <c r="N7" s="7">
        <f t="shared" si="1"/>
        <v>73.361914932352946</v>
      </c>
      <c r="O7" s="7">
        <f t="shared" si="1"/>
        <v>78.161409059999983</v>
      </c>
      <c r="P7" s="7">
        <f t="shared" si="1"/>
        <v>82.960903175294106</v>
      </c>
      <c r="Q7" s="7">
        <f t="shared" si="1"/>
        <v>87.760397302941172</v>
      </c>
      <c r="R7" s="7">
        <f t="shared" si="1"/>
        <v>92.559891418235281</v>
      </c>
    </row>
    <row r="8" spans="1:18" x14ac:dyDescent="0.25">
      <c r="A8" t="s">
        <v>69</v>
      </c>
      <c r="B8" s="3">
        <v>17</v>
      </c>
      <c r="C8" s="3">
        <v>25.7</v>
      </c>
      <c r="D8" s="3"/>
      <c r="E8" s="3">
        <v>25.7</v>
      </c>
      <c r="F8" s="3"/>
      <c r="G8" s="3">
        <v>19.100000000000001</v>
      </c>
      <c r="H8" s="3"/>
      <c r="I8" s="3"/>
      <c r="J8" s="3"/>
      <c r="K8" s="3"/>
      <c r="L8" s="3"/>
      <c r="M8" s="3">
        <v>33</v>
      </c>
      <c r="N8" s="3"/>
      <c r="O8" s="3"/>
      <c r="P8" s="3"/>
      <c r="Q8" s="3"/>
      <c r="R8" s="3"/>
    </row>
    <row r="9" spans="1:18" x14ac:dyDescent="0.25">
      <c r="C9" s="7">
        <f>21*C8/$B8</f>
        <v>31.747058823529407</v>
      </c>
      <c r="D9" s="7"/>
      <c r="E9" s="7">
        <f>21*E8/$B8</f>
        <v>31.747058823529407</v>
      </c>
      <c r="F9" s="7"/>
      <c r="G9" s="7">
        <f>21*G8/$B8</f>
        <v>23.594117647058823</v>
      </c>
      <c r="H9" s="7"/>
      <c r="I9" s="7"/>
      <c r="J9" s="7"/>
      <c r="K9" s="7"/>
      <c r="L9" s="7"/>
      <c r="M9" s="7">
        <f>21*M8/$B8</f>
        <v>40.764705882352942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51.3</v>
      </c>
      <c r="D10" s="3"/>
      <c r="E10" s="3">
        <v>51.3</v>
      </c>
      <c r="F10" s="3"/>
      <c r="G10" s="3"/>
      <c r="H10" s="3"/>
      <c r="I10" s="3">
        <v>51.3</v>
      </c>
      <c r="J10" s="3"/>
      <c r="K10" s="3"/>
      <c r="L10" s="3">
        <v>37.6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63.370588235294115</v>
      </c>
      <c r="D11" s="7"/>
      <c r="E11" s="7">
        <f>21*E10/$B10</f>
        <v>63.370588235294115</v>
      </c>
      <c r="F11" s="7"/>
      <c r="G11" s="7"/>
      <c r="H11" s="7"/>
      <c r="I11" s="7">
        <f>21*I10/$B10</f>
        <v>63.370588235294115</v>
      </c>
      <c r="J11" s="7"/>
      <c r="K11" s="7"/>
      <c r="L11" s="7">
        <f>21*L10/$B10</f>
        <v>46.44705882352941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3.2602754268482497</v>
      </c>
      <c r="D13" s="3">
        <v>3.6914217375448244</v>
      </c>
      <c r="E13" s="3">
        <v>4.0100819542284007</v>
      </c>
      <c r="F13" s="3">
        <v>4.7323015915967108</v>
      </c>
      <c r="G13" s="3">
        <v>6.964401532605331</v>
      </c>
      <c r="H13" s="3">
        <v>9.1780216839724122</v>
      </c>
    </row>
    <row r="14" spans="1:18" x14ac:dyDescent="0.25">
      <c r="C14" s="7">
        <f t="shared" ref="C14:H14" si="2">21*C13/$B13</f>
        <v>4.0273990566948967</v>
      </c>
      <c r="D14" s="7">
        <f t="shared" si="2"/>
        <v>4.5599915581436061</v>
      </c>
      <c r="E14" s="7">
        <f t="shared" si="2"/>
        <v>4.9536306493409654</v>
      </c>
      <c r="F14" s="7">
        <f t="shared" si="2"/>
        <v>5.8457843190312317</v>
      </c>
      <c r="G14" s="7">
        <f t="shared" si="2"/>
        <v>8.6030842461595256</v>
      </c>
      <c r="H14" s="7">
        <f t="shared" si="2"/>
        <v>11.337556197848274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11.29414479576336</v>
      </c>
      <c r="D16" s="3">
        <v>13.254610826966401</v>
      </c>
      <c r="E16" s="3">
        <v>14.56158818110176</v>
      </c>
      <c r="F16" s="3">
        <v>17.175542889372483</v>
      </c>
      <c r="G16" s="3">
        <v>23.274770542004163</v>
      </c>
      <c r="H16" s="3">
        <v>27.63136172245536</v>
      </c>
    </row>
    <row r="17" spans="1:14" x14ac:dyDescent="0.25">
      <c r="C17" s="7">
        <f t="shared" ref="C17:H17" si="3">21*C16/$B16</f>
        <v>13.951590630060622</v>
      </c>
      <c r="D17" s="7">
        <f t="shared" si="3"/>
        <v>16.373342786252611</v>
      </c>
      <c r="E17" s="7">
        <f t="shared" si="3"/>
        <v>17.987844223713939</v>
      </c>
      <c r="F17" s="7">
        <f t="shared" si="3"/>
        <v>21.216847098636595</v>
      </c>
      <c r="G17" s="7">
        <f t="shared" si="3"/>
        <v>28.751187140122788</v>
      </c>
      <c r="H17" s="7">
        <f t="shared" si="3"/>
        <v>34.132858598327211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74.352800454416894</v>
      </c>
      <c r="D19" s="3">
        <v>76.343482855387293</v>
      </c>
      <c r="E19" s="3">
        <v>78.334165256357593</v>
      </c>
      <c r="F19" s="3">
        <v>80.324847657327993</v>
      </c>
      <c r="G19" s="3">
        <v>82.315530058298293</v>
      </c>
      <c r="H19" s="3">
        <v>84.306212459268707</v>
      </c>
      <c r="I19" s="3">
        <v>86.296894860239107</v>
      </c>
      <c r="J19" s="3">
        <v>88.287577261209407</v>
      </c>
      <c r="K19" s="3">
        <v>90.278259662179806</v>
      </c>
      <c r="L19" s="3">
        <v>92.268942063150206</v>
      </c>
      <c r="M19" s="3">
        <v>94.259624464120506</v>
      </c>
      <c r="N19" s="3">
        <v>96.250306865090906</v>
      </c>
    </row>
    <row r="20" spans="1:14" x14ac:dyDescent="0.25">
      <c r="C20" s="7">
        <f>21*C19/$B19</f>
        <v>91.847577031926761</v>
      </c>
      <c r="D20" s="7">
        <f t="shared" ref="D20:N20" si="4">21*D19/$B19</f>
        <v>94.306655291949014</v>
      </c>
      <c r="E20" s="7">
        <f t="shared" si="4"/>
        <v>96.765733551971138</v>
      </c>
      <c r="F20" s="7">
        <f t="shared" si="4"/>
        <v>99.224811811993391</v>
      </c>
      <c r="G20" s="7">
        <f t="shared" si="4"/>
        <v>101.68389007201553</v>
      </c>
      <c r="H20" s="7">
        <f t="shared" si="4"/>
        <v>104.14296833203782</v>
      </c>
      <c r="I20" s="7">
        <f t="shared" si="4"/>
        <v>106.60204659206008</v>
      </c>
      <c r="J20" s="7">
        <f t="shared" si="4"/>
        <v>109.0611248520822</v>
      </c>
      <c r="K20" s="7">
        <f t="shared" si="4"/>
        <v>111.52020311210447</v>
      </c>
      <c r="L20" s="7">
        <f t="shared" si="4"/>
        <v>113.97928137212672</v>
      </c>
      <c r="M20" s="7">
        <f t="shared" si="4"/>
        <v>116.43835963214886</v>
      </c>
      <c r="N20" s="7">
        <f t="shared" si="4"/>
        <v>118.89743789217111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0.52459659000000103</v>
      </c>
      <c r="D22" s="3">
        <v>1.320298035</v>
      </c>
      <c r="E22" s="3">
        <v>2.1159994800000002</v>
      </c>
      <c r="F22" s="3">
        <v>2.9117009249999999</v>
      </c>
      <c r="G22" s="3">
        <v>3.7074023700000001</v>
      </c>
    </row>
    <row r="23" spans="1:14" x14ac:dyDescent="0.25">
      <c r="C23" s="7">
        <f>21*C22/$B22</f>
        <v>0.6885330243750013</v>
      </c>
      <c r="D23" s="7">
        <f>21*D22/$B22</f>
        <v>1.7328911709374999</v>
      </c>
      <c r="E23" s="7">
        <f>21*E22/$B22</f>
        <v>2.7772493175000004</v>
      </c>
      <c r="F23" s="7">
        <f>21*F22/$B22</f>
        <v>3.8216074640624997</v>
      </c>
      <c r="G23" s="7">
        <f>21*G22/$B22</f>
        <v>4.8659656106250004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12</v>
      </c>
      <c r="D25" s="3">
        <v>12</v>
      </c>
    </row>
    <row r="26" spans="1:14" x14ac:dyDescent="0.25">
      <c r="C26" s="7">
        <f>21*C25/$B25</f>
        <v>11.454545454545455</v>
      </c>
      <c r="D26" s="7">
        <f>21*D25/$B25</f>
        <v>11.454545454545455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9FAC-C611-47D6-8EF5-CBF481185D75}">
  <dimension ref="A1:R26"/>
  <sheetViews>
    <sheetView zoomScale="85" zoomScaleNormal="85" workbookViewId="0">
      <selection activeCell="C22" sqref="C22:G22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26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5.0286204869185198</v>
      </c>
      <c r="D3" s="3">
        <v>6.4575987784747602</v>
      </c>
      <c r="E3" s="3">
        <v>7.8865770700309898</v>
      </c>
      <c r="F3" s="3">
        <v>11.486219265393281</v>
      </c>
      <c r="G3" s="3">
        <v>12.91519755694952</v>
      </c>
      <c r="H3" s="3">
        <v>14.344175848505749</v>
      </c>
      <c r="I3" s="3">
        <v>15.77315414006198</v>
      </c>
      <c r="J3" s="3">
        <v>19.372796335424269</v>
      </c>
      <c r="K3" s="3">
        <v>22.972438530786562</v>
      </c>
    </row>
    <row r="4" spans="1:18" x14ac:dyDescent="0.25">
      <c r="C4" s="7">
        <f>21*C3/$B3</f>
        <v>6.2118253073699368</v>
      </c>
      <c r="D4" s="7">
        <f t="shared" ref="D4:K4" si="0">21*D3/$B3</f>
        <v>7.9770337851747035</v>
      </c>
      <c r="E4" s="7">
        <f t="shared" si="0"/>
        <v>9.7422422629794578</v>
      </c>
      <c r="F4" s="7">
        <f t="shared" si="0"/>
        <v>14.188859092544641</v>
      </c>
      <c r="G4" s="7">
        <f t="shared" si="0"/>
        <v>15.954067570349407</v>
      </c>
      <c r="H4" s="7">
        <f t="shared" si="0"/>
        <v>17.71927604815416</v>
      </c>
      <c r="I4" s="7">
        <f t="shared" si="0"/>
        <v>19.484484525958916</v>
      </c>
      <c r="J4" s="7">
        <f t="shared" si="0"/>
        <v>23.931101355524095</v>
      </c>
      <c r="K4" s="7">
        <f t="shared" si="0"/>
        <v>28.377718185089282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147.32211100000001</v>
      </c>
      <c r="I6" s="3">
        <v>152.48438100000001</v>
      </c>
      <c r="J6" s="3">
        <v>157.64665110000001</v>
      </c>
      <c r="K6" s="3">
        <v>162.80892119999999</v>
      </c>
      <c r="L6" s="3">
        <v>167.97119119999999</v>
      </c>
      <c r="M6" s="3">
        <v>173.13346129999999</v>
      </c>
      <c r="N6" s="3">
        <v>178.29573139999999</v>
      </c>
      <c r="O6" s="3">
        <v>183.4580014</v>
      </c>
      <c r="P6" s="3">
        <v>188.6202715</v>
      </c>
      <c r="Q6" s="3">
        <v>193.7825416</v>
      </c>
      <c r="R6" s="3">
        <v>198.94481160000001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181.98613711764708</v>
      </c>
      <c r="I7" s="7">
        <f t="shared" si="1"/>
        <v>188.36305888235296</v>
      </c>
      <c r="J7" s="7">
        <f t="shared" si="1"/>
        <v>194.73998077058826</v>
      </c>
      <c r="K7" s="7">
        <f t="shared" si="1"/>
        <v>201.11690265882351</v>
      </c>
      <c r="L7" s="7">
        <f t="shared" si="1"/>
        <v>207.49382442352939</v>
      </c>
      <c r="M7" s="7">
        <f t="shared" si="1"/>
        <v>213.87074631176469</v>
      </c>
      <c r="N7" s="7">
        <f t="shared" si="1"/>
        <v>220.24766819999999</v>
      </c>
      <c r="O7" s="7">
        <f t="shared" si="1"/>
        <v>226.62458996470588</v>
      </c>
      <c r="P7" s="7">
        <f t="shared" si="1"/>
        <v>233.00151185294118</v>
      </c>
      <c r="Q7" s="7">
        <f t="shared" si="1"/>
        <v>239.37843374117645</v>
      </c>
      <c r="R7" s="7">
        <f t="shared" si="1"/>
        <v>245.75535550588236</v>
      </c>
    </row>
    <row r="8" spans="1:18" x14ac:dyDescent="0.25">
      <c r="A8" t="s">
        <v>69</v>
      </c>
      <c r="B8" s="3">
        <v>17</v>
      </c>
      <c r="C8" s="3">
        <v>76.099999999999994</v>
      </c>
      <c r="D8" s="3"/>
      <c r="E8" s="3">
        <v>76.099999999999994</v>
      </c>
      <c r="F8" s="3"/>
      <c r="G8" s="3">
        <v>90.1</v>
      </c>
      <c r="H8" s="3"/>
      <c r="I8" s="3"/>
      <c r="J8" s="3"/>
      <c r="K8" s="3"/>
      <c r="L8" s="3"/>
      <c r="M8" s="3">
        <v>266</v>
      </c>
      <c r="N8" s="3"/>
      <c r="O8" s="3"/>
      <c r="P8" s="3"/>
      <c r="Q8" s="3"/>
      <c r="R8" s="3"/>
    </row>
    <row r="9" spans="1:18" x14ac:dyDescent="0.25">
      <c r="C9" s="7">
        <f>21*C8/$B8</f>
        <v>94.005882352941171</v>
      </c>
      <c r="D9" s="7"/>
      <c r="E9" s="7">
        <f>21*E8/$B8</f>
        <v>94.005882352941171</v>
      </c>
      <c r="F9" s="7"/>
      <c r="G9" s="7">
        <f>21*G8/$B8</f>
        <v>111.3</v>
      </c>
      <c r="H9" s="7"/>
      <c r="I9" s="7"/>
      <c r="J9" s="7"/>
      <c r="K9" s="7"/>
      <c r="L9" s="7"/>
      <c r="M9" s="7">
        <f>21*M8/$B8</f>
        <v>328.58823529411762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152.1</v>
      </c>
      <c r="D10" s="3"/>
      <c r="E10" s="3">
        <v>152.1</v>
      </c>
      <c r="F10" s="3"/>
      <c r="G10" s="3"/>
      <c r="H10" s="3"/>
      <c r="I10" s="3">
        <v>152.1</v>
      </c>
      <c r="J10" s="3"/>
      <c r="K10" s="3"/>
      <c r="L10" s="3">
        <v>219.7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187.88823529411764</v>
      </c>
      <c r="D11" s="7"/>
      <c r="E11" s="7">
        <f>21*E10/$B10</f>
        <v>187.88823529411764</v>
      </c>
      <c r="F11" s="7"/>
      <c r="G11" s="7"/>
      <c r="H11" s="7"/>
      <c r="I11" s="7">
        <f>21*I10/$B10</f>
        <v>187.88823529411764</v>
      </c>
      <c r="J11" s="7"/>
      <c r="K11" s="7"/>
      <c r="L11" s="7">
        <f>21*L10/$B10</f>
        <v>271.39411764705881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18.163019676424518</v>
      </c>
      <c r="D13" s="3">
        <v>20.5649391155346</v>
      </c>
      <c r="E13" s="3">
        <v>22.340197652913044</v>
      </c>
      <c r="F13" s="3">
        <v>26.363688851293738</v>
      </c>
      <c r="G13" s="3">
        <v>38.798734925753074</v>
      </c>
      <c r="H13" s="3">
        <v>51.13082994886522</v>
      </c>
    </row>
    <row r="14" spans="1:18" x14ac:dyDescent="0.25">
      <c r="C14" s="7">
        <f t="shared" ref="C14:H14" si="2">21*C13/$B13</f>
        <v>22.436671364994993</v>
      </c>
      <c r="D14" s="7">
        <f t="shared" si="2"/>
        <v>25.403748319189798</v>
      </c>
      <c r="E14" s="7">
        <f t="shared" si="2"/>
        <v>27.596714747716113</v>
      </c>
      <c r="F14" s="7">
        <f t="shared" si="2"/>
        <v>32.566909757480495</v>
      </c>
      <c r="G14" s="7">
        <f t="shared" si="2"/>
        <v>47.927849025930264</v>
      </c>
      <c r="H14" s="7">
        <f t="shared" si="2"/>
        <v>63.161613466245264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60.042537340100239</v>
      </c>
      <c r="D16" s="3">
        <v>63.413049755897603</v>
      </c>
      <c r="E16" s="3">
        <v>65.660058033095837</v>
      </c>
      <c r="F16" s="3">
        <v>70.154074587492318</v>
      </c>
      <c r="G16" s="3">
        <v>80.640113214417454</v>
      </c>
      <c r="H16" s="3">
        <v>88.130140805078241</v>
      </c>
    </row>
    <row r="17" spans="1:14" x14ac:dyDescent="0.25">
      <c r="C17" s="7">
        <f t="shared" ref="C17:H17" si="3">21*C16/$B16</f>
        <v>74.170193184829714</v>
      </c>
      <c r="D17" s="7">
        <f t="shared" si="3"/>
        <v>78.33376734552057</v>
      </c>
      <c r="E17" s="7">
        <f t="shared" si="3"/>
        <v>81.109483452647808</v>
      </c>
      <c r="F17" s="7">
        <f t="shared" si="3"/>
        <v>86.66091566690227</v>
      </c>
      <c r="G17" s="7">
        <f t="shared" si="3"/>
        <v>99.614257500162736</v>
      </c>
      <c r="H17" s="7">
        <f t="shared" si="3"/>
        <v>108.86664452392017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194.81</v>
      </c>
      <c r="D19" s="3">
        <v>206.86399999999998</v>
      </c>
      <c r="E19" s="3">
        <v>218.91800000000001</v>
      </c>
      <c r="F19" s="3">
        <v>230.97199999999998</v>
      </c>
      <c r="G19" s="3">
        <v>243.02600000000001</v>
      </c>
      <c r="H19" s="3">
        <v>255.07999999999998</v>
      </c>
      <c r="I19" s="3">
        <v>267.13400000000001</v>
      </c>
      <c r="J19" s="3">
        <v>279.18799999999999</v>
      </c>
      <c r="K19" s="3">
        <v>291.24199999999996</v>
      </c>
      <c r="L19" s="3">
        <v>303.29599999999999</v>
      </c>
      <c r="M19" s="3">
        <v>315.35000000000002</v>
      </c>
      <c r="N19" s="3">
        <v>327.404</v>
      </c>
    </row>
    <row r="20" spans="1:14" x14ac:dyDescent="0.25">
      <c r="C20" s="7">
        <f>21*C19/$B19</f>
        <v>240.64764705882354</v>
      </c>
      <c r="D20" s="7">
        <f t="shared" ref="D20:N20" si="4">21*D19/$B19</f>
        <v>255.53788235294112</v>
      </c>
      <c r="E20" s="7">
        <f t="shared" si="4"/>
        <v>270.42811764705885</v>
      </c>
      <c r="F20" s="7">
        <f t="shared" si="4"/>
        <v>285.31835294117644</v>
      </c>
      <c r="G20" s="7">
        <f t="shared" si="4"/>
        <v>300.20858823529414</v>
      </c>
      <c r="H20" s="7">
        <f t="shared" si="4"/>
        <v>315.09882352941173</v>
      </c>
      <c r="I20" s="7">
        <f t="shared" si="4"/>
        <v>329.98905882352943</v>
      </c>
      <c r="J20" s="7">
        <f t="shared" si="4"/>
        <v>344.87929411764702</v>
      </c>
      <c r="K20" s="7">
        <f t="shared" si="4"/>
        <v>359.76952941176467</v>
      </c>
      <c r="L20" s="7">
        <f t="shared" si="4"/>
        <v>374.65976470588231</v>
      </c>
      <c r="M20" s="7">
        <f t="shared" si="4"/>
        <v>389.55</v>
      </c>
      <c r="N20" s="7">
        <f t="shared" si="4"/>
        <v>404.44023529411766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26.176393319999999</v>
      </c>
      <c r="D22" s="3">
        <v>35.153845650000001</v>
      </c>
      <c r="E22" s="3">
        <v>44.131297979999999</v>
      </c>
      <c r="F22" s="3">
        <v>53.108750309999998</v>
      </c>
      <c r="G22" s="3">
        <v>62.086202640000003</v>
      </c>
    </row>
    <row r="23" spans="1:14" x14ac:dyDescent="0.25">
      <c r="C23" s="7">
        <f>21*C22/$B22</f>
        <v>34.356516232499999</v>
      </c>
      <c r="D23" s="7">
        <f>21*D22/$B22</f>
        <v>46.139422415624999</v>
      </c>
      <c r="E23" s="7">
        <f>21*E22/$B22</f>
        <v>57.922328598749999</v>
      </c>
      <c r="F23" s="7">
        <f>21*F22/$B22</f>
        <v>69.705234781874992</v>
      </c>
      <c r="G23" s="7">
        <f>21*G22/$B22</f>
        <v>81.488140964999999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137</v>
      </c>
      <c r="D25" s="3">
        <v>282</v>
      </c>
    </row>
    <row r="26" spans="1:14" x14ac:dyDescent="0.25">
      <c r="C26" s="7">
        <f>21*C25/$B25</f>
        <v>130.77272727272728</v>
      </c>
      <c r="D26" s="7">
        <f>21*D25/$B25</f>
        <v>269.18181818181819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2C20-8627-480A-AF53-8D7476AB17FA}">
  <dimension ref="A1:R26"/>
  <sheetViews>
    <sheetView zoomScale="85" zoomScaleNormal="85" workbookViewId="0">
      <selection activeCell="C22" sqref="C22:G22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26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8" x14ac:dyDescent="0.25">
      <c r="C4" s="7">
        <f>21*C3/$B3</f>
        <v>0</v>
      </c>
      <c r="D4" s="7">
        <f t="shared" ref="D4:K4" si="0">21*D3/$B3</f>
        <v>0</v>
      </c>
      <c r="E4" s="7">
        <f t="shared" si="0"/>
        <v>0</v>
      </c>
      <c r="F4" s="7">
        <f t="shared" si="0"/>
        <v>0</v>
      </c>
      <c r="G4" s="7">
        <f t="shared" si="0"/>
        <v>0</v>
      </c>
      <c r="H4" s="7">
        <f t="shared" si="0"/>
        <v>0</v>
      </c>
      <c r="I4" s="7">
        <f t="shared" si="0"/>
        <v>0</v>
      </c>
      <c r="J4" s="7">
        <f t="shared" si="0"/>
        <v>0</v>
      </c>
      <c r="K4" s="7">
        <f t="shared" si="0"/>
        <v>0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498.37902129999998</v>
      </c>
      <c r="I6" s="3">
        <v>507.7250502</v>
      </c>
      <c r="J6" s="3">
        <v>517.07107900000005</v>
      </c>
      <c r="K6" s="3">
        <v>526.41710780000005</v>
      </c>
      <c r="L6" s="3">
        <v>535.76313660000005</v>
      </c>
      <c r="M6" s="3">
        <v>545.10916540000005</v>
      </c>
      <c r="N6" s="3">
        <v>554.45519420000005</v>
      </c>
      <c r="O6" s="3">
        <v>563.80122300000005</v>
      </c>
      <c r="P6" s="3">
        <v>573.14725180000005</v>
      </c>
      <c r="Q6" s="3">
        <v>582.49328060000005</v>
      </c>
      <c r="R6" s="3">
        <v>591.83930940000005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615.64467337058818</v>
      </c>
      <c r="I7" s="7">
        <f t="shared" si="1"/>
        <v>627.18976789411772</v>
      </c>
      <c r="J7" s="7">
        <f t="shared" si="1"/>
        <v>638.73486229411776</v>
      </c>
      <c r="K7" s="7">
        <f t="shared" si="1"/>
        <v>650.27995669411769</v>
      </c>
      <c r="L7" s="7">
        <f t="shared" si="1"/>
        <v>661.82505109411773</v>
      </c>
      <c r="M7" s="7">
        <f t="shared" si="1"/>
        <v>673.37014549411765</v>
      </c>
      <c r="N7" s="7">
        <f t="shared" si="1"/>
        <v>684.9152398941178</v>
      </c>
      <c r="O7" s="7">
        <f t="shared" si="1"/>
        <v>696.46033429411773</v>
      </c>
      <c r="P7" s="7">
        <f t="shared" si="1"/>
        <v>708.00542869411777</v>
      </c>
      <c r="Q7" s="7">
        <f t="shared" si="1"/>
        <v>719.55052309411769</v>
      </c>
      <c r="R7" s="7">
        <f t="shared" si="1"/>
        <v>731.09561749411762</v>
      </c>
    </row>
    <row r="8" spans="1:18" x14ac:dyDescent="0.25">
      <c r="A8" t="s">
        <v>69</v>
      </c>
      <c r="B8" s="3">
        <v>17</v>
      </c>
      <c r="C8" s="3">
        <v>525</v>
      </c>
      <c r="D8" s="3"/>
      <c r="E8" s="3">
        <v>525</v>
      </c>
      <c r="F8" s="3"/>
      <c r="G8" s="3">
        <v>525</v>
      </c>
      <c r="H8" s="3"/>
      <c r="I8" s="3"/>
      <c r="J8" s="3"/>
      <c r="K8" s="3"/>
      <c r="L8" s="3"/>
      <c r="M8" s="3">
        <v>761</v>
      </c>
      <c r="N8" s="3"/>
      <c r="O8" s="3"/>
      <c r="P8" s="3"/>
      <c r="Q8" s="3"/>
      <c r="R8" s="3"/>
    </row>
    <row r="9" spans="1:18" x14ac:dyDescent="0.25">
      <c r="C9" s="7">
        <f>21*C8/$B8</f>
        <v>648.52941176470586</v>
      </c>
      <c r="D9" s="7"/>
      <c r="E9" s="7">
        <f>21*E8/$B8</f>
        <v>648.52941176470586</v>
      </c>
      <c r="F9" s="7"/>
      <c r="G9" s="7">
        <f>21*G8/$B8</f>
        <v>648.52941176470586</v>
      </c>
      <c r="H9" s="7"/>
      <c r="I9" s="7"/>
      <c r="J9" s="7"/>
      <c r="K9" s="7"/>
      <c r="L9" s="7"/>
      <c r="M9" s="7">
        <f>21*M8/$B8</f>
        <v>940.05882352941171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1050</v>
      </c>
      <c r="D10" s="3"/>
      <c r="E10" s="3">
        <v>1050</v>
      </c>
      <c r="F10" s="3"/>
      <c r="G10" s="3"/>
      <c r="H10" s="3"/>
      <c r="I10" s="3">
        <v>1050</v>
      </c>
      <c r="J10" s="3"/>
      <c r="K10" s="3"/>
      <c r="L10" s="3">
        <v>811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1297.0588235294117</v>
      </c>
      <c r="D11" s="7"/>
      <c r="E11" s="7">
        <f>21*E10/$B10</f>
        <v>1297.0588235294117</v>
      </c>
      <c r="F11" s="7"/>
      <c r="G11" s="7"/>
      <c r="H11" s="7"/>
      <c r="I11" s="7">
        <f>21*I10/$B10</f>
        <v>1297.0588235294117</v>
      </c>
      <c r="J11" s="7"/>
      <c r="K11" s="7"/>
      <c r="L11" s="7">
        <f>21*L10/$B10</f>
        <v>1001.8235294117648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18" x14ac:dyDescent="0.25">
      <c r="C14" s="7">
        <f t="shared" ref="C14:H14" si="2">21*C13/$B13</f>
        <v>0</v>
      </c>
      <c r="D14" s="7">
        <f t="shared" si="2"/>
        <v>0</v>
      </c>
      <c r="E14" s="7">
        <f t="shared" si="2"/>
        <v>0</v>
      </c>
      <c r="F14" s="7">
        <f t="shared" si="2"/>
        <v>0</v>
      </c>
      <c r="G14" s="7">
        <f t="shared" si="2"/>
        <v>0</v>
      </c>
      <c r="H14" s="7">
        <f t="shared" si="2"/>
        <v>0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231</v>
      </c>
      <c r="D16" s="3">
        <v>231</v>
      </c>
      <c r="E16" s="3">
        <v>231</v>
      </c>
      <c r="F16" s="3">
        <v>231</v>
      </c>
      <c r="G16" s="3">
        <v>231</v>
      </c>
      <c r="H16" s="3">
        <v>231</v>
      </c>
    </row>
    <row r="17" spans="1:14" x14ac:dyDescent="0.25">
      <c r="C17" s="7">
        <f t="shared" ref="C17:H17" si="3">21*C16/$B16</f>
        <v>285.35294117647061</v>
      </c>
      <c r="D17" s="7">
        <f t="shared" si="3"/>
        <v>285.35294117647061</v>
      </c>
      <c r="E17" s="7">
        <f t="shared" si="3"/>
        <v>285.35294117647061</v>
      </c>
      <c r="F17" s="7">
        <f t="shared" si="3"/>
        <v>285.35294117647061</v>
      </c>
      <c r="G17" s="7">
        <f t="shared" si="3"/>
        <v>285.35294117647061</v>
      </c>
      <c r="H17" s="7">
        <f t="shared" si="3"/>
        <v>285.35294117647061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561.48522329817104</v>
      </c>
      <c r="D19" s="3">
        <v>579.20549707758596</v>
      </c>
      <c r="E19" s="3">
        <v>596.925770857001</v>
      </c>
      <c r="F19" s="3">
        <v>614.64604463641604</v>
      </c>
      <c r="G19" s="3">
        <v>632.36631841583096</v>
      </c>
      <c r="H19" s="3">
        <v>650.086592195246</v>
      </c>
      <c r="I19" s="3">
        <v>667.80686597466195</v>
      </c>
      <c r="J19" s="3">
        <v>685.52713975407698</v>
      </c>
      <c r="K19" s="3">
        <v>703.24741353349202</v>
      </c>
      <c r="L19" s="3">
        <v>720.96768731290695</v>
      </c>
      <c r="M19" s="3">
        <v>738.68796109232198</v>
      </c>
      <c r="N19" s="3">
        <v>756.40823487173702</v>
      </c>
    </row>
    <row r="20" spans="1:14" x14ac:dyDescent="0.25">
      <c r="C20" s="7">
        <f>21*C19/$B19</f>
        <v>693.59939348597595</v>
      </c>
      <c r="D20" s="7">
        <f t="shared" ref="D20:N20" si="4">21*D19/$B19</f>
        <v>715.48914344878267</v>
      </c>
      <c r="E20" s="7">
        <f t="shared" si="4"/>
        <v>737.3788934115895</v>
      </c>
      <c r="F20" s="7">
        <f t="shared" si="4"/>
        <v>759.26864337439622</v>
      </c>
      <c r="G20" s="7">
        <f t="shared" si="4"/>
        <v>781.15839333720305</v>
      </c>
      <c r="H20" s="7">
        <f t="shared" si="4"/>
        <v>803.04814330000977</v>
      </c>
      <c r="I20" s="7">
        <f t="shared" si="4"/>
        <v>824.93789326281774</v>
      </c>
      <c r="J20" s="7">
        <f t="shared" si="4"/>
        <v>846.82764322562457</v>
      </c>
      <c r="K20" s="7">
        <f t="shared" si="4"/>
        <v>868.71739318843129</v>
      </c>
      <c r="L20" s="7">
        <f t="shared" si="4"/>
        <v>890.60714315123801</v>
      </c>
      <c r="M20" s="7">
        <f t="shared" si="4"/>
        <v>912.49689311404484</v>
      </c>
      <c r="N20" s="7">
        <f t="shared" si="4"/>
        <v>934.38664307685156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163.50558028</v>
      </c>
      <c r="D22" s="3">
        <v>232.62140088999999</v>
      </c>
      <c r="E22" s="3">
        <v>301.73722149999998</v>
      </c>
      <c r="F22" s="3">
        <v>370.85304210999999</v>
      </c>
      <c r="G22" s="3">
        <v>439.96886272</v>
      </c>
    </row>
    <row r="23" spans="1:14" x14ac:dyDescent="0.25">
      <c r="C23" s="7">
        <f>21*C22/$B22</f>
        <v>214.60107411749999</v>
      </c>
      <c r="D23" s="7">
        <f>21*D22/$B22</f>
        <v>305.31558866812497</v>
      </c>
      <c r="E23" s="7">
        <f>21*E22/$B22</f>
        <v>396.03010321874996</v>
      </c>
      <c r="F23" s="7">
        <f>21*F22/$B22</f>
        <v>486.744617769375</v>
      </c>
      <c r="G23" s="7">
        <f>21*G22/$B22</f>
        <v>577.45913231999998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0</v>
      </c>
      <c r="D25" s="3">
        <v>0</v>
      </c>
    </row>
    <row r="26" spans="1:14" x14ac:dyDescent="0.25">
      <c r="C26" s="7">
        <f>21*C25/$B25</f>
        <v>0</v>
      </c>
      <c r="D26" s="7">
        <f>21*D25/$B25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4FE9-DE5D-472A-83CB-57303C8F927D}">
  <dimension ref="A1:R26"/>
  <sheetViews>
    <sheetView workbookViewId="0">
      <selection activeCell="C25" sqref="C25:D25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107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2529.2658159800499</v>
      </c>
      <c r="D3" s="3">
        <v>3026.8746772423601</v>
      </c>
      <c r="E3" s="3">
        <v>3524.4835385046799</v>
      </c>
      <c r="F3" s="3">
        <v>5556.1404932224104</v>
      </c>
      <c r="G3" s="3">
        <v>6053.7493544847293</v>
      </c>
      <c r="H3" s="3">
        <v>6551.35821574704</v>
      </c>
      <c r="I3" s="3">
        <v>7048.9670770093599</v>
      </c>
      <c r="J3" s="3">
        <v>9080.6240317270895</v>
      </c>
      <c r="K3" s="3">
        <v>11112.280986444821</v>
      </c>
    </row>
    <row r="4" spans="1:18" x14ac:dyDescent="0.25">
      <c r="C4" s="7">
        <f>21*C3/$B3</f>
        <v>3124.3871844459441</v>
      </c>
      <c r="D4" s="7">
        <f t="shared" ref="D4:K4" si="0">21*D3/$B3</f>
        <v>3739.0804836523275</v>
      </c>
      <c r="E4" s="7">
        <f t="shared" si="0"/>
        <v>4353.7737828587224</v>
      </c>
      <c r="F4" s="7">
        <f t="shared" si="0"/>
        <v>6863.467668098272</v>
      </c>
      <c r="G4" s="7">
        <f t="shared" si="0"/>
        <v>7478.160967304666</v>
      </c>
      <c r="H4" s="7">
        <f t="shared" si="0"/>
        <v>8092.854266511049</v>
      </c>
      <c r="I4" s="7">
        <f t="shared" si="0"/>
        <v>8707.5475657174447</v>
      </c>
      <c r="J4" s="7">
        <f t="shared" si="0"/>
        <v>11217.241450956994</v>
      </c>
      <c r="K4" s="7">
        <f t="shared" si="0"/>
        <v>13726.935336196544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14370.74898</v>
      </c>
      <c r="I6" s="3">
        <v>15136.909439999999</v>
      </c>
      <c r="J6" s="3">
        <v>15903.06991</v>
      </c>
      <c r="K6" s="3">
        <v>16669.230370000001</v>
      </c>
      <c r="L6" s="3">
        <v>17435.39083</v>
      </c>
      <c r="M6" s="3">
        <v>18201.551299999999</v>
      </c>
      <c r="N6" s="3">
        <v>18967.711759999998</v>
      </c>
      <c r="O6" s="3">
        <v>19733.872220000001</v>
      </c>
      <c r="P6" s="3">
        <v>20500.03268</v>
      </c>
      <c r="Q6" s="3">
        <v>21266.193149999999</v>
      </c>
      <c r="R6" s="3">
        <v>22032.353609999998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17752.101681176471</v>
      </c>
      <c r="I7" s="7">
        <f t="shared" si="1"/>
        <v>18698.535190588234</v>
      </c>
      <c r="J7" s="7">
        <f t="shared" si="1"/>
        <v>19644.968712352944</v>
      </c>
      <c r="K7" s="7">
        <f t="shared" si="1"/>
        <v>20591.402221764707</v>
      </c>
      <c r="L7" s="7">
        <f t="shared" si="1"/>
        <v>21537.83573117647</v>
      </c>
      <c r="M7" s="7">
        <f t="shared" si="1"/>
        <v>22484.269252941176</v>
      </c>
      <c r="N7" s="7">
        <f t="shared" si="1"/>
        <v>23430.702762352939</v>
      </c>
      <c r="O7" s="7">
        <f t="shared" si="1"/>
        <v>24377.136271764706</v>
      </c>
      <c r="P7" s="7">
        <f t="shared" si="1"/>
        <v>25323.569781176473</v>
      </c>
      <c r="Q7" s="7">
        <f t="shared" si="1"/>
        <v>26270.003302941175</v>
      </c>
      <c r="R7" s="7">
        <f t="shared" si="1"/>
        <v>27216.436812352942</v>
      </c>
    </row>
    <row r="8" spans="1:18" x14ac:dyDescent="0.25">
      <c r="A8" t="s">
        <v>69</v>
      </c>
      <c r="B8" s="3">
        <v>17</v>
      </c>
      <c r="C8" s="3">
        <v>11643</v>
      </c>
      <c r="D8" s="3"/>
      <c r="E8" s="3">
        <v>11643</v>
      </c>
      <c r="F8" s="3"/>
      <c r="G8" s="3">
        <v>11643</v>
      </c>
      <c r="H8" s="3"/>
      <c r="I8" s="3"/>
      <c r="J8" s="3"/>
      <c r="K8" s="3"/>
      <c r="L8" s="3"/>
      <c r="M8" s="3">
        <v>20622</v>
      </c>
      <c r="N8" s="3"/>
      <c r="O8" s="3"/>
      <c r="P8" s="3"/>
      <c r="Q8" s="3"/>
      <c r="R8" s="3"/>
    </row>
    <row r="9" spans="1:18" x14ac:dyDescent="0.25">
      <c r="C9" s="7">
        <f>21*C8/$B8</f>
        <v>14382.529411764706</v>
      </c>
      <c r="D9" s="7"/>
      <c r="E9" s="7">
        <f>21*E8/$B8</f>
        <v>14382.529411764706</v>
      </c>
      <c r="F9" s="7"/>
      <c r="G9" s="7">
        <f>21*G8/$B8</f>
        <v>14382.529411764706</v>
      </c>
      <c r="H9" s="7"/>
      <c r="I9" s="7"/>
      <c r="J9" s="7"/>
      <c r="K9" s="7"/>
      <c r="L9" s="7"/>
      <c r="M9" s="7">
        <f>21*M8/$B8</f>
        <v>25474.235294117647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23286</v>
      </c>
      <c r="D10" s="3"/>
      <c r="E10" s="3">
        <v>23286</v>
      </c>
      <c r="F10" s="3"/>
      <c r="G10" s="3"/>
      <c r="H10" s="3"/>
      <c r="I10" s="3">
        <v>23286</v>
      </c>
      <c r="J10" s="3"/>
      <c r="K10" s="3"/>
      <c r="L10" s="3">
        <v>25934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28765.058823529413</v>
      </c>
      <c r="D11" s="7"/>
      <c r="E11" s="7">
        <f>21*E10/$B10</f>
        <v>28765.058823529413</v>
      </c>
      <c r="F11" s="7"/>
      <c r="G11" s="7"/>
      <c r="H11" s="7"/>
      <c r="I11" s="7">
        <f>21*I10/$B10</f>
        <v>28765.058823529413</v>
      </c>
      <c r="J11" s="7"/>
      <c r="K11" s="7"/>
      <c r="L11" s="7">
        <f>21*L10/$B10</f>
        <v>32036.117647058825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2997.4315164666855</v>
      </c>
      <c r="D13" s="3">
        <v>3393.8187447505134</v>
      </c>
      <c r="E13" s="3">
        <v>3686.7885253603754</v>
      </c>
      <c r="F13" s="3">
        <v>4350.7827035920154</v>
      </c>
      <c r="G13" s="3">
        <v>6402.930401294514</v>
      </c>
      <c r="H13" s="3">
        <v>8438.0881528614591</v>
      </c>
    </row>
    <row r="14" spans="1:18" x14ac:dyDescent="0.25">
      <c r="C14" s="7">
        <f t="shared" ref="C14:H14" si="2">21*C13/$B13</f>
        <v>3702.7095203411995</v>
      </c>
      <c r="D14" s="7">
        <f t="shared" si="2"/>
        <v>4192.3643317506339</v>
      </c>
      <c r="E14" s="7">
        <f t="shared" si="2"/>
        <v>4554.2681783863454</v>
      </c>
      <c r="F14" s="7">
        <f t="shared" si="2"/>
        <v>5374.4962809077833</v>
      </c>
      <c r="G14" s="7">
        <f t="shared" si="2"/>
        <v>7909.5022604226351</v>
      </c>
      <c r="H14" s="7">
        <f t="shared" si="2"/>
        <v>10423.520659417098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13392.007286757324</v>
      </c>
      <c r="D16" s="3">
        <v>14060.059584828256</v>
      </c>
      <c r="E16" s="3">
        <v>14505.427783542209</v>
      </c>
      <c r="F16" s="3">
        <v>15396.164180970118</v>
      </c>
      <c r="G16" s="3">
        <v>17474.549108301908</v>
      </c>
      <c r="H16" s="3">
        <v>18959.109770681753</v>
      </c>
    </row>
    <row r="17" spans="1:14" x14ac:dyDescent="0.25">
      <c r="C17" s="7">
        <f t="shared" ref="C17:H17" si="3">21*C16/$B16</f>
        <v>16543.06782481787</v>
      </c>
      <c r="D17" s="7">
        <f t="shared" si="3"/>
        <v>17368.308898905492</v>
      </c>
      <c r="E17" s="7">
        <f t="shared" si="3"/>
        <v>17918.469614963906</v>
      </c>
      <c r="F17" s="7">
        <f t="shared" si="3"/>
        <v>19018.791047080736</v>
      </c>
      <c r="G17" s="7">
        <f t="shared" si="3"/>
        <v>21586.207722020004</v>
      </c>
      <c r="H17" s="7">
        <f t="shared" si="3"/>
        <v>23420.076775548048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39132.905360588702</v>
      </c>
      <c r="D19" s="3">
        <v>39420.155656067902</v>
      </c>
      <c r="E19" s="3">
        <v>39707.405951547102</v>
      </c>
      <c r="F19" s="3">
        <v>39994.656247026302</v>
      </c>
      <c r="G19" s="3">
        <v>40281.906542505501</v>
      </c>
      <c r="H19" s="3">
        <v>40569.156837984803</v>
      </c>
      <c r="I19" s="3">
        <v>40856.407133464003</v>
      </c>
      <c r="J19" s="3">
        <v>41143.657428943203</v>
      </c>
      <c r="K19" s="3">
        <v>41430.907724422403</v>
      </c>
      <c r="L19" s="3">
        <v>41718.158019901603</v>
      </c>
      <c r="M19" s="3">
        <v>42005.408315380802</v>
      </c>
      <c r="N19" s="3">
        <v>42292.658610860002</v>
      </c>
    </row>
    <row r="20" spans="1:14" x14ac:dyDescent="0.25">
      <c r="C20" s="7">
        <f>21*C19/$B19</f>
        <v>48340.647798374281</v>
      </c>
      <c r="D20" s="7">
        <f t="shared" ref="D20:N20" si="4">21*D19/$B19</f>
        <v>48695.486398672118</v>
      </c>
      <c r="E20" s="7">
        <f t="shared" si="4"/>
        <v>49050.324998969954</v>
      </c>
      <c r="F20" s="7">
        <f t="shared" si="4"/>
        <v>49405.163599267784</v>
      </c>
      <c r="G20" s="7">
        <f t="shared" si="4"/>
        <v>49760.002199565621</v>
      </c>
      <c r="H20" s="7">
        <f t="shared" si="4"/>
        <v>50114.840799863581</v>
      </c>
      <c r="I20" s="7">
        <f t="shared" si="4"/>
        <v>50469.679400161418</v>
      </c>
      <c r="J20" s="7">
        <f t="shared" si="4"/>
        <v>50824.518000459248</v>
      </c>
      <c r="K20" s="7">
        <f t="shared" si="4"/>
        <v>51179.356600757084</v>
      </c>
      <c r="L20" s="7">
        <f t="shared" si="4"/>
        <v>51534.195201054921</v>
      </c>
      <c r="M20" s="7">
        <f t="shared" si="4"/>
        <v>51889.033801352758</v>
      </c>
      <c r="N20" s="7">
        <f t="shared" si="4"/>
        <v>52243.872401650588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5736.2318239999904</v>
      </c>
      <c r="D22" s="3">
        <v>7648.3125799999898</v>
      </c>
      <c r="E22" s="3">
        <v>9560.3933359999992</v>
      </c>
      <c r="F22" s="3">
        <v>11472.474092</v>
      </c>
      <c r="G22" s="3">
        <v>13384.554848</v>
      </c>
    </row>
    <row r="23" spans="1:14" x14ac:dyDescent="0.25">
      <c r="C23" s="7">
        <f>21*C22/$B22</f>
        <v>7528.8042689999875</v>
      </c>
      <c r="D23" s="7">
        <f>21*D22/$B22</f>
        <v>10038.410261249986</v>
      </c>
      <c r="E23" s="7">
        <f>21*E22/$B22</f>
        <v>12548.016253499998</v>
      </c>
      <c r="F23" s="7">
        <f>21*F22/$B22</f>
        <v>15057.622245750001</v>
      </c>
      <c r="G23" s="7">
        <f>21*G22/$B22</f>
        <v>17567.228238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11119</v>
      </c>
      <c r="D25" s="3">
        <v>21553</v>
      </c>
    </row>
    <row r="26" spans="1:14" x14ac:dyDescent="0.25">
      <c r="C26" s="7">
        <f>21*C25/$B25</f>
        <v>10613.59090909091</v>
      </c>
      <c r="D26" s="7">
        <f>21*D25/$B25</f>
        <v>20573.31818181818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E22A-1D05-4BFE-B06D-B8B497B2EA33}">
  <dimension ref="A1:R26"/>
  <sheetViews>
    <sheetView workbookViewId="0">
      <selection activeCell="C25" sqref="C25:D25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107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89.691673861799998</v>
      </c>
      <c r="D3" s="3">
        <v>115.44127769281501</v>
      </c>
      <c r="E3" s="3">
        <v>141.19088152383</v>
      </c>
      <c r="F3" s="3">
        <v>205.132951554615</v>
      </c>
      <c r="G3" s="3">
        <v>230.88255538563001</v>
      </c>
      <c r="H3" s="3">
        <v>256.63215921664499</v>
      </c>
      <c r="I3" s="3">
        <v>282.38176304766</v>
      </c>
      <c r="J3" s="3">
        <v>346.32383307844503</v>
      </c>
      <c r="K3" s="3">
        <v>410.26590310923001</v>
      </c>
    </row>
    <row r="4" spans="1:18" x14ac:dyDescent="0.25">
      <c r="C4" s="7">
        <f>21*C3/$B3</f>
        <v>110.7955971234</v>
      </c>
      <c r="D4" s="7">
        <f t="shared" ref="D4:K4" si="0">21*D3/$B3</f>
        <v>142.60393126759502</v>
      </c>
      <c r="E4" s="7">
        <f t="shared" si="0"/>
        <v>174.41226541179</v>
      </c>
      <c r="F4" s="7">
        <f t="shared" si="0"/>
        <v>253.39952839099502</v>
      </c>
      <c r="G4" s="7">
        <f t="shared" si="0"/>
        <v>285.20786253519003</v>
      </c>
      <c r="H4" s="7">
        <f t="shared" si="0"/>
        <v>317.01619667938502</v>
      </c>
      <c r="I4" s="7">
        <f t="shared" si="0"/>
        <v>348.82453082358001</v>
      </c>
      <c r="J4" s="7">
        <f t="shared" si="0"/>
        <v>427.81179380278502</v>
      </c>
      <c r="K4" s="7">
        <f t="shared" si="0"/>
        <v>506.79905678199003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286.17283213938572</v>
      </c>
      <c r="I6" s="3">
        <v>300.47524260147065</v>
      </c>
      <c r="J6" s="3">
        <v>314.77765301086401</v>
      </c>
      <c r="K6" s="3">
        <v>329.08006342025732</v>
      </c>
      <c r="L6" s="3">
        <v>343.38247382965068</v>
      </c>
      <c r="M6" s="3">
        <v>357.68488429173556</v>
      </c>
      <c r="N6" s="3">
        <v>371.98729470112892</v>
      </c>
      <c r="O6" s="3">
        <v>386.28970511052222</v>
      </c>
      <c r="P6" s="3">
        <v>400.59211551991552</v>
      </c>
      <c r="Q6" s="3">
        <v>414.89452598200052</v>
      </c>
      <c r="R6" s="3">
        <v>429.19693639139382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353.50761617218234</v>
      </c>
      <c r="I7" s="7">
        <f t="shared" si="1"/>
        <v>371.17529968416966</v>
      </c>
      <c r="J7" s="7">
        <f t="shared" si="1"/>
        <v>388.84298313106729</v>
      </c>
      <c r="K7" s="7">
        <f t="shared" si="1"/>
        <v>406.51066657796491</v>
      </c>
      <c r="L7" s="7">
        <f t="shared" si="1"/>
        <v>424.1783500248626</v>
      </c>
      <c r="M7" s="7">
        <f t="shared" si="1"/>
        <v>441.8460335368498</v>
      </c>
      <c r="N7" s="7">
        <f t="shared" si="1"/>
        <v>459.51371698374749</v>
      </c>
      <c r="O7" s="7">
        <f t="shared" si="1"/>
        <v>477.18140043064511</v>
      </c>
      <c r="P7" s="7">
        <f t="shared" si="1"/>
        <v>494.84908387754268</v>
      </c>
      <c r="Q7" s="7">
        <f t="shared" si="1"/>
        <v>512.51676738953006</v>
      </c>
      <c r="R7" s="7">
        <f t="shared" si="1"/>
        <v>530.18445083642757</v>
      </c>
    </row>
    <row r="8" spans="1:18" x14ac:dyDescent="0.25">
      <c r="A8" t="s">
        <v>69</v>
      </c>
      <c r="B8" s="3">
        <v>17</v>
      </c>
      <c r="C8" s="3">
        <v>184.42066650000001</v>
      </c>
      <c r="D8" s="3"/>
      <c r="E8" s="3">
        <v>184.42066650000001</v>
      </c>
      <c r="F8" s="3"/>
      <c r="G8" s="3">
        <v>273.99641880000001</v>
      </c>
      <c r="H8" s="3"/>
      <c r="I8" s="3"/>
      <c r="J8" s="3"/>
      <c r="K8" s="3"/>
      <c r="L8" s="3"/>
      <c r="M8" s="3">
        <v>474.22457100000003</v>
      </c>
      <c r="N8" s="3"/>
      <c r="O8" s="3"/>
      <c r="P8" s="3"/>
      <c r="Q8" s="3"/>
      <c r="R8" s="3"/>
    </row>
    <row r="9" spans="1:18" x14ac:dyDescent="0.25">
      <c r="C9" s="7">
        <f>21*C8/$B8</f>
        <v>227.81376449999999</v>
      </c>
      <c r="D9" s="7"/>
      <c r="E9" s="7">
        <f>21*E8/$B8</f>
        <v>227.81376449999999</v>
      </c>
      <c r="F9" s="7"/>
      <c r="G9" s="7">
        <f>21*G8/$B8</f>
        <v>338.46616440000003</v>
      </c>
      <c r="H9" s="7"/>
      <c r="I9" s="7"/>
      <c r="J9" s="7"/>
      <c r="K9" s="7"/>
      <c r="L9" s="7"/>
      <c r="M9" s="7">
        <f>21*M8/$B8</f>
        <v>585.80682300000001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368.84133300000002</v>
      </c>
      <c r="D10" s="3"/>
      <c r="E10" s="3">
        <v>368.84133300000002</v>
      </c>
      <c r="F10" s="3"/>
      <c r="G10" s="3"/>
      <c r="H10" s="3"/>
      <c r="I10" s="3">
        <v>368.84133300000002</v>
      </c>
      <c r="J10" s="3"/>
      <c r="K10" s="3"/>
      <c r="L10" s="3">
        <v>605.95361850000006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455.62752899999998</v>
      </c>
      <c r="D11" s="7"/>
      <c r="E11" s="7">
        <f>21*E10/$B10</f>
        <v>455.62752899999998</v>
      </c>
      <c r="F11" s="7"/>
      <c r="G11" s="7"/>
      <c r="H11" s="7"/>
      <c r="I11" s="7">
        <f>21*I10/$B10</f>
        <v>455.62752899999998</v>
      </c>
      <c r="J11" s="7"/>
      <c r="K11" s="7"/>
      <c r="L11" s="7">
        <f>21*L10/$B10</f>
        <v>748.53094050000004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75.774883800000012</v>
      </c>
      <c r="D13" s="3">
        <v>82.450145896888003</v>
      </c>
      <c r="E13" s="3">
        <v>90.929860560000009</v>
      </c>
      <c r="F13" s="3">
        <v>103.55900786000001</v>
      </c>
      <c r="G13" s="3">
        <v>131.34313192000002</v>
      </c>
      <c r="H13" s="3">
        <v>154.07559706000001</v>
      </c>
    </row>
    <row r="14" spans="1:18" x14ac:dyDescent="0.25">
      <c r="C14" s="7">
        <f t="shared" ref="C14:H14" si="2">21*C13/$B13</f>
        <v>93.604268223529417</v>
      </c>
      <c r="D14" s="7">
        <f t="shared" si="2"/>
        <v>101.85018022556753</v>
      </c>
      <c r="E14" s="7">
        <f t="shared" si="2"/>
        <v>112.3251218682353</v>
      </c>
      <c r="F14" s="7">
        <f t="shared" si="2"/>
        <v>127.92583323882354</v>
      </c>
      <c r="G14" s="7">
        <f t="shared" si="2"/>
        <v>162.24739825411766</v>
      </c>
      <c r="H14" s="7">
        <f t="shared" si="2"/>
        <v>190.32867872117649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331.74527400838201</v>
      </c>
      <c r="D16" s="3">
        <v>383.73830752368002</v>
      </c>
      <c r="E16" s="3">
        <v>418.40032986721201</v>
      </c>
      <c r="F16" s="3">
        <v>487.7243745542761</v>
      </c>
      <c r="G16" s="3">
        <v>649.48047882409207</v>
      </c>
      <c r="H16" s="3">
        <v>765.02055330253199</v>
      </c>
    </row>
    <row r="17" spans="1:14" x14ac:dyDescent="0.25">
      <c r="C17" s="7">
        <f t="shared" ref="C17:H17" si="3">21*C16/$B16</f>
        <v>409.80298553976598</v>
      </c>
      <c r="D17" s="7">
        <f t="shared" si="3"/>
        <v>474.02967399983999</v>
      </c>
      <c r="E17" s="7">
        <f t="shared" si="3"/>
        <v>516.84746630655604</v>
      </c>
      <c r="F17" s="7">
        <f t="shared" si="3"/>
        <v>602.48305091998816</v>
      </c>
      <c r="G17" s="7">
        <f t="shared" si="3"/>
        <v>802.29941501799601</v>
      </c>
      <c r="H17" s="7">
        <f t="shared" si="3"/>
        <v>945.02538937371605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1309.9795128637502</v>
      </c>
      <c r="D19" s="3">
        <v>1336.4544168303</v>
      </c>
      <c r="E19" s="3">
        <v>1362.9293207968501</v>
      </c>
      <c r="F19" s="3">
        <v>1389.4042247634002</v>
      </c>
      <c r="G19" s="3">
        <v>1415.8791287299503</v>
      </c>
      <c r="H19" s="3">
        <v>1442.3540326965001</v>
      </c>
      <c r="I19" s="3">
        <v>1468.8289366630502</v>
      </c>
      <c r="J19" s="3">
        <v>1495.3038406296</v>
      </c>
      <c r="K19" s="3">
        <v>1521.7787445961501</v>
      </c>
      <c r="L19" s="3">
        <v>1548.2536485626999</v>
      </c>
      <c r="M19" s="3">
        <v>1574.7285525292502</v>
      </c>
      <c r="N19" s="3">
        <v>1601.2034564958001</v>
      </c>
    </row>
    <row r="20" spans="1:14" x14ac:dyDescent="0.25">
      <c r="C20" s="7">
        <f>21*C19/$B19</f>
        <v>1618.2099864787504</v>
      </c>
      <c r="D20" s="7">
        <f t="shared" ref="D20:N20" si="4">21*D19/$B19</f>
        <v>1650.9142796139001</v>
      </c>
      <c r="E20" s="7">
        <f t="shared" si="4"/>
        <v>1683.6185727490501</v>
      </c>
      <c r="F20" s="7">
        <f t="shared" si="4"/>
        <v>1716.3228658842002</v>
      </c>
      <c r="G20" s="7">
        <f t="shared" si="4"/>
        <v>1749.0271590193502</v>
      </c>
      <c r="H20" s="7">
        <f t="shared" si="4"/>
        <v>1781.7314521544999</v>
      </c>
      <c r="I20" s="7">
        <f t="shared" si="4"/>
        <v>1814.4357452896502</v>
      </c>
      <c r="J20" s="7">
        <f t="shared" si="4"/>
        <v>1847.1400384248</v>
      </c>
      <c r="K20" s="7">
        <f t="shared" si="4"/>
        <v>1879.84433155995</v>
      </c>
      <c r="L20" s="7">
        <f t="shared" si="4"/>
        <v>1912.5486246951</v>
      </c>
      <c r="M20" s="7">
        <f t="shared" si="4"/>
        <v>1945.2529178302502</v>
      </c>
      <c r="N20" s="7">
        <f t="shared" si="4"/>
        <v>1977.9572109654002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87.458704132181353</v>
      </c>
      <c r="D22" s="3">
        <v>117.45352952296166</v>
      </c>
      <c r="E22" s="3">
        <v>147.44835491374246</v>
      </c>
      <c r="F22" s="3">
        <v>177.44318030452277</v>
      </c>
      <c r="G22" s="3">
        <v>207.43800569530305</v>
      </c>
    </row>
    <row r="23" spans="1:14" x14ac:dyDescent="0.25">
      <c r="C23" s="7">
        <f>21*C22/$B22</f>
        <v>114.78954917348803</v>
      </c>
      <c r="D23" s="7">
        <f>21*D22/$B22</f>
        <v>154.15775749888718</v>
      </c>
      <c r="E23" s="7">
        <f>21*E22/$B22</f>
        <v>193.52596582428697</v>
      </c>
      <c r="F23" s="7">
        <f>21*F22/$B22</f>
        <v>232.89417414968614</v>
      </c>
      <c r="G23" s="7">
        <f>21*G22/$B22</f>
        <v>272.26238247508525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195.75178315000002</v>
      </c>
      <c r="D25" s="3">
        <v>384.93640970400003</v>
      </c>
    </row>
    <row r="26" spans="1:14" x14ac:dyDescent="0.25">
      <c r="C26" s="7">
        <f>21*C25/$B25</f>
        <v>186.85397482500002</v>
      </c>
      <c r="D26" s="7">
        <f>21*D25/$B25</f>
        <v>367.43930017200006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BF79-DBE5-42FA-A22C-CB30B9FEAD90}">
  <dimension ref="A1:R26"/>
  <sheetViews>
    <sheetView workbookViewId="0">
      <selection activeCell="C25" sqref="C25:D25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107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1.8520489605813399</v>
      </c>
      <c r="D3" s="3">
        <v>2.18811427330813</v>
      </c>
      <c r="E3" s="3">
        <v>2.5241795860349301</v>
      </c>
      <c r="F3" s="3">
        <v>4.0401632338894702</v>
      </c>
      <c r="G3" s="3">
        <v>4.3762285466162698</v>
      </c>
      <c r="H3" s="3">
        <v>4.7122938593430597</v>
      </c>
      <c r="I3" s="3">
        <v>5.0483591720698602</v>
      </c>
      <c r="J3" s="3">
        <v>6.5643428199244003</v>
      </c>
      <c r="K3" s="3">
        <v>8.0803264677789404</v>
      </c>
    </row>
    <row r="4" spans="1:18" x14ac:dyDescent="0.25">
      <c r="C4" s="7">
        <f>21*C3/$B3</f>
        <v>2.2878251866004788</v>
      </c>
      <c r="D4" s="7">
        <f t="shared" ref="D4:K4" si="0">21*D3/$B3</f>
        <v>2.7029646905571019</v>
      </c>
      <c r="E4" s="7">
        <f t="shared" si="0"/>
        <v>3.1181041945137373</v>
      </c>
      <c r="F4" s="7">
        <f t="shared" si="0"/>
        <v>4.9907898771575807</v>
      </c>
      <c r="G4" s="7">
        <f t="shared" si="0"/>
        <v>5.4059293811142153</v>
      </c>
      <c r="H4" s="7">
        <f t="shared" si="0"/>
        <v>5.8210688850708383</v>
      </c>
      <c r="I4" s="7">
        <f t="shared" si="0"/>
        <v>6.2362083890274747</v>
      </c>
      <c r="J4" s="7">
        <f t="shared" si="0"/>
        <v>8.1088940716713171</v>
      </c>
      <c r="K4" s="7">
        <f t="shared" si="0"/>
        <v>9.9815797543151614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627.85362859999998</v>
      </c>
      <c r="I6" s="3">
        <v>677.02533189999997</v>
      </c>
      <c r="J6" s="3">
        <v>726.19703519999996</v>
      </c>
      <c r="K6" s="3">
        <v>775.36873849999995</v>
      </c>
      <c r="L6" s="3">
        <v>824.54044190000002</v>
      </c>
      <c r="M6" s="3">
        <v>873.71214520000001</v>
      </c>
      <c r="N6" s="3">
        <v>922.8838485</v>
      </c>
      <c r="O6" s="3">
        <v>972.05555179999999</v>
      </c>
      <c r="P6" s="3">
        <v>1021.227255</v>
      </c>
      <c r="Q6" s="3">
        <v>1070.398958</v>
      </c>
      <c r="R6" s="3">
        <v>1119.5706620000001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775.58389415294107</v>
      </c>
      <c r="I7" s="7">
        <f t="shared" si="1"/>
        <v>836.32540999411765</v>
      </c>
      <c r="J7" s="7">
        <f t="shared" si="1"/>
        <v>897.06692583529411</v>
      </c>
      <c r="K7" s="7">
        <f t="shared" si="1"/>
        <v>957.80844167647058</v>
      </c>
      <c r="L7" s="7">
        <f t="shared" si="1"/>
        <v>1018.5499576411765</v>
      </c>
      <c r="M7" s="7">
        <f t="shared" si="1"/>
        <v>1079.291473482353</v>
      </c>
      <c r="N7" s="7">
        <f t="shared" si="1"/>
        <v>1140.0329893235294</v>
      </c>
      <c r="O7" s="7">
        <f t="shared" si="1"/>
        <v>1200.7745051647057</v>
      </c>
      <c r="P7" s="7">
        <f t="shared" si="1"/>
        <v>1261.5160208823529</v>
      </c>
      <c r="Q7" s="7">
        <f t="shared" si="1"/>
        <v>1322.2575363529413</v>
      </c>
      <c r="R7" s="7">
        <f t="shared" si="1"/>
        <v>1382.9990530588236</v>
      </c>
    </row>
    <row r="8" spans="1:18" x14ac:dyDescent="0.25">
      <c r="A8" t="s">
        <v>69</v>
      </c>
      <c r="B8" s="3">
        <v>17</v>
      </c>
      <c r="C8" s="3">
        <v>494</v>
      </c>
      <c r="D8" s="3"/>
      <c r="E8" s="3">
        <v>494</v>
      </c>
      <c r="F8" s="3"/>
      <c r="G8" s="3">
        <v>494</v>
      </c>
      <c r="H8" s="3"/>
      <c r="I8" s="3"/>
      <c r="J8" s="3"/>
      <c r="K8" s="3"/>
      <c r="L8" s="3"/>
      <c r="M8" s="3">
        <v>509</v>
      </c>
      <c r="N8" s="3"/>
      <c r="O8" s="3"/>
      <c r="P8" s="3"/>
      <c r="Q8" s="3"/>
      <c r="R8" s="3"/>
    </row>
    <row r="9" spans="1:18" x14ac:dyDescent="0.25">
      <c r="C9" s="7">
        <f>21*C8/$B8</f>
        <v>610.23529411764707</v>
      </c>
      <c r="D9" s="7"/>
      <c r="E9" s="7">
        <f>21*E8/$B8</f>
        <v>610.23529411764707</v>
      </c>
      <c r="F9" s="7"/>
      <c r="G9" s="7">
        <f>21*G8/$B8</f>
        <v>610.23529411764707</v>
      </c>
      <c r="H9" s="7"/>
      <c r="I9" s="7"/>
      <c r="J9" s="7"/>
      <c r="K9" s="7"/>
      <c r="L9" s="7"/>
      <c r="M9" s="7">
        <f>21*M8/$B8</f>
        <v>628.76470588235293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989</v>
      </c>
      <c r="D10" s="3"/>
      <c r="E10" s="3">
        <v>989</v>
      </c>
      <c r="F10" s="3"/>
      <c r="G10" s="3"/>
      <c r="H10" s="3"/>
      <c r="I10" s="3">
        <v>989</v>
      </c>
      <c r="J10" s="3"/>
      <c r="K10" s="3"/>
      <c r="L10" s="3">
        <v>926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1221.7058823529412</v>
      </c>
      <c r="D11" s="7"/>
      <c r="E11" s="7">
        <f>21*E10/$B10</f>
        <v>1221.7058823529412</v>
      </c>
      <c r="F11" s="7"/>
      <c r="G11" s="7"/>
      <c r="H11" s="7"/>
      <c r="I11" s="7">
        <f>21*I10/$B10</f>
        <v>1221.7058823529412</v>
      </c>
      <c r="J11" s="7"/>
      <c r="K11" s="7"/>
      <c r="L11" s="7">
        <f>21*L10/$B10</f>
        <v>1143.8823529411766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45.082785321022541</v>
      </c>
      <c r="D13" s="3">
        <v>51.044636398701229</v>
      </c>
      <c r="E13" s="3">
        <v>55.451040232190877</v>
      </c>
      <c r="F13" s="3">
        <v>65.437826194497788</v>
      </c>
      <c r="G13" s="3">
        <v>96.30309654156116</v>
      </c>
      <c r="H13" s="3">
        <v>126.91283007651155</v>
      </c>
    </row>
    <row r="14" spans="1:18" x14ac:dyDescent="0.25">
      <c r="C14" s="7">
        <f t="shared" ref="C14:H14" si="2">21*C13/$B13</f>
        <v>55.690499514204312</v>
      </c>
      <c r="D14" s="7">
        <f t="shared" si="2"/>
        <v>63.055139080748575</v>
      </c>
      <c r="E14" s="7">
        <f t="shared" si="2"/>
        <v>68.498343816235788</v>
      </c>
      <c r="F14" s="7">
        <f t="shared" si="2"/>
        <v>80.83496176967374</v>
      </c>
      <c r="G14" s="7">
        <f t="shared" si="2"/>
        <v>118.96264866898731</v>
      </c>
      <c r="H14" s="7">
        <f t="shared" si="2"/>
        <v>156.77467244745546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74.558700551565366</v>
      </c>
      <c r="D16" s="3">
        <v>95.953030449121613</v>
      </c>
      <c r="E16" s="3">
        <v>110.21591704749245</v>
      </c>
      <c r="F16" s="3">
        <v>138.74169024423418</v>
      </c>
      <c r="G16" s="3">
        <v>205.3018277032981</v>
      </c>
      <c r="H16" s="3">
        <v>252.84478303120085</v>
      </c>
    </row>
    <row r="17" spans="1:14" x14ac:dyDescent="0.25">
      <c r="C17" s="7">
        <f t="shared" ref="C17:H17" si="3">21*C16/$B16</f>
        <v>92.101924210757218</v>
      </c>
      <c r="D17" s="7">
        <f t="shared" si="3"/>
        <v>118.53021408420905</v>
      </c>
      <c r="E17" s="7">
        <f t="shared" si="3"/>
        <v>136.14907399984364</v>
      </c>
      <c r="F17" s="7">
        <f t="shared" si="3"/>
        <v>171.38679383111281</v>
      </c>
      <c r="G17" s="7">
        <f t="shared" si="3"/>
        <v>253.60814010407412</v>
      </c>
      <c r="H17" s="7">
        <f t="shared" si="3"/>
        <v>312.33767315618928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74.352800454416894</v>
      </c>
      <c r="D19" s="3">
        <v>76.343482855387293</v>
      </c>
      <c r="E19" s="3">
        <v>78.334165256357593</v>
      </c>
      <c r="F19" s="3">
        <v>80.324847657327993</v>
      </c>
      <c r="G19" s="3">
        <v>82.315530058298293</v>
      </c>
      <c r="H19" s="3">
        <v>84.306212459268707</v>
      </c>
      <c r="I19" s="3">
        <v>86.296894860239107</v>
      </c>
      <c r="J19" s="3">
        <v>88.287577261209407</v>
      </c>
      <c r="K19" s="3">
        <v>90.278259662179806</v>
      </c>
      <c r="L19" s="3">
        <v>92.268942063150206</v>
      </c>
      <c r="M19" s="3">
        <v>94.259624464120506</v>
      </c>
      <c r="N19" s="3">
        <v>96.250306865090906</v>
      </c>
    </row>
    <row r="20" spans="1:14" x14ac:dyDescent="0.25">
      <c r="C20" s="7">
        <f>21*C19/$B19</f>
        <v>91.847577031926761</v>
      </c>
      <c r="D20" s="7">
        <f t="shared" ref="D20:N20" si="4">21*D19/$B19</f>
        <v>94.306655291949014</v>
      </c>
      <c r="E20" s="7">
        <f t="shared" si="4"/>
        <v>96.765733551971138</v>
      </c>
      <c r="F20" s="7">
        <f t="shared" si="4"/>
        <v>99.224811811993391</v>
      </c>
      <c r="G20" s="7">
        <f t="shared" si="4"/>
        <v>101.68389007201553</v>
      </c>
      <c r="H20" s="7">
        <f t="shared" si="4"/>
        <v>104.14296833203782</v>
      </c>
      <c r="I20" s="7">
        <f t="shared" si="4"/>
        <v>106.60204659206008</v>
      </c>
      <c r="J20" s="7">
        <f t="shared" si="4"/>
        <v>109.0611248520822</v>
      </c>
      <c r="K20" s="7">
        <f t="shared" si="4"/>
        <v>111.52020311210447</v>
      </c>
      <c r="L20" s="7">
        <f t="shared" si="4"/>
        <v>113.97928137212672</v>
      </c>
      <c r="M20" s="7">
        <f t="shared" si="4"/>
        <v>116.43835963214886</v>
      </c>
      <c r="N20" s="7">
        <f t="shared" si="4"/>
        <v>118.89743789217111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5.7455816999999998</v>
      </c>
      <c r="D22" s="3">
        <v>14.460407050000001</v>
      </c>
      <c r="E22" s="3">
        <v>23.175232399999999</v>
      </c>
      <c r="F22" s="3">
        <v>31.89005775</v>
      </c>
      <c r="G22" s="3">
        <v>40.604883100000002</v>
      </c>
    </row>
    <row r="23" spans="1:14" x14ac:dyDescent="0.25">
      <c r="C23" s="7">
        <f>21*C22/$B22</f>
        <v>7.5410759812499997</v>
      </c>
      <c r="D23" s="7">
        <f>21*D22/$B22</f>
        <v>18.979284253125002</v>
      </c>
      <c r="E23" s="7">
        <f>21*E22/$B22</f>
        <v>30.417492525</v>
      </c>
      <c r="F23" s="7">
        <f>21*F22/$B22</f>
        <v>41.855700796874999</v>
      </c>
      <c r="G23" s="7">
        <f>21*G22/$B22</f>
        <v>53.293909068750004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22</v>
      </c>
      <c r="D25" s="3">
        <v>28</v>
      </c>
    </row>
    <row r="26" spans="1:14" x14ac:dyDescent="0.25">
      <c r="C26" s="7">
        <f>21*C25/$B25</f>
        <v>21</v>
      </c>
      <c r="D26" s="7">
        <f>21*D25/$B25</f>
        <v>26.727272727272727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06F6-ECCB-4D8D-97C1-2BA011964F13}">
  <dimension ref="A1:R26"/>
  <sheetViews>
    <sheetView zoomScaleNormal="100" workbookViewId="0">
      <selection activeCell="I26" sqref="I26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107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11.169286051678601</v>
      </c>
      <c r="D3" s="3">
        <v>12.6945734581226</v>
      </c>
      <c r="E3" s="3">
        <v>14.2198608645666</v>
      </c>
      <c r="F3" s="3">
        <v>23.863859509801202</v>
      </c>
      <c r="G3" s="3">
        <v>25.389146916245203</v>
      </c>
      <c r="H3" s="3">
        <v>26.9144343226892</v>
      </c>
      <c r="I3" s="3">
        <v>28.439721729133201</v>
      </c>
      <c r="J3" s="3">
        <v>38.0837203743678</v>
      </c>
      <c r="K3" s="3">
        <v>47.727719019602404</v>
      </c>
    </row>
    <row r="4" spans="1:18" x14ac:dyDescent="0.25">
      <c r="C4" s="7">
        <f>21*C3/$B3</f>
        <v>13.797353357955918</v>
      </c>
      <c r="D4" s="7">
        <f t="shared" ref="D4:K4" si="0">21*D3/$B3</f>
        <v>15.681531918857328</v>
      </c>
      <c r="E4" s="7">
        <f t="shared" si="0"/>
        <v>17.565710479758739</v>
      </c>
      <c r="F4" s="7">
        <f t="shared" si="0"/>
        <v>29.478885276813251</v>
      </c>
      <c r="G4" s="7">
        <f t="shared" si="0"/>
        <v>31.363063837714662</v>
      </c>
      <c r="H4" s="7">
        <f t="shared" si="0"/>
        <v>33.247242398616066</v>
      </c>
      <c r="I4" s="7">
        <f t="shared" si="0"/>
        <v>35.131420959517477</v>
      </c>
      <c r="J4" s="7">
        <f t="shared" si="0"/>
        <v>47.044595756571987</v>
      </c>
      <c r="K4" s="7">
        <f t="shared" si="0"/>
        <v>58.957770553626503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2636.160605</v>
      </c>
      <c r="I6" s="3">
        <v>2970.9842370000001</v>
      </c>
      <c r="J6" s="3">
        <v>3305.8078690000002</v>
      </c>
      <c r="K6" s="3">
        <v>3640.6315009999998</v>
      </c>
      <c r="L6" s="3">
        <v>3975.455132</v>
      </c>
      <c r="M6" s="3">
        <v>4310.2787639999997</v>
      </c>
      <c r="N6" s="3">
        <v>4645.1023960000002</v>
      </c>
      <c r="O6" s="3">
        <v>4979.9260279999999</v>
      </c>
      <c r="P6" s="3">
        <v>5314.7496590000001</v>
      </c>
      <c r="Q6" s="3">
        <v>5649.5732909999997</v>
      </c>
      <c r="R6" s="3">
        <v>5984.3969230000002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3256.4336885294119</v>
      </c>
      <c r="I7" s="7">
        <f t="shared" si="1"/>
        <v>3670.0393515882351</v>
      </c>
      <c r="J7" s="7">
        <f t="shared" si="1"/>
        <v>4083.6450146470588</v>
      </c>
      <c r="K7" s="7">
        <f t="shared" si="1"/>
        <v>4497.2506777058816</v>
      </c>
      <c r="L7" s="7">
        <f t="shared" si="1"/>
        <v>4910.8563395294113</v>
      </c>
      <c r="M7" s="7">
        <f t="shared" si="1"/>
        <v>5324.462002588235</v>
      </c>
      <c r="N7" s="7">
        <f t="shared" si="1"/>
        <v>5738.0676656470587</v>
      </c>
      <c r="O7" s="7">
        <f t="shared" si="1"/>
        <v>6151.6733287058814</v>
      </c>
      <c r="P7" s="7">
        <f t="shared" si="1"/>
        <v>6565.2789905294121</v>
      </c>
      <c r="Q7" s="7">
        <f t="shared" si="1"/>
        <v>6978.8846535882349</v>
      </c>
      <c r="R7" s="7">
        <f t="shared" si="1"/>
        <v>7392.4903166470585</v>
      </c>
    </row>
    <row r="8" spans="1:18" x14ac:dyDescent="0.25">
      <c r="A8" t="s">
        <v>69</v>
      </c>
      <c r="B8" s="3">
        <v>17</v>
      </c>
      <c r="C8" s="3">
        <v>3367</v>
      </c>
      <c r="D8" s="3"/>
      <c r="E8" s="3">
        <v>3367</v>
      </c>
      <c r="F8" s="3"/>
      <c r="G8" s="3">
        <v>3367</v>
      </c>
      <c r="H8" s="3"/>
      <c r="I8" s="3"/>
      <c r="J8" s="3"/>
      <c r="K8" s="3"/>
      <c r="L8" s="3"/>
      <c r="M8" s="3">
        <v>8169</v>
      </c>
      <c r="N8" s="3"/>
      <c r="O8" s="3"/>
      <c r="P8" s="3"/>
      <c r="Q8" s="3"/>
      <c r="R8" s="3"/>
    </row>
    <row r="9" spans="1:18" x14ac:dyDescent="0.25">
      <c r="C9" s="7">
        <f>21*C8/$B8</f>
        <v>4159.2352941176468</v>
      </c>
      <c r="D9" s="7"/>
      <c r="E9" s="7">
        <f>21*E8/$B8</f>
        <v>4159.2352941176468</v>
      </c>
      <c r="F9" s="7"/>
      <c r="G9" s="7">
        <f>21*G8/$B8</f>
        <v>4159.2352941176468</v>
      </c>
      <c r="H9" s="7"/>
      <c r="I9" s="7"/>
      <c r="J9" s="7"/>
      <c r="K9" s="7"/>
      <c r="L9" s="7"/>
      <c r="M9" s="7">
        <f>21*M8/$B8</f>
        <v>10091.117647058823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6733</v>
      </c>
      <c r="D10" s="3"/>
      <c r="E10" s="3">
        <v>6733</v>
      </c>
      <c r="F10" s="3"/>
      <c r="G10" s="3"/>
      <c r="H10" s="3"/>
      <c r="I10" s="3">
        <v>6733</v>
      </c>
      <c r="J10" s="3"/>
      <c r="K10" s="3"/>
      <c r="L10" s="3">
        <v>11265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8317.2352941176468</v>
      </c>
      <c r="D11" s="7"/>
      <c r="E11" s="7">
        <f>21*E10/$B10</f>
        <v>8317.2352941176468</v>
      </c>
      <c r="F11" s="7"/>
      <c r="G11" s="7"/>
      <c r="H11" s="7"/>
      <c r="I11" s="7">
        <f>21*I10/$B10</f>
        <v>8317.2352941176468</v>
      </c>
      <c r="J11" s="7"/>
      <c r="K11" s="7"/>
      <c r="L11" s="7">
        <f>21*L10/$B10</f>
        <v>13915.588235294117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14.435690839590569</v>
      </c>
      <c r="D13" s="3">
        <v>16.344699752332193</v>
      </c>
      <c r="E13" s="3">
        <v>17.755648144311461</v>
      </c>
      <c r="F13" s="3">
        <v>20.953457543319455</v>
      </c>
      <c r="G13" s="3">
        <v>30.836642382895452</v>
      </c>
      <c r="H13" s="3">
        <v>40.638003298072583</v>
      </c>
    </row>
    <row r="14" spans="1:18" x14ac:dyDescent="0.25">
      <c r="C14" s="7">
        <f t="shared" ref="C14:H14" si="2">21*C13/$B13</f>
        <v>17.83232397831776</v>
      </c>
      <c r="D14" s="7">
        <f t="shared" si="2"/>
        <v>20.190511458763297</v>
      </c>
      <c r="E14" s="7">
        <f t="shared" si="2"/>
        <v>21.933447707678866</v>
      </c>
      <c r="F14" s="7">
        <f t="shared" si="2"/>
        <v>25.883682847629913</v>
      </c>
      <c r="G14" s="7">
        <f t="shared" si="2"/>
        <v>38.092322943576733</v>
      </c>
      <c r="H14" s="7">
        <f t="shared" si="2"/>
        <v>50.19988642703084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600</v>
      </c>
      <c r="D16" s="3">
        <v>600</v>
      </c>
      <c r="E16" s="3">
        <v>600</v>
      </c>
      <c r="F16" s="3">
        <v>600</v>
      </c>
      <c r="G16" s="3">
        <v>600</v>
      </c>
      <c r="H16" s="3">
        <v>600</v>
      </c>
    </row>
    <row r="17" spans="1:14" x14ac:dyDescent="0.25">
      <c r="C17" s="7">
        <f t="shared" ref="C17:H17" si="3">21*C16/$B16</f>
        <v>741.17647058823525</v>
      </c>
      <c r="D17" s="7">
        <f t="shared" si="3"/>
        <v>741.17647058823525</v>
      </c>
      <c r="E17" s="7">
        <f t="shared" si="3"/>
        <v>741.17647058823525</v>
      </c>
      <c r="F17" s="7">
        <f t="shared" si="3"/>
        <v>741.17647058823525</v>
      </c>
      <c r="G17" s="7">
        <f t="shared" si="3"/>
        <v>741.17647058823525</v>
      </c>
      <c r="H17" s="7">
        <f t="shared" si="3"/>
        <v>741.17647058823525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1496.4593400000001</v>
      </c>
      <c r="D19" s="3">
        <v>1496.4593400000001</v>
      </c>
      <c r="E19" s="3">
        <v>1496.4593400000001</v>
      </c>
      <c r="F19" s="3">
        <v>1496.4593400000001</v>
      </c>
      <c r="G19" s="3">
        <v>1496.4593400000001</v>
      </c>
      <c r="H19" s="3">
        <v>1496.4593400000001</v>
      </c>
      <c r="I19" s="3">
        <v>1496.4593400000001</v>
      </c>
      <c r="J19" s="3">
        <v>1496.4593400000001</v>
      </c>
      <c r="K19" s="3">
        <v>1496.4593400000001</v>
      </c>
      <c r="L19" s="3">
        <v>1496.4593400000001</v>
      </c>
      <c r="M19" s="3">
        <v>1496.4593400000001</v>
      </c>
      <c r="N19" s="3">
        <v>1496.4593400000001</v>
      </c>
    </row>
    <row r="20" spans="1:14" x14ac:dyDescent="0.25">
      <c r="C20" s="7">
        <f>21*C19/$B19</f>
        <v>1848.5674200000001</v>
      </c>
      <c r="D20" s="7">
        <f t="shared" ref="D20:N20" si="4">21*D19/$B19</f>
        <v>1848.5674200000001</v>
      </c>
      <c r="E20" s="7">
        <f t="shared" si="4"/>
        <v>1848.5674200000001</v>
      </c>
      <c r="F20" s="7">
        <f t="shared" si="4"/>
        <v>1848.5674200000001</v>
      </c>
      <c r="G20" s="7">
        <f t="shared" si="4"/>
        <v>1848.5674200000001</v>
      </c>
      <c r="H20" s="7">
        <f t="shared" si="4"/>
        <v>1848.5674200000001</v>
      </c>
      <c r="I20" s="7">
        <f t="shared" si="4"/>
        <v>1848.5674200000001</v>
      </c>
      <c r="J20" s="7">
        <f t="shared" si="4"/>
        <v>1848.5674200000001</v>
      </c>
      <c r="K20" s="7">
        <f t="shared" si="4"/>
        <v>1848.5674200000001</v>
      </c>
      <c r="L20" s="7">
        <f t="shared" si="4"/>
        <v>1848.5674200000001</v>
      </c>
      <c r="M20" s="7">
        <f t="shared" si="4"/>
        <v>1848.5674200000001</v>
      </c>
      <c r="N20" s="7">
        <f t="shared" si="4"/>
        <v>1848.5674200000001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398.87837439999998</v>
      </c>
      <c r="D22" s="3">
        <v>535.67764799999998</v>
      </c>
      <c r="E22" s="3">
        <v>672.47692159999997</v>
      </c>
      <c r="F22" s="3">
        <v>809.27619519999996</v>
      </c>
      <c r="G22" s="3">
        <v>946.07546879999995</v>
      </c>
    </row>
    <row r="23" spans="1:14" x14ac:dyDescent="0.25">
      <c r="C23" s="7">
        <f>21*C22/$B22</f>
        <v>523.52786639999999</v>
      </c>
      <c r="D23" s="7">
        <f>21*D22/$B22</f>
        <v>703.07691299999999</v>
      </c>
      <c r="E23" s="7">
        <f>21*E22/$B22</f>
        <v>882.62595959999999</v>
      </c>
      <c r="F23" s="7">
        <f>21*F22/$B22</f>
        <v>1062.1750061999999</v>
      </c>
      <c r="G23" s="7">
        <f>21*G22/$B22</f>
        <v>1241.7240528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10999</v>
      </c>
      <c r="D25" s="3">
        <v>21618</v>
      </c>
    </row>
    <row r="26" spans="1:14" x14ac:dyDescent="0.25">
      <c r="C26" s="7">
        <f>21*C25/$B25</f>
        <v>10499.045454545454</v>
      </c>
      <c r="D26" s="7">
        <f>21*D25/$B25</f>
        <v>20635.363636363636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9D00-C121-4C3E-ADE8-25D47B189839}">
  <dimension ref="A1:R26"/>
  <sheetViews>
    <sheetView zoomScaleNormal="100" workbookViewId="0">
      <selection activeCell="M9" sqref="M9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107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8" x14ac:dyDescent="0.25">
      <c r="C4" s="7">
        <f>21*C3/$B3</f>
        <v>0</v>
      </c>
      <c r="D4" s="7">
        <f t="shared" ref="D4:K4" si="0">21*D3/$B3</f>
        <v>0</v>
      </c>
      <c r="E4" s="7">
        <f t="shared" si="0"/>
        <v>0</v>
      </c>
      <c r="F4" s="7">
        <f t="shared" si="0"/>
        <v>0</v>
      </c>
      <c r="G4" s="7">
        <f t="shared" si="0"/>
        <v>0</v>
      </c>
      <c r="H4" s="7">
        <f t="shared" si="0"/>
        <v>0</v>
      </c>
      <c r="I4" s="7">
        <f t="shared" si="0"/>
        <v>0</v>
      </c>
      <c r="J4" s="7">
        <f t="shared" si="0"/>
        <v>0</v>
      </c>
      <c r="K4" s="7">
        <f t="shared" si="0"/>
        <v>0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10">
        <v>2769.7144709999998</v>
      </c>
      <c r="I6" s="3">
        <v>2914.9996580000002</v>
      </c>
      <c r="J6" s="3">
        <v>3060.2848450000001</v>
      </c>
      <c r="K6" s="3">
        <v>3205.5700310000002</v>
      </c>
      <c r="L6" s="3">
        <v>3350.8552180000001</v>
      </c>
      <c r="M6" s="3">
        <v>3496.1404050000001</v>
      </c>
      <c r="N6" s="3">
        <v>3641.4255910000002</v>
      </c>
      <c r="O6" s="3">
        <v>3786.7107780000001</v>
      </c>
      <c r="P6" s="3">
        <v>3931.9959650000001</v>
      </c>
      <c r="Q6" s="3">
        <v>4077.281152</v>
      </c>
      <c r="R6" s="3">
        <v>4222.5663379999996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3421.411993588235</v>
      </c>
      <c r="I7" s="7">
        <f t="shared" si="1"/>
        <v>3600.8819304705885</v>
      </c>
      <c r="J7" s="7">
        <f t="shared" si="1"/>
        <v>3780.3518673529416</v>
      </c>
      <c r="K7" s="7">
        <f t="shared" si="1"/>
        <v>3959.8218030000007</v>
      </c>
      <c r="L7" s="7">
        <f t="shared" si="1"/>
        <v>4139.2917398823538</v>
      </c>
      <c r="M7" s="7">
        <f t="shared" si="1"/>
        <v>4318.761676764706</v>
      </c>
      <c r="N7" s="7">
        <f t="shared" si="1"/>
        <v>4498.2316124117651</v>
      </c>
      <c r="O7" s="7">
        <f t="shared" si="1"/>
        <v>4677.7015492941182</v>
      </c>
      <c r="P7" s="7">
        <f t="shared" si="1"/>
        <v>4857.1714861764704</v>
      </c>
      <c r="Q7" s="7">
        <f t="shared" si="1"/>
        <v>5036.6414230588234</v>
      </c>
      <c r="R7" s="7">
        <f t="shared" si="1"/>
        <v>5216.1113587058817</v>
      </c>
    </row>
    <row r="8" spans="1:18" x14ac:dyDescent="0.25">
      <c r="A8" t="s">
        <v>69</v>
      </c>
      <c r="B8" s="3">
        <v>17</v>
      </c>
      <c r="C8" s="3">
        <v>3165</v>
      </c>
      <c r="D8" s="3"/>
      <c r="E8" s="3">
        <v>3165</v>
      </c>
      <c r="F8" s="3"/>
      <c r="G8" s="3">
        <v>3165</v>
      </c>
      <c r="H8" s="3"/>
      <c r="I8" s="3"/>
      <c r="J8" s="3"/>
      <c r="K8" s="3"/>
      <c r="L8" s="3"/>
      <c r="M8" s="3">
        <v>3165.1305822151999</v>
      </c>
      <c r="N8" s="3"/>
      <c r="O8" s="3"/>
      <c r="P8" s="3"/>
      <c r="Q8" s="3"/>
      <c r="R8" s="3"/>
    </row>
    <row r="9" spans="1:18" x14ac:dyDescent="0.25">
      <c r="C9" s="7">
        <f>21*C8/$B8</f>
        <v>3909.705882352941</v>
      </c>
      <c r="D9" s="7"/>
      <c r="E9" s="7">
        <f>21*E8/$B8</f>
        <v>3909.705882352941</v>
      </c>
      <c r="F9" s="7"/>
      <c r="G9" s="7">
        <f>21*G8/$B8</f>
        <v>3909.705882352941</v>
      </c>
      <c r="H9" s="7"/>
      <c r="I9" s="7"/>
      <c r="J9" s="7"/>
      <c r="K9" s="7"/>
      <c r="L9" s="7"/>
      <c r="M9" s="7">
        <f>21*M8/$B8</f>
        <v>3909.8671897952472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3">
        <v>6330.2611644303997</v>
      </c>
      <c r="D10" s="3"/>
      <c r="E10" s="3">
        <v>6330.2611644303997</v>
      </c>
      <c r="F10" s="3"/>
      <c r="G10" s="3"/>
      <c r="H10" s="3"/>
      <c r="I10" s="3">
        <v>6330.2611644303997</v>
      </c>
      <c r="J10" s="3"/>
      <c r="K10" s="3"/>
      <c r="L10" s="3">
        <v>3165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7819.7343795904944</v>
      </c>
      <c r="D11" s="7"/>
      <c r="E11" s="7">
        <f>21*E10/$B10</f>
        <v>7819.7343795904944</v>
      </c>
      <c r="F11" s="7"/>
      <c r="G11" s="7"/>
      <c r="H11" s="7"/>
      <c r="I11" s="7">
        <f>21*I10/$B10</f>
        <v>7819.7343795904944</v>
      </c>
      <c r="J11" s="7"/>
      <c r="K11" s="7"/>
      <c r="L11" s="7">
        <f>21*L10/$B10</f>
        <v>3909.705882352941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18" x14ac:dyDescent="0.25">
      <c r="C14" s="7">
        <f t="shared" ref="C14:H14" si="2">21*C13/$B13</f>
        <v>0</v>
      </c>
      <c r="D14" s="7">
        <f t="shared" si="2"/>
        <v>0</v>
      </c>
      <c r="E14" s="7">
        <f t="shared" si="2"/>
        <v>0</v>
      </c>
      <c r="F14" s="7">
        <f t="shared" si="2"/>
        <v>0</v>
      </c>
      <c r="G14" s="7">
        <f t="shared" si="2"/>
        <v>0</v>
      </c>
      <c r="H14" s="7">
        <f t="shared" si="2"/>
        <v>0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2885</v>
      </c>
      <c r="D16" s="3">
        <v>2885</v>
      </c>
      <c r="E16" s="3">
        <v>2885</v>
      </c>
      <c r="F16" s="3">
        <v>2885</v>
      </c>
      <c r="G16" s="3">
        <v>2885</v>
      </c>
      <c r="H16" s="3">
        <v>2885</v>
      </c>
    </row>
    <row r="17" spans="1:14" x14ac:dyDescent="0.25">
      <c r="C17" s="7">
        <f t="shared" ref="C17:H17" si="3">21*C16/$B16</f>
        <v>3563.8235294117649</v>
      </c>
      <c r="D17" s="7">
        <f t="shared" si="3"/>
        <v>3563.8235294117649</v>
      </c>
      <c r="E17" s="7">
        <f t="shared" si="3"/>
        <v>3563.8235294117649</v>
      </c>
      <c r="F17" s="7">
        <f t="shared" si="3"/>
        <v>3563.8235294117649</v>
      </c>
      <c r="G17" s="7">
        <f t="shared" si="3"/>
        <v>3563.8235294117649</v>
      </c>
      <c r="H17" s="7">
        <f t="shared" si="3"/>
        <v>3563.8235294117649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3">
        <v>3156.5</v>
      </c>
      <c r="D19" s="3">
        <v>3156.5</v>
      </c>
      <c r="E19" s="3">
        <v>3156.5</v>
      </c>
      <c r="F19" s="3">
        <v>3156.5</v>
      </c>
      <c r="G19" s="3">
        <v>3156.5</v>
      </c>
      <c r="H19" s="3">
        <v>3156.5</v>
      </c>
      <c r="I19" s="3">
        <v>3156.5</v>
      </c>
      <c r="J19" s="3">
        <v>3156.5</v>
      </c>
      <c r="K19" s="3">
        <v>3156.5</v>
      </c>
      <c r="L19" s="3">
        <v>3156.5</v>
      </c>
      <c r="M19" s="3">
        <v>3156.5</v>
      </c>
      <c r="N19" s="3">
        <v>3156.5</v>
      </c>
    </row>
    <row r="20" spans="1:14" x14ac:dyDescent="0.25">
      <c r="C20" s="7">
        <f>21*C19/$B19</f>
        <v>3899.205882352941</v>
      </c>
      <c r="D20" s="7">
        <f t="shared" ref="D20:N20" si="4">21*D19/$B19</f>
        <v>3899.205882352941</v>
      </c>
      <c r="E20" s="7">
        <f t="shared" si="4"/>
        <v>3899.205882352941</v>
      </c>
      <c r="F20" s="7">
        <f t="shared" si="4"/>
        <v>3899.205882352941</v>
      </c>
      <c r="G20" s="7">
        <f t="shared" si="4"/>
        <v>3899.205882352941</v>
      </c>
      <c r="H20" s="7">
        <f t="shared" si="4"/>
        <v>3899.205882352941</v>
      </c>
      <c r="I20" s="7">
        <f t="shared" si="4"/>
        <v>3899.205882352941</v>
      </c>
      <c r="J20" s="7">
        <f t="shared" si="4"/>
        <v>3899.205882352941</v>
      </c>
      <c r="K20" s="7">
        <f t="shared" si="4"/>
        <v>3899.205882352941</v>
      </c>
      <c r="L20" s="7">
        <f t="shared" si="4"/>
        <v>3899.205882352941</v>
      </c>
      <c r="M20" s="7">
        <f t="shared" si="4"/>
        <v>3899.205882352941</v>
      </c>
      <c r="N20" s="7">
        <f t="shared" si="4"/>
        <v>3899.205882352941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7581.5430723999998</v>
      </c>
      <c r="D22" s="3">
        <v>10786.354615599999</v>
      </c>
      <c r="E22" s="3">
        <v>13991.166158800001</v>
      </c>
      <c r="F22" s="3">
        <v>17195.977702</v>
      </c>
      <c r="G22" s="3">
        <v>20400.789245200001</v>
      </c>
    </row>
    <row r="23" spans="1:14" x14ac:dyDescent="0.25">
      <c r="C23" s="7">
        <f>21*C22/$B22</f>
        <v>9950.7752825249991</v>
      </c>
      <c r="D23" s="7">
        <f>21*D22/$B22</f>
        <v>14157.090432974999</v>
      </c>
      <c r="E23" s="7">
        <f>21*E22/$B22</f>
        <v>18363.405583424999</v>
      </c>
      <c r="F23" s="7">
        <f>21*F22/$B22</f>
        <v>22569.720733875001</v>
      </c>
      <c r="G23" s="7">
        <f>21*G22/$B22</f>
        <v>26776.035884325003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0</v>
      </c>
      <c r="D25" s="3">
        <v>0</v>
      </c>
    </row>
    <row r="26" spans="1:14" x14ac:dyDescent="0.25">
      <c r="C26" s="7">
        <f>21*C25/$B25</f>
        <v>0</v>
      </c>
      <c r="D26" s="7">
        <f>21*D25/$B25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D55D-554B-4060-ACC1-BE0902F26B05}">
  <dimension ref="A1:R26"/>
  <sheetViews>
    <sheetView zoomScaleNormal="100" workbookViewId="0">
      <selection activeCell="C22" sqref="C22:G22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26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5.0286204869185198</v>
      </c>
      <c r="D3" s="3">
        <v>6.4575987784747602</v>
      </c>
      <c r="E3" s="3">
        <v>7.8865770700309898</v>
      </c>
      <c r="F3" s="3">
        <v>11.486219265393281</v>
      </c>
      <c r="G3" s="3">
        <v>12.91519755694952</v>
      </c>
      <c r="H3" s="3">
        <v>14.344175848505749</v>
      </c>
      <c r="I3" s="3">
        <v>15.77315414006198</v>
      </c>
      <c r="J3" s="3">
        <v>19.372796335424269</v>
      </c>
      <c r="K3" s="3">
        <v>22.972438530786562</v>
      </c>
    </row>
    <row r="4" spans="1:18" x14ac:dyDescent="0.25">
      <c r="C4" s="7">
        <f>21*C3/$B3</f>
        <v>6.2118253073699368</v>
      </c>
      <c r="D4" s="7">
        <f t="shared" ref="D4:K4" si="0">21*D3/$B3</f>
        <v>7.9770337851747035</v>
      </c>
      <c r="E4" s="7">
        <f t="shared" si="0"/>
        <v>9.7422422629794578</v>
      </c>
      <c r="F4" s="7">
        <f t="shared" si="0"/>
        <v>14.188859092544641</v>
      </c>
      <c r="G4" s="7">
        <f t="shared" si="0"/>
        <v>15.954067570349407</v>
      </c>
      <c r="H4" s="7">
        <f t="shared" si="0"/>
        <v>17.71927604815416</v>
      </c>
      <c r="I4" s="7">
        <f t="shared" si="0"/>
        <v>19.484484525958916</v>
      </c>
      <c r="J4" s="7">
        <f t="shared" si="0"/>
        <v>23.931101355524095</v>
      </c>
      <c r="K4" s="7">
        <f t="shared" si="0"/>
        <v>28.377718185089282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20">
        <v>65.829972519009615</v>
      </c>
      <c r="I6" s="20">
        <v>64.914292540968958</v>
      </c>
      <c r="J6" s="20">
        <v>64.578388095866302</v>
      </c>
      <c r="K6" s="20">
        <v>64.721218099531413</v>
      </c>
      <c r="L6" s="20">
        <v>65.266050814707839</v>
      </c>
      <c r="M6" s="20">
        <v>70.42832091470784</v>
      </c>
      <c r="N6" s="20">
        <v>75.59059101470784</v>
      </c>
      <c r="O6" s="20">
        <v>80.752861014707847</v>
      </c>
      <c r="P6" s="20">
        <v>85.915131114707847</v>
      </c>
      <c r="Q6" s="20">
        <v>91.077401214707848</v>
      </c>
      <c r="R6" s="20">
        <v>96.239671214707855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81.319377817600113</v>
      </c>
      <c r="I7" s="7">
        <f t="shared" si="1"/>
        <v>80.18824372707931</v>
      </c>
      <c r="J7" s="7">
        <f t="shared" si="1"/>
        <v>79.77330294195248</v>
      </c>
      <c r="K7" s="7">
        <f t="shared" si="1"/>
        <v>79.949740005303511</v>
      </c>
      <c r="L7" s="7">
        <f t="shared" si="1"/>
        <v>80.622768653462629</v>
      </c>
      <c r="M7" s="7">
        <f t="shared" si="1"/>
        <v>86.999690541697916</v>
      </c>
      <c r="N7" s="7">
        <f t="shared" si="1"/>
        <v>93.376612429933218</v>
      </c>
      <c r="O7" s="7">
        <f t="shared" si="1"/>
        <v>99.753534194639101</v>
      </c>
      <c r="P7" s="7">
        <f t="shared" si="1"/>
        <v>106.1304560828744</v>
      </c>
      <c r="Q7" s="7">
        <f t="shared" si="1"/>
        <v>112.50737797110969</v>
      </c>
      <c r="R7" s="7">
        <f t="shared" si="1"/>
        <v>118.88429973581559</v>
      </c>
    </row>
    <row r="8" spans="1:18" x14ac:dyDescent="0.25">
      <c r="A8" t="s">
        <v>69</v>
      </c>
      <c r="B8" s="3">
        <v>17</v>
      </c>
      <c r="C8" s="20">
        <v>16.099999999999994</v>
      </c>
      <c r="D8" s="20"/>
      <c r="E8" s="20">
        <v>16.099999999999994</v>
      </c>
      <c r="F8" s="20"/>
      <c r="G8" s="20">
        <v>30.099999999999994</v>
      </c>
      <c r="H8" s="20"/>
      <c r="I8" s="20"/>
      <c r="J8" s="20"/>
      <c r="K8" s="20"/>
      <c r="L8" s="20"/>
      <c r="M8" s="20">
        <v>206</v>
      </c>
      <c r="N8" s="3"/>
      <c r="O8" s="3"/>
      <c r="P8" s="3"/>
      <c r="Q8" s="3"/>
      <c r="R8" s="3"/>
    </row>
    <row r="9" spans="1:18" x14ac:dyDescent="0.25">
      <c r="C9" s="7">
        <f>21*C8/$B8</f>
        <v>19.888235294117642</v>
      </c>
      <c r="D9" s="7"/>
      <c r="E9" s="7">
        <f>21*E8/$B8</f>
        <v>19.888235294117642</v>
      </c>
      <c r="F9" s="7"/>
      <c r="G9" s="7">
        <f>21*G8/$B8</f>
        <v>37.182352941176468</v>
      </c>
      <c r="H9" s="7"/>
      <c r="I9" s="7"/>
      <c r="J9" s="7"/>
      <c r="K9" s="7"/>
      <c r="L9" s="7"/>
      <c r="M9" s="7">
        <f>21*M8/$B8</f>
        <v>254.47058823529412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20">
        <v>31.099999999999994</v>
      </c>
      <c r="D10" s="20"/>
      <c r="E10" s="20">
        <v>31.099999999999994</v>
      </c>
      <c r="F10" s="20"/>
      <c r="G10" s="20"/>
      <c r="H10" s="20"/>
      <c r="I10" s="20">
        <v>31.099999999999994</v>
      </c>
      <c r="J10" s="20"/>
      <c r="K10" s="20"/>
      <c r="L10" s="20">
        <v>159.69999999999999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38.417647058823526</v>
      </c>
      <c r="D11" s="7"/>
      <c r="E11" s="7">
        <f>21*E10/$B10</f>
        <v>38.417647058823526</v>
      </c>
      <c r="F11" s="7"/>
      <c r="G11" s="7"/>
      <c r="H11" s="7"/>
      <c r="I11" s="7">
        <f>21*I10/$B10</f>
        <v>38.417647058823526</v>
      </c>
      <c r="J11" s="7"/>
      <c r="K11" s="7"/>
      <c r="L11" s="7">
        <f>21*L10/$B10</f>
        <v>197.27647058823527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18.163019676424518</v>
      </c>
      <c r="D13" s="3">
        <v>20.5649391155346</v>
      </c>
      <c r="E13" s="3">
        <v>22.340197652913044</v>
      </c>
      <c r="F13" s="3">
        <v>26.363688851293738</v>
      </c>
      <c r="G13" s="3">
        <v>38.798734925753074</v>
      </c>
      <c r="H13" s="3">
        <v>51.13082994886522</v>
      </c>
    </row>
    <row r="14" spans="1:18" x14ac:dyDescent="0.25">
      <c r="C14" s="7">
        <f t="shared" ref="C14:H14" si="2">21*C13/$B13</f>
        <v>22.436671364994993</v>
      </c>
      <c r="D14" s="7">
        <f t="shared" si="2"/>
        <v>25.403748319189798</v>
      </c>
      <c r="E14" s="7">
        <f t="shared" si="2"/>
        <v>27.596714747716113</v>
      </c>
      <c r="F14" s="7">
        <f t="shared" si="2"/>
        <v>32.566909757480495</v>
      </c>
      <c r="G14" s="7">
        <f t="shared" si="2"/>
        <v>47.927849025930264</v>
      </c>
      <c r="H14" s="7">
        <f t="shared" si="2"/>
        <v>63.161613466245264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60.042537340100239</v>
      </c>
      <c r="D16" s="3">
        <v>63.413049755897603</v>
      </c>
      <c r="E16" s="3">
        <v>65.660058033095837</v>
      </c>
      <c r="F16" s="3">
        <v>70.154074587492318</v>
      </c>
      <c r="G16" s="3">
        <v>80.640113214417454</v>
      </c>
      <c r="H16" s="3">
        <v>88.130140805078241</v>
      </c>
    </row>
    <row r="17" spans="1:14" x14ac:dyDescent="0.25">
      <c r="C17" s="7">
        <f t="shared" ref="C17:H17" si="3">21*C16/$B16</f>
        <v>74.170193184829714</v>
      </c>
      <c r="D17" s="7">
        <f t="shared" si="3"/>
        <v>78.33376734552057</v>
      </c>
      <c r="E17" s="7">
        <f t="shared" si="3"/>
        <v>81.109483452647808</v>
      </c>
      <c r="F17" s="7">
        <f t="shared" si="3"/>
        <v>86.66091566690227</v>
      </c>
      <c r="G17" s="7">
        <f t="shared" si="3"/>
        <v>99.614257500162736</v>
      </c>
      <c r="H17" s="7">
        <f t="shared" si="3"/>
        <v>108.86664452392017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20">
        <v>107.23991154096895</v>
      </c>
      <c r="D19" s="20">
        <v>108.7762968995314</v>
      </c>
      <c r="E19" s="20">
        <v>111.93778042672081</v>
      </c>
      <c r="F19" s="20">
        <v>116.28873228005321</v>
      </c>
      <c r="G19" s="20">
        <v>121.54816227902737</v>
      </c>
      <c r="H19" s="20">
        <v>127.52421230098666</v>
      </c>
      <c r="I19" s="20">
        <v>134.08003775588404</v>
      </c>
      <c r="J19" s="20">
        <v>141.11459765954916</v>
      </c>
      <c r="K19" s="20">
        <v>148.55116037472555</v>
      </c>
      <c r="L19" s="20">
        <v>156.33008118673854</v>
      </c>
      <c r="M19" s="20">
        <v>164.40407768048266</v>
      </c>
      <c r="N19" s="20">
        <v>172.73503304007096</v>
      </c>
    </row>
    <row r="20" spans="1:14" x14ac:dyDescent="0.25">
      <c r="C20" s="7">
        <f>21*C19/$B19</f>
        <v>132.47283190354989</v>
      </c>
      <c r="D20" s="7">
        <f t="shared" ref="D20:N20" si="4">21*D19/$B19</f>
        <v>134.37071969942116</v>
      </c>
      <c r="E20" s="7">
        <f t="shared" si="4"/>
        <v>138.27608170359628</v>
      </c>
      <c r="F20" s="7">
        <f t="shared" si="4"/>
        <v>143.65078693418337</v>
      </c>
      <c r="G20" s="7">
        <f t="shared" si="4"/>
        <v>150.14772987409265</v>
      </c>
      <c r="H20" s="7">
        <f t="shared" si="4"/>
        <v>157.52990931298353</v>
      </c>
      <c r="I20" s="7">
        <f t="shared" si="4"/>
        <v>165.62828193373912</v>
      </c>
      <c r="J20" s="7">
        <f t="shared" si="4"/>
        <v>174.31803240297248</v>
      </c>
      <c r="K20" s="7">
        <f t="shared" si="4"/>
        <v>183.50437458054333</v>
      </c>
      <c r="L20" s="7">
        <f t="shared" si="4"/>
        <v>193.11362970126524</v>
      </c>
      <c r="M20" s="7">
        <f t="shared" si="4"/>
        <v>203.08739007589034</v>
      </c>
      <c r="N20" s="7">
        <f t="shared" si="4"/>
        <v>213.37857022597001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26.176393319999999</v>
      </c>
      <c r="D22" s="3">
        <v>35.153845650000001</v>
      </c>
      <c r="E22" s="3">
        <v>44.131297979999999</v>
      </c>
      <c r="F22" s="3">
        <v>53.108750309999998</v>
      </c>
      <c r="G22" s="3">
        <v>62.086202640000003</v>
      </c>
    </row>
    <row r="23" spans="1:14" x14ac:dyDescent="0.25">
      <c r="C23" s="7">
        <f>21*C22/$B22</f>
        <v>34.356516232499999</v>
      </c>
      <c r="D23" s="7">
        <f>21*D22/$B22</f>
        <v>46.139422415624999</v>
      </c>
      <c r="E23" s="7">
        <f>21*E22/$B22</f>
        <v>57.922328598749999</v>
      </c>
      <c r="F23" s="7">
        <f>21*F22/$B22</f>
        <v>69.705234781874992</v>
      </c>
      <c r="G23" s="7">
        <f>21*G22/$B22</f>
        <v>81.488140964999999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137</v>
      </c>
      <c r="D25" s="3">
        <v>282</v>
      </c>
    </row>
    <row r="26" spans="1:14" x14ac:dyDescent="0.25">
      <c r="C26" s="7">
        <f>21*C25/$B25</f>
        <v>130.77272727272728</v>
      </c>
      <c r="D26" s="7">
        <f>21*D25/$B25</f>
        <v>269.18181818181819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B317-8883-46FD-AEBE-5D5FABB9BE17}">
  <dimension ref="A1:R26"/>
  <sheetViews>
    <sheetView tabSelected="1" zoomScale="70" zoomScaleNormal="70" workbookViewId="0">
      <selection activeCell="C22" sqref="C22:G22"/>
    </sheetView>
  </sheetViews>
  <sheetFormatPr defaultRowHeight="15" x14ac:dyDescent="0.25"/>
  <cols>
    <col min="1" max="1" width="27.42578125" bestFit="1" customWidth="1"/>
    <col min="2" max="2" width="27.42578125" customWidth="1"/>
    <col min="3" max="11" width="9.42578125" bestFit="1" customWidth="1"/>
  </cols>
  <sheetData>
    <row r="1" spans="1:18" x14ac:dyDescent="0.25">
      <c r="A1" t="s">
        <v>26</v>
      </c>
      <c r="B1" t="s">
        <v>67</v>
      </c>
    </row>
    <row r="2" spans="1:18" x14ac:dyDescent="0.25">
      <c r="A2" t="s">
        <v>27</v>
      </c>
      <c r="C2">
        <v>1</v>
      </c>
      <c r="D2">
        <v>1.5</v>
      </c>
      <c r="E2">
        <v>2</v>
      </c>
      <c r="F2">
        <v>2.5</v>
      </c>
      <c r="G2">
        <v>3</v>
      </c>
      <c r="H2">
        <v>3.5</v>
      </c>
      <c r="I2">
        <v>4</v>
      </c>
      <c r="J2">
        <v>4.5</v>
      </c>
      <c r="K2">
        <v>5</v>
      </c>
    </row>
    <row r="3" spans="1:18" x14ac:dyDescent="0.25">
      <c r="A3" t="s">
        <v>28</v>
      </c>
      <c r="B3" s="3">
        <v>17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8" x14ac:dyDescent="0.25">
      <c r="C4" s="7">
        <f>21*C3/$B3</f>
        <v>0</v>
      </c>
      <c r="D4" s="7">
        <f t="shared" ref="D4:K4" si="0">21*D3/$B3</f>
        <v>0</v>
      </c>
      <c r="E4" s="7">
        <f t="shared" si="0"/>
        <v>0</v>
      </c>
      <c r="F4" s="7">
        <f t="shared" si="0"/>
        <v>0</v>
      </c>
      <c r="G4" s="7">
        <f t="shared" si="0"/>
        <v>0</v>
      </c>
      <c r="H4" s="7">
        <f t="shared" si="0"/>
        <v>0</v>
      </c>
      <c r="I4" s="7">
        <f t="shared" si="0"/>
        <v>0</v>
      </c>
      <c r="J4" s="7">
        <f t="shared" si="0"/>
        <v>0</v>
      </c>
      <c r="K4" s="7">
        <f t="shared" si="0"/>
        <v>0</v>
      </c>
    </row>
    <row r="5" spans="1:18" x14ac:dyDescent="0.25">
      <c r="A5" t="s">
        <v>27</v>
      </c>
      <c r="C5">
        <v>2</v>
      </c>
      <c r="E5">
        <v>3</v>
      </c>
      <c r="G5">
        <v>4</v>
      </c>
      <c r="H5">
        <v>4.5</v>
      </c>
      <c r="I5">
        <v>5</v>
      </c>
      <c r="J5">
        <v>5.5</v>
      </c>
      <c r="K5">
        <v>6</v>
      </c>
      <c r="L5">
        <v>6.5</v>
      </c>
      <c r="M5">
        <v>7</v>
      </c>
      <c r="N5">
        <v>7.5</v>
      </c>
      <c r="O5">
        <v>8</v>
      </c>
      <c r="P5">
        <v>8.5</v>
      </c>
      <c r="Q5">
        <v>9</v>
      </c>
      <c r="R5">
        <v>9.5</v>
      </c>
    </row>
    <row r="6" spans="1:18" x14ac:dyDescent="0.25">
      <c r="A6" t="s">
        <v>68</v>
      </c>
      <c r="B6" s="3">
        <v>17</v>
      </c>
      <c r="C6" s="3"/>
      <c r="D6" s="3"/>
      <c r="E6" s="3"/>
      <c r="F6" s="3"/>
      <c r="G6" s="3"/>
      <c r="H6" s="20">
        <v>229.85671396855747</v>
      </c>
      <c r="I6" s="20">
        <v>224.29356613172644</v>
      </c>
      <c r="J6" s="20">
        <v>220.15260403528168</v>
      </c>
      <c r="K6" s="20">
        <v>217.18597481957414</v>
      </c>
      <c r="L6" s="20">
        <v>215.2054562147103</v>
      </c>
      <c r="M6" s="20">
        <v>214.06474007473417</v>
      </c>
      <c r="N6" s="20">
        <v>213.64784290424018</v>
      </c>
      <c r="O6" s="20">
        <v>213.86126437059067</v>
      </c>
      <c r="P6" s="20">
        <v>214.62852724844765</v>
      </c>
      <c r="Q6" s="20">
        <v>215.88628039208771</v>
      </c>
      <c r="R6" s="20">
        <v>217.58145675884964</v>
      </c>
    </row>
    <row r="7" spans="1:18" x14ac:dyDescent="0.25">
      <c r="C7" s="7"/>
      <c r="D7" s="7"/>
      <c r="E7" s="7"/>
      <c r="F7" s="7"/>
      <c r="G7" s="7"/>
      <c r="H7" s="11">
        <f t="shared" ref="H7:R7" si="1">21*H6/$B6</f>
        <v>283.94064666704156</v>
      </c>
      <c r="I7" s="7">
        <f t="shared" si="1"/>
        <v>277.06852286860322</v>
      </c>
      <c r="J7" s="7">
        <f t="shared" si="1"/>
        <v>271.95321674946564</v>
      </c>
      <c r="K7" s="7">
        <f t="shared" si="1"/>
        <v>268.2885571300622</v>
      </c>
      <c r="L7" s="7">
        <f t="shared" si="1"/>
        <v>265.84203414758332</v>
      </c>
      <c r="M7" s="7">
        <f t="shared" si="1"/>
        <v>264.43291420996576</v>
      </c>
      <c r="N7" s="7">
        <f t="shared" si="1"/>
        <v>263.91792358759079</v>
      </c>
      <c r="O7" s="7">
        <f t="shared" si="1"/>
        <v>264.18156186955321</v>
      </c>
      <c r="P7" s="7">
        <f t="shared" si="1"/>
        <v>265.12935718925883</v>
      </c>
      <c r="Q7" s="7">
        <f t="shared" si="1"/>
        <v>266.68305224904952</v>
      </c>
      <c r="R7" s="7">
        <f t="shared" si="1"/>
        <v>268.77709364328484</v>
      </c>
    </row>
    <row r="8" spans="1:18" x14ac:dyDescent="0.25">
      <c r="A8" t="s">
        <v>69</v>
      </c>
      <c r="B8" s="3">
        <v>17</v>
      </c>
      <c r="C8" s="20">
        <v>159</v>
      </c>
      <c r="D8" s="20"/>
      <c r="E8" s="20">
        <v>159</v>
      </c>
      <c r="F8" s="20"/>
      <c r="G8" s="20">
        <v>159</v>
      </c>
      <c r="H8" s="20"/>
      <c r="I8" s="20"/>
      <c r="J8" s="20"/>
      <c r="K8" s="20"/>
      <c r="L8" s="20"/>
      <c r="M8" s="20">
        <v>264</v>
      </c>
      <c r="N8" s="3"/>
      <c r="O8" s="3"/>
      <c r="P8" s="3"/>
      <c r="Q8" s="3"/>
      <c r="R8" s="3"/>
    </row>
    <row r="9" spans="1:18" x14ac:dyDescent="0.25">
      <c r="C9" s="7">
        <f>21*C8/$B8</f>
        <v>196.41176470588235</v>
      </c>
      <c r="D9" s="7"/>
      <c r="E9" s="7">
        <f>21*E8/$B8</f>
        <v>196.41176470588235</v>
      </c>
      <c r="F9" s="7"/>
      <c r="G9" s="7">
        <f>21*G8/$B8</f>
        <v>196.41176470588235</v>
      </c>
      <c r="H9" s="7"/>
      <c r="I9" s="7"/>
      <c r="J9" s="7"/>
      <c r="K9" s="7"/>
      <c r="L9" s="7"/>
      <c r="M9" s="7">
        <f>21*M8/$B8</f>
        <v>326.11764705882354</v>
      </c>
      <c r="N9" s="7"/>
      <c r="O9" s="7"/>
      <c r="P9" s="7"/>
      <c r="Q9" s="7"/>
      <c r="R9" s="7"/>
    </row>
    <row r="10" spans="1:18" x14ac:dyDescent="0.25">
      <c r="A10" t="s">
        <v>70</v>
      </c>
      <c r="B10" s="3">
        <v>17</v>
      </c>
      <c r="C10" s="20">
        <v>318</v>
      </c>
      <c r="D10" s="20"/>
      <c r="E10" s="20">
        <v>318</v>
      </c>
      <c r="F10" s="20"/>
      <c r="G10" s="20"/>
      <c r="H10" s="20"/>
      <c r="I10" s="20">
        <v>318</v>
      </c>
      <c r="J10" s="20"/>
      <c r="K10" s="20"/>
      <c r="L10" s="20">
        <v>307</v>
      </c>
      <c r="M10" s="3"/>
      <c r="N10" s="3"/>
      <c r="O10" s="3"/>
      <c r="P10" s="3"/>
      <c r="Q10" s="3"/>
      <c r="R10" s="3"/>
    </row>
    <row r="11" spans="1:18" x14ac:dyDescent="0.25">
      <c r="C11" s="7">
        <f>21*C10/$B10</f>
        <v>392.8235294117647</v>
      </c>
      <c r="D11" s="7"/>
      <c r="E11" s="7">
        <f>21*E10/$B10</f>
        <v>392.8235294117647</v>
      </c>
      <c r="F11" s="7"/>
      <c r="G11" s="7"/>
      <c r="H11" s="7"/>
      <c r="I11" s="7">
        <f>21*I10/$B10</f>
        <v>392.8235294117647</v>
      </c>
      <c r="J11" s="7"/>
      <c r="K11" s="7"/>
      <c r="L11" s="7">
        <f>21*L10/$B10</f>
        <v>379.23529411764707</v>
      </c>
      <c r="M11" s="7"/>
      <c r="N11" s="7"/>
      <c r="O11" s="7"/>
      <c r="P11" s="7"/>
      <c r="Q11" s="7"/>
      <c r="R11" s="7"/>
    </row>
    <row r="12" spans="1:18" x14ac:dyDescent="0.25">
      <c r="A12" t="s">
        <v>29</v>
      </c>
      <c r="C12">
        <v>135</v>
      </c>
      <c r="D12">
        <v>162</v>
      </c>
      <c r="E12">
        <v>180</v>
      </c>
      <c r="F12">
        <v>216</v>
      </c>
      <c r="G12">
        <v>300</v>
      </c>
      <c r="H12">
        <v>360</v>
      </c>
    </row>
    <row r="13" spans="1:18" x14ac:dyDescent="0.25">
      <c r="A13" t="s">
        <v>30</v>
      </c>
      <c r="B13" s="3">
        <v>17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18" x14ac:dyDescent="0.25">
      <c r="C14" s="7">
        <f t="shared" ref="C14:H14" si="2">21*C13/$B13</f>
        <v>0</v>
      </c>
      <c r="D14" s="7">
        <f t="shared" si="2"/>
        <v>0</v>
      </c>
      <c r="E14" s="7">
        <f t="shared" si="2"/>
        <v>0</v>
      </c>
      <c r="F14" s="7">
        <f t="shared" si="2"/>
        <v>0</v>
      </c>
      <c r="G14" s="7">
        <f t="shared" si="2"/>
        <v>0</v>
      </c>
      <c r="H14" s="7">
        <f t="shared" si="2"/>
        <v>0</v>
      </c>
    </row>
    <row r="15" spans="1:18" x14ac:dyDescent="0.25">
      <c r="A15" t="s">
        <v>29</v>
      </c>
      <c r="C15">
        <v>135</v>
      </c>
      <c r="D15">
        <v>162</v>
      </c>
      <c r="E15">
        <v>180</v>
      </c>
      <c r="F15">
        <v>216</v>
      </c>
      <c r="G15">
        <v>300</v>
      </c>
      <c r="H15">
        <v>360</v>
      </c>
    </row>
    <row r="16" spans="1:18" x14ac:dyDescent="0.25">
      <c r="A16" t="s">
        <v>31</v>
      </c>
      <c r="B16" s="3">
        <v>17</v>
      </c>
      <c r="C16" s="3">
        <v>231</v>
      </c>
      <c r="D16" s="3">
        <v>231</v>
      </c>
      <c r="E16" s="3">
        <v>231</v>
      </c>
      <c r="F16" s="3">
        <v>231</v>
      </c>
      <c r="G16" s="3">
        <v>231</v>
      </c>
      <c r="H16" s="3">
        <v>231</v>
      </c>
    </row>
    <row r="17" spans="1:14" x14ac:dyDescent="0.25">
      <c r="C17" s="7">
        <f t="shared" ref="C17:H17" si="3">21*C16/$B16</f>
        <v>285.35294117647061</v>
      </c>
      <c r="D17" s="7">
        <f t="shared" si="3"/>
        <v>285.35294117647061</v>
      </c>
      <c r="E17" s="7">
        <f t="shared" si="3"/>
        <v>285.35294117647061</v>
      </c>
      <c r="F17" s="7">
        <f t="shared" si="3"/>
        <v>285.35294117647061</v>
      </c>
      <c r="G17" s="7">
        <f t="shared" si="3"/>
        <v>285.35294117647061</v>
      </c>
      <c r="H17" s="7">
        <f t="shared" si="3"/>
        <v>285.35294117647061</v>
      </c>
    </row>
    <row r="18" spans="1:14" x14ac:dyDescent="0.25">
      <c r="A18" t="s">
        <v>27</v>
      </c>
      <c r="C18">
        <v>5</v>
      </c>
      <c r="D18">
        <v>6</v>
      </c>
      <c r="E18">
        <v>7</v>
      </c>
      <c r="F18">
        <v>8</v>
      </c>
      <c r="G18">
        <v>9</v>
      </c>
      <c r="H18">
        <v>10</v>
      </c>
      <c r="I18">
        <v>11</v>
      </c>
      <c r="J18">
        <v>12</v>
      </c>
      <c r="K18">
        <v>13</v>
      </c>
      <c r="L18">
        <v>14</v>
      </c>
      <c r="M18">
        <v>15</v>
      </c>
      <c r="N18">
        <v>16</v>
      </c>
    </row>
    <row r="19" spans="1:14" x14ac:dyDescent="0.25">
      <c r="A19" t="s">
        <v>32</v>
      </c>
      <c r="B19" s="3">
        <v>17</v>
      </c>
      <c r="C19" s="20">
        <v>278.05373922989747</v>
      </c>
      <c r="D19" s="20">
        <v>269.97436409716005</v>
      </c>
      <c r="E19" s="20">
        <v>265.88134553173512</v>
      </c>
      <c r="F19" s="20">
        <v>264.70608600700666</v>
      </c>
      <c r="G19" s="20">
        <v>265.75931820791862</v>
      </c>
      <c r="H19" s="20">
        <v>268.57041525050261</v>
      </c>
      <c r="I19" s="20">
        <v>272.8036981334738</v>
      </c>
      <c r="J19" s="20">
        <v>278.21131389718118</v>
      </c>
      <c r="K19" s="20">
        <v>284.60504027173255</v>
      </c>
      <c r="L19" s="20">
        <v>291.8385691111713</v>
      </c>
      <c r="M19" s="20">
        <v>299.79591692009228</v>
      </c>
      <c r="N19" s="20">
        <v>308.38358336585782</v>
      </c>
    </row>
    <row r="20" spans="1:14" x14ac:dyDescent="0.25">
      <c r="C20" s="7">
        <f>21*C19/$B19</f>
        <v>343.47814846046157</v>
      </c>
      <c r="D20" s="7">
        <f t="shared" ref="D20:N20" si="4">21*D19/$B19</f>
        <v>333.49774388472713</v>
      </c>
      <c r="E20" s="7">
        <f t="shared" si="4"/>
        <v>328.4416621274375</v>
      </c>
      <c r="F20" s="7">
        <f t="shared" si="4"/>
        <v>326.98987094983175</v>
      </c>
      <c r="G20" s="7">
        <f t="shared" si="4"/>
        <v>328.29092249213477</v>
      </c>
      <c r="H20" s="7">
        <f t="shared" si="4"/>
        <v>331.76345413297383</v>
      </c>
      <c r="I20" s="7">
        <f t="shared" si="4"/>
        <v>336.99280357664412</v>
      </c>
      <c r="J20" s="7">
        <f t="shared" si="4"/>
        <v>343.67279952004736</v>
      </c>
      <c r="K20" s="7">
        <f t="shared" si="4"/>
        <v>351.5709321003755</v>
      </c>
      <c r="L20" s="7">
        <f t="shared" si="4"/>
        <v>360.50646772556456</v>
      </c>
      <c r="M20" s="7">
        <f t="shared" si="4"/>
        <v>370.33613266599639</v>
      </c>
      <c r="N20" s="7">
        <f t="shared" si="4"/>
        <v>380.94442651076554</v>
      </c>
    </row>
    <row r="21" spans="1:14" x14ac:dyDescent="0.25">
      <c r="A21" t="s">
        <v>27</v>
      </c>
      <c r="C21">
        <v>1</v>
      </c>
      <c r="D21">
        <v>2</v>
      </c>
      <c r="E21">
        <v>3</v>
      </c>
      <c r="F21">
        <v>4</v>
      </c>
      <c r="G21">
        <v>5</v>
      </c>
    </row>
    <row r="22" spans="1:14" x14ac:dyDescent="0.25">
      <c r="A22" t="s">
        <v>33</v>
      </c>
      <c r="B22" s="3">
        <v>16</v>
      </c>
      <c r="C22" s="3">
        <v>163.50558028</v>
      </c>
      <c r="D22" s="3">
        <v>232.62140088999999</v>
      </c>
      <c r="E22" s="3">
        <v>301.73722149999998</v>
      </c>
      <c r="F22" s="3">
        <v>370.85304210999999</v>
      </c>
      <c r="G22" s="3">
        <v>439.96886272</v>
      </c>
    </row>
    <row r="23" spans="1:14" x14ac:dyDescent="0.25">
      <c r="C23" s="7">
        <f>21*C22/$B22</f>
        <v>214.60107411749999</v>
      </c>
      <c r="D23" s="7">
        <f>21*D22/$B22</f>
        <v>305.31558866812497</v>
      </c>
      <c r="E23" s="7">
        <f>21*E22/$B22</f>
        <v>396.03010321874996</v>
      </c>
      <c r="F23" s="7">
        <f>21*F22/$B22</f>
        <v>486.744617769375</v>
      </c>
      <c r="G23" s="7">
        <f>21*G22/$B22</f>
        <v>577.45913231999998</v>
      </c>
    </row>
    <row r="24" spans="1:14" x14ac:dyDescent="0.25">
      <c r="A24" t="s">
        <v>29</v>
      </c>
      <c r="C24">
        <v>300</v>
      </c>
      <c r="D24">
        <v>800</v>
      </c>
    </row>
    <row r="25" spans="1:14" x14ac:dyDescent="0.25">
      <c r="A25" t="s">
        <v>34</v>
      </c>
      <c r="B25" s="3">
        <v>22</v>
      </c>
      <c r="C25" s="3">
        <v>0</v>
      </c>
      <c r="D25" s="3">
        <v>0</v>
      </c>
    </row>
    <row r="26" spans="1:14" x14ac:dyDescent="0.25">
      <c r="C26" s="7">
        <f>21*C25/$B25</f>
        <v>0</v>
      </c>
      <c r="D26" s="7">
        <f>21*D25/$B25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5e0813-9550-480a-9f93-83c840f8b6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9EFAC9D913048BE6CAE4FF864E140" ma:contentTypeVersion="17" ma:contentTypeDescription="Create a new document." ma:contentTypeScope="" ma:versionID="6adce472e9a58ac4138c1dba524a0887">
  <xsd:schema xmlns:xsd="http://www.w3.org/2001/XMLSchema" xmlns:xs="http://www.w3.org/2001/XMLSchema" xmlns:p="http://schemas.microsoft.com/office/2006/metadata/properties" xmlns:ns3="2e5e0813-9550-480a-9f93-83c840f8b6f4" xmlns:ns4="fc70987d-ca2f-41e1-822b-584d5964e3f2" targetNamespace="http://schemas.microsoft.com/office/2006/metadata/properties" ma:root="true" ma:fieldsID="f2c1b14a443f7b971d1cdd052b9110d6" ns3:_="" ns4:_="">
    <xsd:import namespace="2e5e0813-9550-480a-9f93-83c840f8b6f4"/>
    <xsd:import namespace="fc70987d-ca2f-41e1-822b-584d5964e3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e0813-9550-480a-9f93-83c840f8b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0987d-ca2f-41e1-822b-584d5964e3f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18677C-C01D-4A87-B9FB-FF30CC7D4AA9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2e5e0813-9550-480a-9f93-83c840f8b6f4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fc70987d-ca2f-41e1-822b-584d5964e3f2"/>
  </ds:schemaRefs>
</ds:datastoreItem>
</file>

<file path=customXml/itemProps2.xml><?xml version="1.0" encoding="utf-8"?>
<ds:datastoreItem xmlns:ds="http://schemas.openxmlformats.org/officeDocument/2006/customXml" ds:itemID="{8BF4D16F-E91D-449D-B25A-EBB3A54F44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570627-9E0E-475F-9296-A0C248FCE2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5e0813-9550-480a-9f93-83c840f8b6f4"/>
    <ds:schemaRef ds:uri="fc70987d-ca2f-41e1-822b-584d5964e3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Results</vt:lpstr>
      <vt:lpstr>Results_proc_ener</vt:lpstr>
      <vt:lpstr>Key</vt:lpstr>
      <vt:lpstr>Calculate_cap_emi</vt:lpstr>
      <vt:lpstr>Calculate_cap_emi_sens</vt:lpstr>
      <vt:lpstr>Calculate_cap_ener</vt:lpstr>
      <vt:lpstr>Manufacture</vt:lpstr>
      <vt:lpstr>Distribution</vt:lpstr>
      <vt:lpstr>Installation</vt:lpstr>
      <vt:lpstr>EOL</vt:lpstr>
      <vt:lpstr>Other</vt:lpstr>
      <vt:lpstr>Manufacture_MJ</vt:lpstr>
      <vt:lpstr>Distribution_MJ</vt:lpstr>
      <vt:lpstr>Installation_MJ</vt:lpstr>
      <vt:lpstr>EOL_MJ</vt:lpstr>
      <vt:lpstr>Other_MJ</vt:lpstr>
      <vt:lpstr>EOL_R</vt:lpstr>
      <vt:lpstr>Other_R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Gallardo Ocampo</dc:creator>
  <cp:lastModifiedBy>Patricio Gallardo Ocampo</cp:lastModifiedBy>
  <dcterms:created xsi:type="dcterms:W3CDTF">2025-06-10T23:06:49Z</dcterms:created>
  <dcterms:modified xsi:type="dcterms:W3CDTF">2026-09-17T21:45:19Z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2025-06-10T23:44:03Z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2353f142-571f-419d-9a3a-777b8ea8d2d5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  <property fmtid="{D5CDD505-2E9C-101B-9397-08002B2CF9AE}" pid="10" name="ContentTypeId">
    <vt:lpwstr>0x010100A519EFAC9D913048BE6CAE4FF864E140</vt:lpwstr>
  </property>
</Properties>
</file>